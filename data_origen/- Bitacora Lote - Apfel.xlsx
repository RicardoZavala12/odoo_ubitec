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odooUbitec\"/>
    </mc:Choice>
  </mc:AlternateContent>
  <xr:revisionPtr revIDLastSave="0" documentId="8_{A56F5BFB-B35D-4311-8A18-C0309EA43C73}" xr6:coauthVersionLast="47" xr6:coauthVersionMax="47" xr10:uidLastSave="{00000000-0000-0000-0000-000000000000}"/>
  <bookViews>
    <workbookView xWindow="-110" yWindow="-110" windowWidth="19420" windowHeight="11500" activeTab="1" xr2:uid="{00000000-000D-0000-FFFF-FFFF00000000}"/>
  </bookViews>
  <sheets>
    <sheet name="BITACORA APFEL " sheetId="2" r:id="rId1"/>
    <sheet name="Costos y Servicios " sheetId="3" r:id="rId2"/>
    <sheet name="Conatctos " sheetId="4" r:id="rId3"/>
  </sheets>
  <externalReferences>
    <externalReference r:id="rId4"/>
  </externalReferences>
  <definedNames>
    <definedName name="_xlnm._FilterDatabase" localSheetId="0" hidden="1">'BITACORA APFEL '!$B$3:$U$1785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3" l="1"/>
  <c r="D6" i="3"/>
  <c r="D4" i="3"/>
  <c r="D7" i="3"/>
  <c r="D5" i="3"/>
  <c r="D9" i="3"/>
  <c r="E3" i="3"/>
  <c r="R1522" i="2"/>
  <c r="D3" i="3"/>
  <c r="R1087" i="2" l="1"/>
  <c r="R1079" i="2"/>
  <c r="R888" i="2"/>
  <c r="M633" i="2"/>
  <c r="R621" i="2"/>
  <c r="R617" i="2"/>
  <c r="R614" i="2"/>
  <c r="D25" i="2"/>
  <c r="M10" i="2"/>
  <c r="M9" i="2"/>
  <c r="M8" i="2"/>
  <c r="M7" i="2"/>
  <c r="M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UBITEC</author>
    <author>Usuario de Windows</author>
    <author>LENOVO</author>
  </authors>
  <commentList>
    <comment ref="H5" authorId="0" shapeId="0" xr:uid="{00000000-0006-0000-0000-000001000000}">
      <text>
        <r>
          <rPr>
            <b/>
            <sz val="9"/>
            <color indexed="81"/>
            <rFont val="Tahoma"/>
            <family val="2"/>
          </rPr>
          <t>UBITEC:</t>
        </r>
        <r>
          <rPr>
            <sz val="9"/>
            <color indexed="81"/>
            <rFont val="Tahoma"/>
            <family val="2"/>
          </rPr>
          <t xml:space="preserve">
</t>
        </r>
        <r>
          <rPr>
            <b/>
            <sz val="9"/>
            <color indexed="81"/>
            <rFont val="Tahoma"/>
            <family val="2"/>
          </rPr>
          <t xml:space="preserve">Av. A. Ruiz Cortines Pte. 303, La Luz, 67120 Guadalupe, N.L.
</t>
        </r>
        <r>
          <rPr>
            <sz val="9"/>
            <color indexed="81"/>
            <rFont val="Tahoma"/>
            <family val="2"/>
          </rPr>
          <t>https://www.google.com/maps/place/Autos+San+Roberto/@25.7032629,-100.2460115,17z/data=!3m1!4b1!4m6!3m5!1s0x8662be3131b3c42f:0x811244edc7cd50e2!8m2!3d25.7032629!4d-100.2434366!16s%2Fg%2F11h0lc012?entry=ttu</t>
        </r>
      </text>
    </comment>
    <comment ref="H6" authorId="0" shapeId="0" xr:uid="{00000000-0006-0000-0000-000002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7" authorId="0" shapeId="0" xr:uid="{00000000-0006-0000-0000-000003000000}">
      <text>
        <r>
          <rPr>
            <b/>
            <sz val="9"/>
            <color indexed="81"/>
            <rFont val="Tahoma"/>
            <family val="2"/>
          </rPr>
          <t>UBITEC:</t>
        </r>
        <r>
          <rPr>
            <sz val="9"/>
            <color indexed="81"/>
            <rFont val="Tahoma"/>
            <family val="2"/>
          </rPr>
          <t xml:space="preserve">
</t>
        </r>
        <r>
          <rPr>
            <b/>
            <sz val="9"/>
            <color indexed="81"/>
            <rFont val="Tahoma"/>
            <family val="2"/>
          </rPr>
          <t xml:space="preserve">Av. A. Ruiz Cortines Pte. 303, La Luz, 67120 Guadalupe, N.L.
</t>
        </r>
        <r>
          <rPr>
            <sz val="9"/>
            <color indexed="81"/>
            <rFont val="Tahoma"/>
            <family val="2"/>
          </rPr>
          <t>https://www.google.com/maps/place/Autos+San+Roberto/@25.7032629,-100.2460115,17z/data=!3m1!4b1!4m6!3m5!1s0x8662be3131b3c42f:0x811244edc7cd50e2!8m2!3d25.7032629!4d-100.2434366!16s%2Fg%2F11h0lc012?entry=ttu</t>
        </r>
      </text>
    </comment>
    <comment ref="H8" authorId="0" shapeId="0" xr:uid="{00000000-0006-0000-0000-000004000000}">
      <text>
        <r>
          <rPr>
            <b/>
            <sz val="9"/>
            <color indexed="81"/>
            <rFont val="Tahoma"/>
            <family val="2"/>
          </rPr>
          <t>UBITEC:</t>
        </r>
        <r>
          <rPr>
            <sz val="9"/>
            <color indexed="81"/>
            <rFont val="Tahoma"/>
            <family val="2"/>
          </rPr>
          <t xml:space="preserve">
</t>
        </r>
        <r>
          <rPr>
            <b/>
            <sz val="9"/>
            <color indexed="81"/>
            <rFont val="Tahoma"/>
            <family val="2"/>
          </rPr>
          <t xml:space="preserve">Av. A. Ruiz Cortines Pte. 303, La Luz, 67120 Guadalupe, N.L.
</t>
        </r>
        <r>
          <rPr>
            <sz val="9"/>
            <color indexed="81"/>
            <rFont val="Tahoma"/>
            <family val="2"/>
          </rPr>
          <t>https://www.google.com/maps/place/Autos+San+Roberto/@25.7032629,-100.2460115,17z/data=!3m1!4b1!4m6!3m5!1s0x8662be3131b3c42f:0x811244edc7cd50e2!8m2!3d25.7032629!4d-100.2434366!16s%2Fg%2F11h0lc012?entry=ttu</t>
        </r>
      </text>
    </comment>
    <comment ref="H10" authorId="0" shapeId="0" xr:uid="{00000000-0006-0000-0000-000005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1" authorId="0" shapeId="0" xr:uid="{00000000-0006-0000-0000-000006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7" authorId="0" shapeId="0" xr:uid="{00000000-0006-0000-0000-000007000000}">
      <text>
        <r>
          <rPr>
            <b/>
            <sz val="9"/>
            <color indexed="81"/>
            <rFont val="Tahoma"/>
            <family val="2"/>
          </rPr>
          <t>UBITEC:</t>
        </r>
        <r>
          <rPr>
            <sz val="9"/>
            <color indexed="81"/>
            <rFont val="Tahoma"/>
            <family val="2"/>
          </rPr>
          <t xml:space="preserve">
</t>
        </r>
        <r>
          <rPr>
            <b/>
            <sz val="9"/>
            <color indexed="81"/>
            <rFont val="Tahoma"/>
            <family val="2"/>
          </rPr>
          <t xml:space="preserve">Av. A. Ruiz Cortines Pte. 303, La Luz, 67120 Guadalupe, N.L.
</t>
        </r>
        <r>
          <rPr>
            <sz val="9"/>
            <color indexed="81"/>
            <rFont val="Tahoma"/>
            <family val="2"/>
          </rPr>
          <t>https://www.google.com/maps/place/Autos+San+Roberto/@25.7032629,-100.2460115,17z/data=!3m1!4b1!4m6!3m5!1s0x8662be3131b3c42f:0x811244edc7cd50e2!8m2!3d25.7032629!4d-100.2434366!16s%2Fg%2F11h0lc012?entry=ttu</t>
        </r>
      </text>
    </comment>
    <comment ref="H38" authorId="1" shapeId="0" xr:uid="{00000000-0006-0000-0000-000008000000}">
      <text>
        <r>
          <rPr>
            <b/>
            <sz val="9"/>
            <color indexed="81"/>
            <rFont val="Tahoma"/>
            <family val="2"/>
          </rPr>
          <t>Usuario de Windows:</t>
        </r>
        <r>
          <rPr>
            <sz val="9"/>
            <color indexed="81"/>
            <rFont val="Tahoma"/>
            <family val="2"/>
          </rPr>
          <t xml:space="preserve">
</t>
        </r>
        <r>
          <rPr>
            <b/>
            <sz val="10"/>
            <color indexed="81"/>
            <rFont val="Tahoma"/>
            <family val="2"/>
          </rPr>
          <t>Domicilio 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9" authorId="1" shapeId="0" xr:uid="{00000000-0006-0000-0000-000009000000}">
      <text>
        <r>
          <rPr>
            <b/>
            <sz val="9"/>
            <color indexed="81"/>
            <rFont val="Tahoma"/>
            <family val="2"/>
          </rPr>
          <t>Usuario de Windows:</t>
        </r>
        <r>
          <rPr>
            <sz val="9"/>
            <color indexed="81"/>
            <rFont val="Tahoma"/>
            <family val="2"/>
          </rPr>
          <t xml:space="preserve">
</t>
        </r>
        <r>
          <rPr>
            <b/>
            <sz val="10"/>
            <color indexed="81"/>
            <rFont val="Tahoma"/>
            <family val="2"/>
          </rPr>
          <t>Domicilio 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0" authorId="1" shapeId="0" xr:uid="{00000000-0006-0000-0000-00000A000000}">
      <text>
        <r>
          <rPr>
            <b/>
            <sz val="9"/>
            <color indexed="81"/>
            <rFont val="Tahoma"/>
            <family val="2"/>
          </rPr>
          <t>Usuario de Windows:</t>
        </r>
        <r>
          <rPr>
            <sz val="9"/>
            <color indexed="81"/>
            <rFont val="Tahoma"/>
            <family val="2"/>
          </rPr>
          <t xml:space="preserve">
</t>
        </r>
        <r>
          <rPr>
            <b/>
            <sz val="10"/>
            <color indexed="81"/>
            <rFont val="Tahoma"/>
            <family val="2"/>
          </rPr>
          <t>Domicilio 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1" authorId="0" shapeId="0" xr:uid="{00000000-0006-0000-0000-00000B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42" authorId="0" shapeId="0" xr:uid="{00000000-0006-0000-0000-00000C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46" authorId="0" shapeId="0" xr:uid="{00000000-0006-0000-0000-00000D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49" authorId="0" shapeId="0" xr:uid="{00000000-0006-0000-0000-00000E000000}">
      <text>
        <r>
          <rPr>
            <b/>
            <sz val="9"/>
            <color indexed="81"/>
            <rFont val="Tahoma"/>
            <family val="2"/>
          </rPr>
          <t>UBITEC:</t>
        </r>
        <r>
          <rPr>
            <sz val="9"/>
            <color indexed="81"/>
            <rFont val="Tahoma"/>
            <family val="2"/>
          </rPr>
          <t xml:space="preserve">
</t>
        </r>
        <r>
          <rPr>
            <b/>
            <sz val="9"/>
            <color indexed="81"/>
            <rFont val="Tahoma"/>
            <family val="2"/>
          </rPr>
          <t xml:space="preserve">Av. A. Ruiz Cortines Pte. 303, La Luz, 67120 Guadalupe, N.L.
</t>
        </r>
        <r>
          <rPr>
            <sz val="9"/>
            <color indexed="81"/>
            <rFont val="Tahoma"/>
            <family val="2"/>
          </rPr>
          <t>https://www.google.com/maps/place/Autos+San+Roberto/@25.7032629,-100.2460115,17z/data=!3m1!4b1!4m6!3m5!1s0x8662be3131b3c42f:0x811244edc7cd50e2!8m2!3d25.7032629!4d-100.2434366!16s%2Fg%2F11h0lc012?entry=ttu</t>
        </r>
      </text>
    </comment>
    <comment ref="H55" authorId="0" shapeId="0" xr:uid="{00000000-0006-0000-0000-00000F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56" authorId="0" shapeId="0" xr:uid="{00000000-0006-0000-0000-000010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62" authorId="0" shapeId="0" xr:uid="{00000000-0006-0000-0000-000011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74" authorId="0" shapeId="0" xr:uid="{00000000-0006-0000-0000-000012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82" authorId="0" shapeId="0" xr:uid="{00000000-0006-0000-0000-000013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87" authorId="0" shapeId="0" xr:uid="{00000000-0006-0000-0000-000014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89" authorId="0" shapeId="0" xr:uid="{00000000-0006-0000-0000-000015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94" authorId="0" shapeId="0" xr:uid="{00000000-0006-0000-0000-000016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95" authorId="0" shapeId="0" xr:uid="{00000000-0006-0000-0000-000017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96" authorId="0" shapeId="0" xr:uid="{00000000-0006-0000-0000-000018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05" authorId="0" shapeId="0" xr:uid="{00000000-0006-0000-0000-000019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06" authorId="0" shapeId="0" xr:uid="{00000000-0006-0000-0000-00001A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07" authorId="0" shapeId="0" xr:uid="{00000000-0006-0000-0000-00001B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08" authorId="0" shapeId="0" xr:uid="{00000000-0006-0000-0000-00001C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09" authorId="0" shapeId="0" xr:uid="{00000000-0006-0000-0000-00001D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10" authorId="0" shapeId="0" xr:uid="{00000000-0006-0000-0000-00001E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35" authorId="0" shapeId="0" xr:uid="{00000000-0006-0000-0000-00001F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39" authorId="0" shapeId="0" xr:uid="{00000000-0006-0000-0000-000020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40" authorId="1" shapeId="0" xr:uid="{00000000-0006-0000-0000-000021000000}">
      <text>
        <r>
          <rPr>
            <b/>
            <sz val="9"/>
            <color indexed="81"/>
            <rFont val="Tahoma"/>
            <family val="2"/>
          </rPr>
          <t>Usuario de Windows:</t>
        </r>
        <r>
          <rPr>
            <sz val="9"/>
            <color indexed="81"/>
            <rFont val="Tahoma"/>
            <family val="2"/>
          </rPr>
          <t xml:space="preserve">
</t>
        </r>
        <r>
          <rPr>
            <b/>
            <sz val="10"/>
            <color indexed="81"/>
            <rFont val="Tahoma"/>
            <family val="2"/>
          </rPr>
          <t>Domicilio 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150" authorId="0" shapeId="0" xr:uid="{00000000-0006-0000-0000-000022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53" authorId="0" shapeId="0" xr:uid="{00000000-0006-0000-0000-000023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63" authorId="0" shapeId="0" xr:uid="{00000000-0006-0000-0000-000024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66" authorId="0" shapeId="0" xr:uid="{00000000-0006-0000-0000-000025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69" authorId="0" shapeId="0" xr:uid="{00000000-0006-0000-0000-000026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70" authorId="0" shapeId="0" xr:uid="{00000000-0006-0000-0000-000027000000}">
      <text>
        <r>
          <rPr>
            <b/>
            <sz val="9"/>
            <color indexed="81"/>
            <rFont val="Tahoma"/>
            <family val="2"/>
          </rPr>
          <t>UBITEC:</t>
        </r>
        <r>
          <rPr>
            <sz val="9"/>
            <color indexed="81"/>
            <rFont val="Tahoma"/>
            <family val="2"/>
          </rPr>
          <t xml:space="preserve">
</t>
        </r>
        <r>
          <rPr>
            <b/>
            <sz val="11"/>
            <color indexed="81"/>
            <rFont val="Tahoma"/>
            <family val="2"/>
          </rPr>
          <t>Paraíso 115, Paraíso, 67140 Guadalupe, N.L.</t>
        </r>
        <r>
          <rPr>
            <sz val="11"/>
            <color indexed="81"/>
            <rFont val="Tahoma"/>
            <family val="2"/>
          </rPr>
          <t xml:space="preserve">
</t>
        </r>
        <r>
          <rPr>
            <sz val="10"/>
            <color indexed="81"/>
            <rFont val="Tahoma"/>
            <family val="2"/>
          </rPr>
          <t>https://www.google.com/maps/place/Gonzalez+Autosales/@25.6769983,-100.2687807,21z/data=!4m15!1m8!3m7!1s0x8662bffd74c0f2ef:0x77e9a15c1c31b3db!2sPara%C3%ADso+115,+Para%C3%ADso,+67140+Guadalupe,+N.L.!3b1!8m2!3d25.6769721!4d-100.2686663!16s%2Fg%2F11c5l1g2kp!3m5!1s0x8662bf836de2f807:0x1c2e07ea8c1550c8!8m2!3d25.6769724!4d-100.2686667!16s%2Fg%2F11fp92gsqx?entry=ttu</t>
        </r>
        <r>
          <rPr>
            <sz val="9"/>
            <color indexed="81"/>
            <rFont val="Tahoma"/>
            <family val="2"/>
          </rPr>
          <t xml:space="preserve">
</t>
        </r>
      </text>
    </comment>
    <comment ref="H173" authorId="0" shapeId="0" xr:uid="{00000000-0006-0000-0000-000028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77" authorId="1" shapeId="0" xr:uid="{00000000-0006-0000-0000-000029000000}">
      <text>
        <r>
          <rPr>
            <b/>
            <sz val="9"/>
            <color indexed="81"/>
            <rFont val="Tahoma"/>
            <family val="2"/>
          </rPr>
          <t>Usuario de Windows:</t>
        </r>
        <r>
          <rPr>
            <sz val="9"/>
            <color indexed="81"/>
            <rFont val="Tahoma"/>
            <family val="2"/>
          </rPr>
          <t xml:space="preserve">
</t>
        </r>
        <r>
          <rPr>
            <b/>
            <sz val="10"/>
            <color indexed="81"/>
            <rFont val="Tahoma"/>
            <family val="2"/>
          </rPr>
          <t>Domicilio 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186" authorId="0" shapeId="0" xr:uid="{00000000-0006-0000-0000-00002A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188" authorId="1" shapeId="0" xr:uid="{00000000-0006-0000-0000-00002B000000}">
      <text>
        <r>
          <rPr>
            <b/>
            <sz val="9"/>
            <color indexed="81"/>
            <rFont val="Tahoma"/>
            <family val="2"/>
          </rPr>
          <t>Usuario de Windows:</t>
        </r>
        <r>
          <rPr>
            <sz val="9"/>
            <color indexed="81"/>
            <rFont val="Tahoma"/>
            <family val="2"/>
          </rPr>
          <t xml:space="preserve">
</t>
        </r>
        <r>
          <rPr>
            <b/>
            <sz val="10"/>
            <color indexed="81"/>
            <rFont val="Tahoma"/>
            <family val="2"/>
          </rPr>
          <t>Domicilio 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189" authorId="0" shapeId="0" xr:uid="{00000000-0006-0000-0000-00002C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90" authorId="0" shapeId="0" xr:uid="{00000000-0006-0000-0000-00002D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198" authorId="0" shapeId="0" xr:uid="{00000000-0006-0000-0000-00002E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12" authorId="1" shapeId="0" xr:uid="{00000000-0006-0000-0000-00002F000000}">
      <text>
        <r>
          <rPr>
            <b/>
            <sz val="9"/>
            <color indexed="81"/>
            <rFont val="Tahoma"/>
            <family val="2"/>
          </rPr>
          <t>Usuario de Windows:</t>
        </r>
        <r>
          <rPr>
            <sz val="9"/>
            <color indexed="81"/>
            <rFont val="Tahoma"/>
            <family val="2"/>
          </rPr>
          <t xml:space="preserve">
</t>
        </r>
        <r>
          <rPr>
            <b/>
            <sz val="10"/>
            <color indexed="81"/>
            <rFont val="Tahoma"/>
            <family val="2"/>
          </rPr>
          <t>Domicilio 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219" authorId="0" shapeId="0" xr:uid="{00000000-0006-0000-0000-000030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20" authorId="0" shapeId="0" xr:uid="{00000000-0006-0000-0000-000031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222" authorId="0" shapeId="0" xr:uid="{00000000-0006-0000-0000-000032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23" authorId="0" shapeId="0" xr:uid="{00000000-0006-0000-0000-000033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226" authorId="0" shapeId="0" xr:uid="{00000000-0006-0000-0000-000034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27" authorId="0" shapeId="0" xr:uid="{00000000-0006-0000-0000-000035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28" authorId="0" shapeId="0" xr:uid="{00000000-0006-0000-0000-000036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29" authorId="0" shapeId="0" xr:uid="{00000000-0006-0000-0000-000037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230" authorId="0" shapeId="0" xr:uid="{00000000-0006-0000-0000-000038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231" authorId="0" shapeId="0" xr:uid="{00000000-0006-0000-0000-000039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32" authorId="0" shapeId="0" xr:uid="{00000000-0006-0000-0000-00003A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33" authorId="0" shapeId="0" xr:uid="{00000000-0006-0000-0000-00003B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234" authorId="0" shapeId="0" xr:uid="{00000000-0006-0000-0000-00003C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41" authorId="0" shapeId="0" xr:uid="{00000000-0006-0000-0000-00003D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242" authorId="0" shapeId="0" xr:uid="{00000000-0006-0000-0000-00003E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243" authorId="0" shapeId="0" xr:uid="{00000000-0006-0000-0000-00003F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244" authorId="0" shapeId="0" xr:uid="{00000000-0006-0000-0000-000040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249" authorId="0" shapeId="0" xr:uid="{00000000-0006-0000-0000-000041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250" authorId="1" shapeId="0" xr:uid="{00000000-0006-0000-0000-000042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251" authorId="1" shapeId="0" xr:uid="{00000000-0006-0000-0000-000043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252" authorId="1" shapeId="0" xr:uid="{00000000-0006-0000-0000-000044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253" authorId="1" shapeId="0" xr:uid="{00000000-0006-0000-0000-000045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254" authorId="0" shapeId="0" xr:uid="{00000000-0006-0000-0000-000046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55" authorId="0" shapeId="0" xr:uid="{00000000-0006-0000-0000-000047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56" authorId="0" shapeId="0" xr:uid="{00000000-0006-0000-0000-000048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257" authorId="0" shapeId="0" xr:uid="{00000000-0006-0000-0000-000049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258" authorId="0" shapeId="0" xr:uid="{00000000-0006-0000-0000-00004A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259" authorId="0" shapeId="0" xr:uid="{00000000-0006-0000-0000-00004B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260" authorId="0" shapeId="0" xr:uid="{00000000-0006-0000-0000-00004C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261" authorId="0" shapeId="0" xr:uid="{00000000-0006-0000-0000-00004D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262" authorId="0" shapeId="0" xr:uid="{00000000-0006-0000-0000-00004E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63" authorId="0" shapeId="0" xr:uid="{00000000-0006-0000-0000-00004F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264" authorId="0" shapeId="0" xr:uid="{00000000-0006-0000-0000-000050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265" authorId="0" shapeId="0" xr:uid="{00000000-0006-0000-0000-000051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266" authorId="1" shapeId="0" xr:uid="{00000000-0006-0000-0000-000052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267" authorId="0" shapeId="0" xr:uid="{00000000-0006-0000-0000-000053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68" authorId="0" shapeId="0" xr:uid="{00000000-0006-0000-0000-000054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69" authorId="0" shapeId="0" xr:uid="{00000000-0006-0000-0000-000055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70" authorId="1" shapeId="0" xr:uid="{00000000-0006-0000-0000-000056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271" authorId="0" shapeId="0" xr:uid="{00000000-0006-0000-0000-000057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72" authorId="0" shapeId="0" xr:uid="{00000000-0006-0000-0000-000058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273" authorId="1" shapeId="0" xr:uid="{00000000-0006-0000-0000-000059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274" authorId="1" shapeId="0" xr:uid="{00000000-0006-0000-0000-00005A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284" authorId="1" shapeId="0" xr:uid="{00000000-0006-0000-0000-00005B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285" authorId="0" shapeId="0" xr:uid="{00000000-0006-0000-0000-00005C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286" authorId="0" shapeId="0" xr:uid="{00000000-0006-0000-0000-00005D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287" authorId="0" shapeId="0" xr:uid="{00000000-0006-0000-0000-00005E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288" authorId="0" shapeId="0" xr:uid="{00000000-0006-0000-0000-00005F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89" authorId="1" shapeId="0" xr:uid="{00000000-0006-0000-0000-000060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290" authorId="1" shapeId="0" xr:uid="{00000000-0006-0000-0000-000061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291" authorId="0" shapeId="0" xr:uid="{00000000-0006-0000-0000-000062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292" authorId="1" shapeId="0" xr:uid="{00000000-0006-0000-0000-000063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293" authorId="1" shapeId="0" xr:uid="{00000000-0006-0000-0000-000064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294" authorId="1" shapeId="0" xr:uid="{00000000-0006-0000-0000-000065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295" authorId="1" shapeId="0" xr:uid="{00000000-0006-0000-0000-000066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296" authorId="1" shapeId="0" xr:uid="{00000000-0006-0000-0000-000067000000}">
      <text>
        <r>
          <rPr>
            <b/>
            <sz val="9"/>
            <color indexed="81"/>
            <rFont val="Tahoma"/>
            <family val="2"/>
          </rPr>
          <t>Usuario de Windows:</t>
        </r>
        <r>
          <rPr>
            <sz val="9"/>
            <color indexed="81"/>
            <rFont val="Tahoma"/>
            <family val="2"/>
          </rPr>
          <t xml:space="preserve">
AyC Autos, Manuel Barragán, San Nicolás de los Garza, Nuevo León, 66422, México
Avenida Manuel L. Barragán 501, Las Misiones, 66428 San Nicolás de los Garza, N.L.</t>
        </r>
      </text>
    </comment>
    <comment ref="H297" authorId="0" shapeId="0" xr:uid="{00000000-0006-0000-0000-000068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298" authorId="1" shapeId="0" xr:uid="{00000000-0006-0000-0000-000069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299" authorId="1" shapeId="0" xr:uid="{00000000-0006-0000-0000-00006A000000}">
      <text>
        <r>
          <rPr>
            <b/>
            <sz val="9"/>
            <color indexed="81"/>
            <rFont val="Tahoma"/>
            <family val="2"/>
          </rPr>
          <t>Usuario de Windows:</t>
        </r>
        <r>
          <rPr>
            <sz val="9"/>
            <color indexed="81"/>
            <rFont val="Tahoma"/>
            <family val="2"/>
          </rPr>
          <t xml:space="preserve">
</t>
        </r>
        <r>
          <rPr>
            <sz val="10"/>
            <color indexed="81"/>
            <rFont val="Tahoma"/>
            <family val="2"/>
          </rPr>
          <t>Cel del Propietario Alexis 8181817387
Coppel la puerta: Urano 2620-64 Avenida industriales del poniente 66358, Santa Catarina</t>
        </r>
      </text>
    </comment>
    <comment ref="H300" authorId="0" shapeId="0" xr:uid="{00000000-0006-0000-0000-00006B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301" authorId="1" shapeId="0" xr:uid="{00000000-0006-0000-0000-00006C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02" authorId="0" shapeId="0" xr:uid="{00000000-0006-0000-0000-00006D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303" authorId="0" shapeId="0" xr:uid="{00000000-0006-0000-0000-00006E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304" authorId="1" shapeId="0" xr:uid="{00000000-0006-0000-0000-00006F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05" authorId="0" shapeId="0" xr:uid="{00000000-0006-0000-0000-000070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06" authorId="1" shapeId="0" xr:uid="{00000000-0006-0000-0000-000071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07" authorId="0" shapeId="0" xr:uid="{00000000-0006-0000-0000-000072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308" authorId="1" shapeId="0" xr:uid="{00000000-0006-0000-0000-000073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09" authorId="0" shapeId="0" xr:uid="{00000000-0006-0000-0000-000074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10" authorId="0" shapeId="0" xr:uid="{00000000-0006-0000-0000-000075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311" authorId="0" shapeId="0" xr:uid="{00000000-0006-0000-0000-000076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312" authorId="1" shapeId="0" xr:uid="{00000000-0006-0000-0000-000077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13" authorId="0" shapeId="0" xr:uid="{00000000-0006-0000-0000-000078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314" authorId="0" shapeId="0" xr:uid="{00000000-0006-0000-0000-000079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315" authorId="0" shapeId="0" xr:uid="{00000000-0006-0000-0000-00007A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16" authorId="0" shapeId="0" xr:uid="{00000000-0006-0000-0000-00007B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317" authorId="0" shapeId="0" xr:uid="{00000000-0006-0000-0000-00007C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318" authorId="0" shapeId="0" xr:uid="{00000000-0006-0000-0000-00007D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319" authorId="1" shapeId="0" xr:uid="{00000000-0006-0000-0000-00007E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20" authorId="0" shapeId="0" xr:uid="{00000000-0006-0000-0000-00007F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321" authorId="0" shapeId="0" xr:uid="{00000000-0006-0000-0000-00008000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322" authorId="0" shapeId="0" xr:uid="{00000000-0006-0000-0000-000081000000}">
      <text>
        <r>
          <rPr>
            <b/>
            <sz val="9"/>
            <color indexed="81"/>
            <rFont val="Tahoma"/>
            <family val="2"/>
          </rPr>
          <t>UBITEC:</t>
        </r>
        <r>
          <rPr>
            <sz val="9"/>
            <color indexed="81"/>
            <rFont val="Tahoma"/>
            <family val="2"/>
          </rPr>
          <t xml:space="preserve">
</t>
        </r>
        <r>
          <rPr>
            <sz val="10"/>
            <color indexed="81"/>
            <rFont val="Tahoma"/>
            <family val="2"/>
          </rPr>
          <t>Col. Residencial Cuahutemoc calle Puerto Ferrol #262 Santa Catarina NL
TEL. 8112480278</t>
        </r>
      </text>
    </comment>
    <comment ref="H323" authorId="0" shapeId="0" xr:uid="{00000000-0006-0000-0000-000082000000}">
      <text>
        <r>
          <rPr>
            <b/>
            <sz val="9"/>
            <color indexed="81"/>
            <rFont val="Tahoma"/>
            <family val="2"/>
          </rPr>
          <t>UBITEC:</t>
        </r>
        <r>
          <rPr>
            <sz val="9"/>
            <color indexed="81"/>
            <rFont val="Tahoma"/>
            <family val="2"/>
          </rPr>
          <t xml:space="preserve">
Comunicaciones SN-O PERFILES Y HERRAJES, S.C.O.P., 67198 Guadalupe, N.L.</t>
        </r>
      </text>
    </comment>
    <comment ref="H324" authorId="1" shapeId="0" xr:uid="{00000000-0006-0000-0000-000083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25" authorId="1" shapeId="0" xr:uid="{00000000-0006-0000-0000-000084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26" authorId="0" shapeId="0" xr:uid="{00000000-0006-0000-0000-00008500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327" authorId="1" shapeId="0" xr:uid="{00000000-0006-0000-0000-000086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28" authorId="0" shapeId="0" xr:uid="{00000000-0006-0000-0000-000087000000}">
      <text>
        <r>
          <rPr>
            <b/>
            <sz val="9"/>
            <color indexed="81"/>
            <rFont val="Tahoma"/>
            <family val="2"/>
          </rPr>
          <t>UBITEC:</t>
        </r>
        <r>
          <rPr>
            <sz val="9"/>
            <color indexed="81"/>
            <rFont val="Tahoma"/>
            <family val="2"/>
          </rPr>
          <t xml:space="preserve">
</t>
        </r>
        <r>
          <rPr>
            <sz val="10"/>
            <color indexed="81"/>
            <rFont val="Tahoma"/>
            <family val="2"/>
          </rPr>
          <t xml:space="preserve">5 de Febrero 308, Independencia, 64720 Monterrey, N.L </t>
        </r>
      </text>
    </comment>
    <comment ref="H329" authorId="0" shapeId="0" xr:uid="{00000000-0006-0000-0000-000088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330" authorId="0" shapeId="0" xr:uid="{00000000-0006-0000-0000-000089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331" authorId="0" shapeId="0" xr:uid="{00000000-0006-0000-0000-00008A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32" authorId="0" shapeId="0" xr:uid="{00000000-0006-0000-0000-00008B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33" authorId="0" shapeId="0" xr:uid="{00000000-0006-0000-0000-00008C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334" authorId="0" shapeId="0" xr:uid="{00000000-0006-0000-0000-00008D00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335" authorId="1" shapeId="0" xr:uid="{00000000-0006-0000-0000-00008E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36" authorId="1" shapeId="0" xr:uid="{00000000-0006-0000-0000-00008F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37" authorId="0" shapeId="0" xr:uid="{00000000-0006-0000-0000-000090000000}">
      <text>
        <r>
          <rPr>
            <b/>
            <sz val="9"/>
            <color indexed="81"/>
            <rFont val="Tahoma"/>
            <family val="2"/>
          </rPr>
          <t>UBITEC:</t>
        </r>
        <r>
          <rPr>
            <sz val="9"/>
            <color indexed="81"/>
            <rFont val="Tahoma"/>
            <family val="2"/>
          </rPr>
          <t xml:space="preserve">
</t>
        </r>
        <r>
          <rPr>
            <sz val="10"/>
            <color indexed="81"/>
            <rFont val="Tahoma"/>
            <family val="2"/>
          </rPr>
          <t>Calle Queretaro # 461, c.p. 67257, Ciudad Benito Juárez, Juarez, Nuevo Leon</t>
        </r>
      </text>
    </comment>
    <comment ref="H338" authorId="0" shapeId="0" xr:uid="{00000000-0006-0000-0000-000091000000}">
      <text>
        <r>
          <rPr>
            <b/>
            <sz val="9"/>
            <color indexed="81"/>
            <rFont val="Tahoma"/>
            <family val="2"/>
          </rPr>
          <t>UBITEC:</t>
        </r>
        <r>
          <rPr>
            <sz val="9"/>
            <color indexed="81"/>
            <rFont val="Tahoma"/>
            <family val="2"/>
          </rPr>
          <t xml:space="preserve">
</t>
        </r>
        <r>
          <rPr>
            <sz val="10"/>
            <color indexed="81"/>
            <rFont val="Tahoma"/>
            <family val="2"/>
          </rPr>
          <t>Calle Bosque Albanes # 119, c.p. 66024, García Nuevo Leon</t>
        </r>
      </text>
    </comment>
    <comment ref="H339" authorId="1" shapeId="0" xr:uid="{00000000-0006-0000-0000-000092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41" authorId="1" shapeId="0" xr:uid="{00000000-0006-0000-0000-000093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42" authorId="1" shapeId="0" xr:uid="{00000000-0006-0000-0000-000094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43" authorId="0" shapeId="0" xr:uid="{00000000-0006-0000-0000-000095000000}">
      <text>
        <r>
          <rPr>
            <b/>
            <sz val="9"/>
            <color indexed="81"/>
            <rFont val="Tahoma"/>
            <family val="2"/>
          </rPr>
          <t>UBITEC:</t>
        </r>
        <r>
          <rPr>
            <sz val="9"/>
            <color indexed="81"/>
            <rFont val="Tahoma"/>
            <family val="2"/>
          </rPr>
          <t xml:space="preserve">
C</t>
        </r>
        <r>
          <rPr>
            <sz val="10"/>
            <color indexed="81"/>
            <rFont val="Tahoma"/>
            <family val="2"/>
          </rPr>
          <t>alle Abril en portugal # 629, c.p. 66414, San Nicolás de los Garza,NUEVO LEÓN</t>
        </r>
      </text>
    </comment>
    <comment ref="H344" authorId="0" shapeId="0" xr:uid="{00000000-0006-0000-0000-000096000000}">
      <text>
        <r>
          <rPr>
            <b/>
            <sz val="9"/>
            <color indexed="81"/>
            <rFont val="Tahoma"/>
            <family val="2"/>
          </rPr>
          <t>UBITEC:</t>
        </r>
        <r>
          <rPr>
            <sz val="9"/>
            <color indexed="81"/>
            <rFont val="Tahoma"/>
            <family val="2"/>
          </rPr>
          <t xml:space="preserve">
</t>
        </r>
        <r>
          <rPr>
            <sz val="10"/>
            <color indexed="81"/>
            <rFont val="Tahoma"/>
            <family val="2"/>
          </rPr>
          <t>Calle Monte Kenia # 308, c.p. 66490, San Nicolás de los Garza Nuevo Leon.</t>
        </r>
      </text>
    </comment>
    <comment ref="H345" authorId="0" shapeId="0" xr:uid="{00000000-0006-0000-0000-000097000000}">
      <text>
        <r>
          <rPr>
            <b/>
            <sz val="9"/>
            <color indexed="81"/>
            <rFont val="Tahoma"/>
            <family val="2"/>
          </rPr>
          <t>UBITEC:</t>
        </r>
        <r>
          <rPr>
            <sz val="9"/>
            <color indexed="81"/>
            <rFont val="Tahoma"/>
            <family val="2"/>
          </rPr>
          <t xml:space="preserve">
</t>
        </r>
        <r>
          <rPr>
            <sz val="10"/>
            <color indexed="81"/>
            <rFont val="Tahoma"/>
            <family val="2"/>
          </rPr>
          <t xml:space="preserve"> Xpress International, MEX 85, Ciénega de Flores, Nuevo León, México</t>
        </r>
      </text>
    </comment>
    <comment ref="H346" authorId="1" shapeId="0" xr:uid="{00000000-0006-0000-0000-000098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47" authorId="0" shapeId="0" xr:uid="{00000000-0006-0000-0000-000099000000}">
      <text>
        <r>
          <rPr>
            <b/>
            <sz val="9"/>
            <color indexed="81"/>
            <rFont val="Tahoma"/>
            <family val="2"/>
          </rPr>
          <t>UBITEC:</t>
        </r>
        <r>
          <rPr>
            <sz val="9"/>
            <color indexed="81"/>
            <rFont val="Tahoma"/>
            <family val="2"/>
          </rPr>
          <t xml:space="preserve">
</t>
        </r>
        <r>
          <rPr>
            <sz val="10"/>
            <color indexed="81"/>
            <rFont val="Tahoma"/>
            <family val="2"/>
          </rPr>
          <t>Calle Paseo la Villa No. 1216 Colonia: La Estanzuela (F-45) C.P. 64988 Monterrey Nuevo León.</t>
        </r>
      </text>
    </comment>
    <comment ref="H348" authorId="0" shapeId="0" xr:uid="{00000000-0006-0000-0000-00009A000000}">
      <text>
        <r>
          <rPr>
            <b/>
            <sz val="9"/>
            <color indexed="81"/>
            <rFont val="Tahoma"/>
            <family val="2"/>
          </rPr>
          <t>UBITEC:</t>
        </r>
        <r>
          <rPr>
            <sz val="9"/>
            <color indexed="81"/>
            <rFont val="Tahoma"/>
            <family val="2"/>
          </rPr>
          <t xml:space="preserve">
</t>
        </r>
        <r>
          <rPr>
            <sz val="10"/>
            <color indexed="81"/>
            <rFont val="Tahoma"/>
            <family val="2"/>
          </rPr>
          <t>Calle Ricardo Flores Magon No. 1004 entre Teofilo Martinez y Angel Martinez Colonia: Enrique Rangel C.P. 66354 Ciudad Santa Catarina Nuevo León
PARQUE INDUSTRIAL GONHER 
Jessica judith Vargas ortiz
La empresa se llama jac
Entrando la primer caseta a mano derecha</t>
        </r>
      </text>
    </comment>
    <comment ref="H350" authorId="1" shapeId="0" xr:uid="{00000000-0006-0000-0000-00009B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51" authorId="0" shapeId="0" xr:uid="{00000000-0006-0000-0000-00009C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52" authorId="1" shapeId="0" xr:uid="{00000000-0006-0000-0000-00009D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53" authorId="0" shapeId="0" xr:uid="{00000000-0006-0000-0000-00009E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54" authorId="0" shapeId="0" xr:uid="{00000000-0006-0000-0000-00009F00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355" authorId="0" shapeId="0" xr:uid="{00000000-0006-0000-0000-0000A0000000}">
      <text>
        <r>
          <rPr>
            <b/>
            <sz val="9"/>
            <color indexed="81"/>
            <rFont val="Tahoma"/>
            <family val="2"/>
          </rPr>
          <t>UBITEC:</t>
        </r>
        <r>
          <rPr>
            <sz val="9"/>
            <color indexed="81"/>
            <rFont val="Tahoma"/>
            <family val="2"/>
          </rPr>
          <t xml:space="preserve">
</t>
        </r>
        <r>
          <rPr>
            <sz val="10"/>
            <color indexed="81"/>
            <rFont val="Tahoma"/>
            <family val="2"/>
          </rPr>
          <t>Valle del Mezquite, Zona Valle del Mezquite, 66226 San Pedro Garza García, N.L.</t>
        </r>
      </text>
    </comment>
    <comment ref="H356" authorId="0" shapeId="0" xr:uid="{00000000-0006-0000-0000-0000A1000000}">
      <text>
        <r>
          <rPr>
            <b/>
            <sz val="9"/>
            <color indexed="81"/>
            <rFont val="Tahoma"/>
            <family val="2"/>
          </rPr>
          <t>UBITEC:</t>
        </r>
        <r>
          <rPr>
            <sz val="9"/>
            <color indexed="81"/>
            <rFont val="Tahoma"/>
            <family val="2"/>
          </rPr>
          <t xml:space="preserve">
</t>
        </r>
        <r>
          <rPr>
            <sz val="10"/>
            <color indexed="81"/>
            <rFont val="Tahoma"/>
            <family val="2"/>
          </rPr>
          <t>Las Torres 803, Alameda de La Hacienda, 67150 Guadalupe, N.L.</t>
        </r>
      </text>
    </comment>
    <comment ref="H357" authorId="0" shapeId="0" xr:uid="{00000000-0006-0000-0000-0000A200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358" authorId="0" shapeId="0" xr:uid="{00000000-0006-0000-0000-0000A3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59" authorId="1" shapeId="0" xr:uid="{00000000-0006-0000-0000-0000A4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60" authorId="1" shapeId="0" xr:uid="{00000000-0006-0000-0000-0000A5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61" authorId="0" shapeId="0" xr:uid="{00000000-0006-0000-0000-0000A6000000}">
      <text>
        <r>
          <rPr>
            <b/>
            <sz val="9"/>
            <color indexed="81"/>
            <rFont val="Tahoma"/>
            <family val="2"/>
          </rPr>
          <t>UBITEC:</t>
        </r>
        <r>
          <rPr>
            <sz val="9"/>
            <color indexed="81"/>
            <rFont val="Tahoma"/>
            <family val="2"/>
          </rPr>
          <t xml:space="preserve">
</t>
        </r>
        <r>
          <rPr>
            <sz val="10"/>
            <color indexed="81"/>
            <rFont val="Tahoma"/>
            <family val="2"/>
          </rPr>
          <t xml:space="preserve">Calle Tolteca No. 955 Unidad habitacional: Unidad Modelo C.P. 64140 Monterrey Nuevo León. </t>
        </r>
      </text>
    </comment>
    <comment ref="H362" authorId="0" shapeId="0" xr:uid="{00000000-0006-0000-0000-0000A7000000}">
      <text>
        <r>
          <rPr>
            <b/>
            <sz val="9"/>
            <color indexed="81"/>
            <rFont val="Tahoma"/>
            <family val="2"/>
          </rPr>
          <t>UBITEC:</t>
        </r>
        <r>
          <rPr>
            <sz val="9"/>
            <color indexed="81"/>
            <rFont val="Tahoma"/>
            <family val="2"/>
          </rPr>
          <t xml:space="preserve">
</t>
        </r>
        <r>
          <rPr>
            <sz val="10"/>
            <color indexed="81"/>
            <rFont val="Tahoma"/>
            <family val="2"/>
          </rPr>
          <t xml:space="preserve">Calle Tolteca No. 955 Unidad habitacional: Unidad Modelo C.P. 64140 Monterrey Nuevo León. </t>
        </r>
      </text>
    </comment>
    <comment ref="H363" authorId="0" shapeId="0" xr:uid="{00000000-0006-0000-0000-0000A8000000}">
      <text>
        <r>
          <rPr>
            <b/>
            <sz val="9"/>
            <color indexed="81"/>
            <rFont val="Tahoma"/>
            <family val="2"/>
          </rPr>
          <t>UBITEC:</t>
        </r>
        <r>
          <rPr>
            <sz val="9"/>
            <color indexed="81"/>
            <rFont val="Tahoma"/>
            <family val="2"/>
          </rPr>
          <t xml:space="preserve">
</t>
        </r>
        <r>
          <rPr>
            <sz val="11"/>
            <color indexed="81"/>
            <rFont val="Tahoma"/>
            <family val="2"/>
          </rPr>
          <t xml:space="preserve">Domicilio. Río Pesquería No. 192, Colonia Paseo Santa Rosa, Apodaca, Nuevo León.  </t>
        </r>
      </text>
    </comment>
    <comment ref="H364" authorId="0" shapeId="0" xr:uid="{00000000-0006-0000-0000-0000A9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65" authorId="1" shapeId="0" xr:uid="{00000000-0006-0000-0000-0000AA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66" authorId="0" shapeId="0" xr:uid="{00000000-0006-0000-0000-0000AB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67" authorId="0" shapeId="0" xr:uid="{00000000-0006-0000-0000-0000AC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68" authorId="0" shapeId="0" xr:uid="{00000000-0006-0000-0000-0000AD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69" authorId="1" shapeId="0" xr:uid="{00000000-0006-0000-0000-0000AE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70" authorId="0" shapeId="0" xr:uid="{00000000-0006-0000-0000-0000AF000000}">
      <text>
        <r>
          <rPr>
            <b/>
            <sz val="9"/>
            <color indexed="81"/>
            <rFont val="Tahoma"/>
            <family val="2"/>
          </rPr>
          <t>UBITEC:</t>
        </r>
        <r>
          <rPr>
            <sz val="9"/>
            <color indexed="81"/>
            <rFont val="Tahoma"/>
            <family val="2"/>
          </rPr>
          <t xml:space="preserve">
</t>
        </r>
        <r>
          <rPr>
            <sz val="10"/>
            <color indexed="81"/>
            <rFont val="Tahoma"/>
            <family val="2"/>
          </rPr>
          <t>Domicilio. Calle Aperos No. 613 Colonia: Portales de la Silla C.P. 67194 Guadalupe Nuevo León</t>
        </r>
        <r>
          <rPr>
            <sz val="9"/>
            <color indexed="81"/>
            <rFont val="Tahoma"/>
            <family val="2"/>
          </rPr>
          <t xml:space="preserve">
</t>
        </r>
      </text>
    </comment>
    <comment ref="H371" authorId="0" shapeId="0" xr:uid="{00000000-0006-0000-0000-0000B0000000}">
      <text>
        <r>
          <rPr>
            <b/>
            <sz val="9"/>
            <color indexed="81"/>
            <rFont val="Tahoma"/>
            <family val="2"/>
          </rPr>
          <t>UBITEC:</t>
        </r>
        <r>
          <rPr>
            <sz val="9"/>
            <color indexed="81"/>
            <rFont val="Tahoma"/>
            <family val="2"/>
          </rPr>
          <t xml:space="preserve">
</t>
        </r>
        <r>
          <rPr>
            <sz val="10"/>
            <color indexed="81"/>
            <rFont val="Tahoma"/>
            <family val="2"/>
          </rPr>
          <t>Calle Crisantema No. 438 Colonia: Tres caminos C.P. 67190 Nuevo León</t>
        </r>
      </text>
    </comment>
    <comment ref="H372" authorId="0" shapeId="0" xr:uid="{00000000-0006-0000-0000-0000B1000000}">
      <text>
        <r>
          <rPr>
            <b/>
            <sz val="9"/>
            <color indexed="81"/>
            <rFont val="Tahoma"/>
            <family val="2"/>
          </rPr>
          <t>UBITEC:</t>
        </r>
        <r>
          <rPr>
            <sz val="9"/>
            <color indexed="81"/>
            <rFont val="Tahoma"/>
            <family val="2"/>
          </rPr>
          <t xml:space="preserve">
</t>
        </r>
        <r>
          <rPr>
            <sz val="10"/>
            <color indexed="81"/>
            <rFont val="Tahoma"/>
            <family val="2"/>
          </rPr>
          <t>Calle Porfirio diaz No. 279 Colonia: Huinalá C.P. 66640 Ciudad Apodaca Nuevo León</t>
        </r>
      </text>
    </comment>
    <comment ref="H373" authorId="1" shapeId="0" xr:uid="{00000000-0006-0000-0000-0000B2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74" authorId="0" shapeId="0" xr:uid="{00000000-0006-0000-0000-0000B3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75" authorId="1" shapeId="0" xr:uid="{00000000-0006-0000-0000-0000B4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76" authorId="0" shapeId="0" xr:uid="{00000000-0006-0000-0000-0000B5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77" authorId="0" shapeId="0" xr:uid="{00000000-0006-0000-0000-0000B6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78" authorId="0" shapeId="0" xr:uid="{00000000-0006-0000-0000-0000B7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80" authorId="0" shapeId="0" xr:uid="{00000000-0006-0000-0000-0000B8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381" authorId="0" shapeId="0" xr:uid="{00000000-0006-0000-0000-0000B9000000}">
      <text>
        <r>
          <rPr>
            <b/>
            <sz val="9"/>
            <color indexed="81"/>
            <rFont val="Tahoma"/>
            <family val="2"/>
          </rPr>
          <t>UBITEC:</t>
        </r>
        <r>
          <rPr>
            <sz val="9"/>
            <color indexed="81"/>
            <rFont val="Tahoma"/>
            <family val="2"/>
          </rPr>
          <t xml:space="preserve">
</t>
        </r>
        <r>
          <rPr>
            <sz val="11"/>
            <color indexed="81"/>
            <rFont val="Tahoma"/>
            <family val="2"/>
          </rPr>
          <t>Rincón de La Basílica 1828, Santa María Sector C, 67190 Guadalupe, N.L.</t>
        </r>
      </text>
    </comment>
    <comment ref="H382" authorId="0" shapeId="0" xr:uid="{00000000-0006-0000-0000-0000BA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383" authorId="0" shapeId="0" xr:uid="{00000000-0006-0000-0000-0000BB00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384" authorId="0" shapeId="0" xr:uid="{00000000-0006-0000-0000-0000BC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385" authorId="1" shapeId="0" xr:uid="{00000000-0006-0000-0000-0000BD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86" authorId="0" shapeId="0" xr:uid="{00000000-0006-0000-0000-0000BE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87" authorId="1" shapeId="0" xr:uid="{00000000-0006-0000-0000-0000BF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88" authorId="1" shapeId="0" xr:uid="{00000000-0006-0000-0000-0000C0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389" authorId="0" shapeId="0" xr:uid="{00000000-0006-0000-0000-0000C1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90" authorId="0" shapeId="0" xr:uid="{00000000-0006-0000-0000-0000C2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92" authorId="0" shapeId="0" xr:uid="{00000000-0006-0000-0000-0000C3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393" authorId="0" shapeId="0" xr:uid="{00000000-0006-0000-0000-0000C4000000}">
      <text>
        <r>
          <rPr>
            <b/>
            <sz val="9"/>
            <color indexed="81"/>
            <rFont val="Tahoma"/>
            <family val="2"/>
          </rPr>
          <t>UBITEC:</t>
        </r>
        <r>
          <rPr>
            <sz val="9"/>
            <color indexed="81"/>
            <rFont val="Tahoma"/>
            <family val="2"/>
          </rPr>
          <t xml:space="preserve">
</t>
        </r>
        <r>
          <rPr>
            <sz val="10"/>
            <color indexed="81"/>
            <rFont val="Tahoma"/>
            <family val="2"/>
          </rPr>
          <t>Río de Cordoba No. 101 D, Colonia. Lomas de Cordoba, Juarez, Nuevo Leon, C.P. 67275</t>
        </r>
      </text>
    </comment>
    <comment ref="H394" authorId="0" shapeId="0" xr:uid="{00000000-0006-0000-0000-0000C5000000}">
      <text>
        <r>
          <rPr>
            <b/>
            <sz val="9"/>
            <color indexed="81"/>
            <rFont val="Tahoma"/>
            <family val="2"/>
          </rPr>
          <t>UBITEC:</t>
        </r>
        <r>
          <rPr>
            <sz val="9"/>
            <color indexed="81"/>
            <rFont val="Tahoma"/>
            <family val="2"/>
          </rPr>
          <t xml:space="preserve">
</t>
        </r>
        <r>
          <rPr>
            <sz val="10"/>
            <color indexed="81"/>
            <rFont val="Tahoma"/>
            <family val="2"/>
          </rPr>
          <t>Fraccionamiento. Cantotal, Pesquería, Nuevo León, C.P. 66673</t>
        </r>
      </text>
    </comment>
    <comment ref="H395" authorId="0" shapeId="0" xr:uid="{00000000-0006-0000-0000-0000C6000000}">
      <text>
        <r>
          <rPr>
            <b/>
            <sz val="9"/>
            <color indexed="81"/>
            <rFont val="Tahoma"/>
            <family val="2"/>
          </rPr>
          <t>UBITEC:</t>
        </r>
        <r>
          <rPr>
            <sz val="9"/>
            <color indexed="81"/>
            <rFont val="Tahoma"/>
            <family val="2"/>
          </rPr>
          <t xml:space="preserve">
</t>
        </r>
        <r>
          <rPr>
            <sz val="10"/>
            <color indexed="81"/>
            <rFont val="Tahoma"/>
            <family val="2"/>
          </rPr>
          <t>Quetzalcoatl 303, Fraccionamiento. Rincón de las Mitras, Santa Catarina, Nuevo Leó. C.P. 66139</t>
        </r>
      </text>
    </comment>
    <comment ref="H396" authorId="0" shapeId="0" xr:uid="{00000000-0006-0000-0000-0000C7000000}">
      <text>
        <r>
          <rPr>
            <b/>
            <sz val="9"/>
            <color indexed="81"/>
            <rFont val="Tahoma"/>
            <family val="2"/>
          </rPr>
          <t>UBITEC:</t>
        </r>
        <r>
          <rPr>
            <sz val="9"/>
            <color indexed="81"/>
            <rFont val="Tahoma"/>
            <family val="2"/>
          </rPr>
          <t xml:space="preserve">
</t>
        </r>
        <r>
          <rPr>
            <sz val="10"/>
            <color indexed="81"/>
            <rFont val="Tahoma"/>
            <family val="2"/>
          </rPr>
          <t>Río Salado 1058, Colonia. Las Palmas, San Nicolas de los Garza, Nuevo León, C.P. 66460</t>
        </r>
      </text>
    </comment>
    <comment ref="H397" authorId="0" shapeId="0" xr:uid="{00000000-0006-0000-0000-0000C8000000}">
      <text>
        <r>
          <rPr>
            <b/>
            <sz val="9"/>
            <color indexed="81"/>
            <rFont val="Tahoma"/>
            <family val="2"/>
          </rPr>
          <t>UBITEC:</t>
        </r>
        <r>
          <rPr>
            <sz val="9"/>
            <color indexed="81"/>
            <rFont val="Tahoma"/>
            <family val="2"/>
          </rPr>
          <t xml:space="preserve">
</t>
        </r>
        <r>
          <rPr>
            <sz val="10"/>
            <color indexed="81"/>
            <rFont val="Tahoma"/>
            <family val="2"/>
          </rPr>
          <t>Valencia 1500, Apodaca, Nuevo León, C.P. 66649</t>
        </r>
      </text>
    </comment>
    <comment ref="H399" authorId="1" shapeId="0" xr:uid="{00000000-0006-0000-0000-0000C9000000}">
      <text>
        <r>
          <rPr>
            <b/>
            <sz val="9"/>
            <color indexed="81"/>
            <rFont val="Tahoma"/>
            <family val="2"/>
          </rPr>
          <t>Usuario de Windows:</t>
        </r>
        <r>
          <rPr>
            <sz val="9"/>
            <color indexed="81"/>
            <rFont val="Tahoma"/>
            <family val="2"/>
          </rPr>
          <t xml:space="preserve">
</t>
        </r>
        <r>
          <rPr>
            <b/>
            <sz val="10"/>
            <color indexed="81"/>
            <rFont val="Tahoma"/>
            <family val="2"/>
          </rPr>
          <t>Domicilio 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00" authorId="1" shapeId="0" xr:uid="{00000000-0006-0000-0000-0000CA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02" authorId="1" shapeId="0" xr:uid="{00000000-0006-0000-0000-0000CB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03" authorId="1" shapeId="0" xr:uid="{00000000-0006-0000-0000-0000CC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04" authorId="1" shapeId="0" xr:uid="{00000000-0006-0000-0000-0000CD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05" authorId="0" shapeId="0" xr:uid="{00000000-0006-0000-0000-0000CE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406" authorId="0" shapeId="0" xr:uid="{00000000-0006-0000-0000-0000CF000000}">
      <text>
        <r>
          <rPr>
            <b/>
            <sz val="9"/>
            <color indexed="81"/>
            <rFont val="Tahoma"/>
            <family val="2"/>
          </rPr>
          <t>UBITEC:</t>
        </r>
        <r>
          <rPr>
            <sz val="9"/>
            <color indexed="81"/>
            <rFont val="Tahoma"/>
            <family val="2"/>
          </rPr>
          <t xml:space="preserve">
</t>
        </r>
        <r>
          <rPr>
            <sz val="10"/>
            <color indexed="81"/>
            <rFont val="Tahoma"/>
            <family val="2"/>
          </rPr>
          <t xml:space="preserve">Domicilio. Calle N-19 #134, Colonia Metroplex, Apodaca, Nuevo León </t>
        </r>
        <r>
          <rPr>
            <sz val="9"/>
            <color indexed="81"/>
            <rFont val="Tahoma"/>
            <family val="2"/>
          </rPr>
          <t xml:space="preserve">
</t>
        </r>
      </text>
    </comment>
    <comment ref="H407" authorId="0" shapeId="0" xr:uid="{00000000-0006-0000-0000-0000D0000000}">
      <text>
        <r>
          <rPr>
            <b/>
            <sz val="9"/>
            <color indexed="81"/>
            <rFont val="Tahoma"/>
            <family val="2"/>
          </rPr>
          <t>UBITEC:</t>
        </r>
        <r>
          <rPr>
            <sz val="9"/>
            <color indexed="81"/>
            <rFont val="Tahoma"/>
            <family val="2"/>
          </rPr>
          <t xml:space="preserve">
</t>
        </r>
        <r>
          <rPr>
            <sz val="10"/>
            <color indexed="81"/>
            <rFont val="Tahoma"/>
            <family val="2"/>
          </rPr>
          <t>Domicilio. Av. José Vasconcelos 266, Hacienda El Rosario, 66247 Monterrey, N.L</t>
        </r>
      </text>
    </comment>
    <comment ref="H408" authorId="0" shapeId="0" xr:uid="{00000000-0006-0000-0000-0000D1000000}">
      <text>
        <r>
          <rPr>
            <b/>
            <sz val="9"/>
            <color indexed="81"/>
            <rFont val="Tahoma"/>
            <family val="2"/>
          </rPr>
          <t>UBITEC:</t>
        </r>
        <r>
          <rPr>
            <sz val="9"/>
            <color indexed="81"/>
            <rFont val="Tahoma"/>
            <family val="2"/>
          </rPr>
          <t xml:space="preserve">
</t>
        </r>
        <r>
          <rPr>
            <sz val="10"/>
            <color indexed="81"/>
            <rFont val="Tahoma"/>
            <family val="2"/>
          </rPr>
          <t>Domicilio. Calle Rodolfo, entre Alcindoro y C. Parplingo  
Parque Industrial Cd Mitras, García, N.L.</t>
        </r>
      </text>
    </comment>
    <comment ref="H409" authorId="0" shapeId="0" xr:uid="{00000000-0006-0000-0000-0000D2000000}">
      <text>
        <r>
          <rPr>
            <b/>
            <sz val="9"/>
            <color indexed="81"/>
            <rFont val="Tahoma"/>
            <family val="2"/>
          </rPr>
          <t>UBITEC:</t>
        </r>
        <r>
          <rPr>
            <sz val="9"/>
            <color indexed="81"/>
            <rFont val="Tahoma"/>
            <family val="2"/>
          </rPr>
          <t xml:space="preserve">
</t>
        </r>
        <r>
          <rPr>
            <sz val="10"/>
            <color indexed="81"/>
            <rFont val="Tahoma"/>
            <family val="2"/>
          </rPr>
          <t>Calle Alamillo 140, colonia Del Prado, Municipio de Monterrey Nuevo Leon</t>
        </r>
      </text>
    </comment>
    <comment ref="H410" authorId="0" shapeId="0" xr:uid="{00000000-0006-0000-0000-0000D3000000}">
      <text>
        <r>
          <rPr>
            <b/>
            <sz val="9"/>
            <color indexed="81"/>
            <rFont val="Tahoma"/>
            <family val="2"/>
          </rPr>
          <t>UBITEC:</t>
        </r>
        <r>
          <rPr>
            <sz val="9"/>
            <color indexed="81"/>
            <rFont val="Tahoma"/>
            <family val="2"/>
          </rPr>
          <t xml:space="preserve">
</t>
        </r>
        <r>
          <rPr>
            <sz val="10"/>
            <color indexed="81"/>
            <rFont val="Tahoma"/>
            <family val="2"/>
          </rPr>
          <t>Domicilio. Calle Rodolfo, entre Alcindoro y C. Parplingo  
Parque Industrial Cd Mitras, García, N.L.</t>
        </r>
      </text>
    </comment>
    <comment ref="H411" authorId="0" shapeId="0" xr:uid="{00000000-0006-0000-0000-0000D4000000}">
      <text>
        <r>
          <rPr>
            <b/>
            <sz val="9"/>
            <color indexed="81"/>
            <rFont val="Tahoma"/>
            <family val="2"/>
          </rPr>
          <t>UBITEC:</t>
        </r>
        <r>
          <rPr>
            <sz val="9"/>
            <color indexed="81"/>
            <rFont val="Tahoma"/>
            <family val="2"/>
          </rPr>
          <t xml:space="preserve">
</t>
        </r>
        <r>
          <rPr>
            <sz val="10"/>
            <color indexed="81"/>
            <rFont val="Tahoma"/>
            <family val="2"/>
          </rPr>
          <t>Avenida del bosque 241, colonia paseo de guadalupe, guadalupe Nuevo Leon</t>
        </r>
      </text>
    </comment>
    <comment ref="H412" authorId="0" shapeId="0" xr:uid="{00000000-0006-0000-0000-0000D5000000}">
      <text>
        <r>
          <rPr>
            <b/>
            <sz val="9"/>
            <color indexed="81"/>
            <rFont val="Tahoma"/>
            <family val="2"/>
          </rPr>
          <t>UBITEC:</t>
        </r>
        <r>
          <rPr>
            <sz val="9"/>
            <color indexed="81"/>
            <rFont val="Tahoma"/>
            <family val="2"/>
          </rPr>
          <t xml:space="preserve">
</t>
        </r>
        <r>
          <rPr>
            <sz val="10"/>
            <color indexed="81"/>
            <rFont val="Tahoma"/>
            <family val="2"/>
          </rPr>
          <t xml:space="preserve"> Praderas de uruguay 133, Colonia praderas del oriente,  Juarez Nuevo Leon</t>
        </r>
        <r>
          <rPr>
            <sz val="9"/>
            <color indexed="81"/>
            <rFont val="Tahoma"/>
            <family val="2"/>
          </rPr>
          <t xml:space="preserve"> </t>
        </r>
      </text>
    </comment>
    <comment ref="H413" authorId="0" shapeId="0" xr:uid="{00000000-0006-0000-0000-0000D6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414" authorId="1" shapeId="0" xr:uid="{00000000-0006-0000-0000-0000D7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15" authorId="1" shapeId="0" xr:uid="{00000000-0006-0000-0000-0000D8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16" authorId="0" shapeId="0" xr:uid="{00000000-0006-0000-0000-0000D9000000}">
      <text>
        <r>
          <rPr>
            <b/>
            <sz val="9"/>
            <color indexed="81"/>
            <rFont val="Tahoma"/>
            <family val="2"/>
          </rPr>
          <t xml:space="preserve">UBITEC:
11:00 pm </t>
        </r>
        <r>
          <rPr>
            <sz val="9"/>
            <color indexed="81"/>
            <rFont val="Tahoma"/>
            <family val="2"/>
          </rPr>
          <t xml:space="preserve">
</t>
        </r>
        <r>
          <rPr>
            <sz val="10"/>
            <color indexed="81"/>
            <rFont val="Tahoma"/>
            <family val="2"/>
          </rPr>
          <t>Rancho Los Colorines 121, Rancho Viejo, 67192 Guadalupe, N.L.</t>
        </r>
      </text>
    </comment>
    <comment ref="H417" authorId="0" shapeId="0" xr:uid="{00000000-0006-0000-0000-0000DA000000}">
      <text>
        <r>
          <rPr>
            <b/>
            <sz val="9"/>
            <color indexed="81"/>
            <rFont val="Tahoma"/>
            <family val="2"/>
          </rPr>
          <t xml:space="preserve">UBITEC:
12 / 12:15 pm </t>
        </r>
        <r>
          <rPr>
            <sz val="9"/>
            <color indexed="81"/>
            <rFont val="Tahoma"/>
            <family val="2"/>
          </rPr>
          <t xml:space="preserve">
</t>
        </r>
        <r>
          <rPr>
            <sz val="10"/>
            <color indexed="81"/>
            <rFont val="Tahoma"/>
            <family val="2"/>
          </rPr>
          <t>Agustín Melgar 418, Niños Heroes, 67190 Guadalupe, N.L.</t>
        </r>
      </text>
    </comment>
    <comment ref="H418" authorId="0" shapeId="0" xr:uid="{00000000-0006-0000-0000-0000DB000000}">
      <text>
        <r>
          <rPr>
            <b/>
            <sz val="9"/>
            <color indexed="81"/>
            <rFont val="Tahoma"/>
            <family val="2"/>
          </rPr>
          <t>UBITEC:</t>
        </r>
        <r>
          <rPr>
            <sz val="9"/>
            <color indexed="81"/>
            <rFont val="Tahoma"/>
            <family val="2"/>
          </rPr>
          <t xml:space="preserve">
</t>
        </r>
        <r>
          <rPr>
            <sz val="10"/>
            <color indexed="81"/>
            <rFont val="Tahoma"/>
            <family val="2"/>
          </rPr>
          <t>Calle Alamillo 140, colonia Del Prado, Municipio de Monterrey Nuevo Leon</t>
        </r>
      </text>
    </comment>
    <comment ref="H419" authorId="0" shapeId="0" xr:uid="{00000000-0006-0000-0000-0000DC000000}">
      <text>
        <r>
          <rPr>
            <b/>
            <sz val="9"/>
            <color indexed="81"/>
            <rFont val="Tahoma"/>
            <family val="2"/>
          </rPr>
          <t xml:space="preserve">UBITEC:
9:00 am </t>
        </r>
        <r>
          <rPr>
            <sz val="9"/>
            <color indexed="81"/>
            <rFont val="Tahoma"/>
            <family val="2"/>
          </rPr>
          <t xml:space="preserve">
</t>
        </r>
        <r>
          <rPr>
            <sz val="10"/>
            <color indexed="81"/>
            <rFont val="Tahoma"/>
            <family val="2"/>
          </rPr>
          <t xml:space="preserve">Hacienda San Javier 118, Colonia Hacienda del Sol, Garcia Nuevo Leon </t>
        </r>
      </text>
    </comment>
    <comment ref="H420" authorId="1" shapeId="0" xr:uid="{00000000-0006-0000-0000-0000DD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21" authorId="1" shapeId="0" xr:uid="{00000000-0006-0000-0000-0000DE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23" authorId="0" shapeId="0" xr:uid="{00000000-0006-0000-0000-0000DF000000}">
      <text>
        <r>
          <rPr>
            <b/>
            <sz val="9"/>
            <color indexed="81"/>
            <rFont val="Tahoma"/>
            <family val="2"/>
          </rPr>
          <t>UBITEC:</t>
        </r>
        <r>
          <rPr>
            <sz val="9"/>
            <color indexed="81"/>
            <rFont val="Tahoma"/>
            <family val="2"/>
          </rPr>
          <t xml:space="preserve">
</t>
        </r>
        <r>
          <rPr>
            <sz val="10"/>
            <color indexed="81"/>
            <rFont val="Tahoma"/>
            <family val="2"/>
          </rPr>
          <t>Rincón de la ensenada #706 col rincón del Carmen el Carmen</t>
        </r>
      </text>
    </comment>
    <comment ref="H424" authorId="0" shapeId="0" xr:uid="{00000000-0006-0000-0000-0000E0000000}">
      <text>
        <r>
          <rPr>
            <b/>
            <sz val="9"/>
            <color indexed="81"/>
            <rFont val="Tahoma"/>
            <family val="2"/>
          </rPr>
          <t>UBITEC:</t>
        </r>
        <r>
          <rPr>
            <sz val="9"/>
            <color indexed="81"/>
            <rFont val="Tahoma"/>
            <family val="2"/>
          </rPr>
          <t xml:space="preserve">
</t>
        </r>
        <r>
          <rPr>
            <sz val="10"/>
            <color indexed="81"/>
            <rFont val="Tahoma"/>
            <family val="2"/>
          </rPr>
          <t>Rincón de la ensenada #706 col rincón del Carmen el Carmen</t>
        </r>
      </text>
    </comment>
    <comment ref="H425" authorId="0" shapeId="0" xr:uid="{00000000-0006-0000-0000-0000E1000000}">
      <text>
        <r>
          <rPr>
            <b/>
            <sz val="9"/>
            <color indexed="81"/>
            <rFont val="Tahoma"/>
            <family val="2"/>
          </rPr>
          <t>UBITEC:</t>
        </r>
        <r>
          <rPr>
            <sz val="9"/>
            <color indexed="81"/>
            <rFont val="Tahoma"/>
            <family val="2"/>
          </rPr>
          <t xml:space="preserve">
</t>
        </r>
        <r>
          <rPr>
            <sz val="10"/>
            <color indexed="81"/>
            <rFont val="Tahoma"/>
            <family val="2"/>
          </rPr>
          <t>Calle Alamos No. 1713 Colonia: Nogales de La Sierra C.P. 64988 Monterrey Nuevo León</t>
        </r>
      </text>
    </comment>
    <comment ref="H426" authorId="0" shapeId="0" xr:uid="{00000000-0006-0000-0000-0000E2000000}">
      <text>
        <r>
          <rPr>
            <b/>
            <sz val="9"/>
            <color indexed="81"/>
            <rFont val="Tahoma"/>
            <family val="2"/>
          </rPr>
          <t>UBITEC:</t>
        </r>
        <r>
          <rPr>
            <sz val="9"/>
            <color indexed="81"/>
            <rFont val="Tahoma"/>
            <family val="2"/>
          </rPr>
          <t xml:space="preserve">
</t>
        </r>
        <r>
          <rPr>
            <sz val="11"/>
            <color indexed="81"/>
            <rFont val="Tahoma"/>
            <family val="2"/>
          </rPr>
          <t xml:space="preserve">Raymundo Almaguer 327, Raymundo Almaguer, 67180 Guadalupe, N.L. </t>
        </r>
      </text>
    </comment>
    <comment ref="H427" authorId="1" shapeId="0" xr:uid="{00000000-0006-0000-0000-0000E3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28" authorId="1" shapeId="0" xr:uid="{00000000-0006-0000-0000-0000E4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29" authorId="1" shapeId="0" xr:uid="{00000000-0006-0000-0000-0000E5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30" authorId="0" shapeId="0" xr:uid="{00000000-0006-0000-0000-0000E6000000}">
      <text>
        <r>
          <rPr>
            <b/>
            <sz val="9"/>
            <color indexed="81"/>
            <rFont val="Tahoma"/>
            <family val="2"/>
          </rPr>
          <t>UBITEC:</t>
        </r>
        <r>
          <rPr>
            <sz val="9"/>
            <color indexed="81"/>
            <rFont val="Tahoma"/>
            <family val="2"/>
          </rPr>
          <t xml:space="preserve">
</t>
        </r>
        <r>
          <rPr>
            <sz val="11"/>
            <color indexed="81"/>
            <rFont val="Tahoma"/>
            <family val="2"/>
          </rPr>
          <t xml:space="preserve">Raymundo Almaguer 327, Raymundo Almaguer, 67180 Guadalupe, N.L. </t>
        </r>
      </text>
    </comment>
    <comment ref="H432" authorId="1" shapeId="0" xr:uid="{00000000-0006-0000-0000-0000E7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33" authorId="0" shapeId="0" xr:uid="{00000000-0006-0000-0000-0000E800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434" authorId="1" shapeId="0" xr:uid="{00000000-0006-0000-0000-0000E9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35" authorId="1" shapeId="0" xr:uid="{00000000-0006-0000-0000-0000EA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36" authorId="1" shapeId="0" xr:uid="{00000000-0006-0000-0000-0000EB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37" authorId="0" shapeId="0" xr:uid="{00000000-0006-0000-0000-0000EC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438" authorId="0" shapeId="0" xr:uid="{00000000-0006-0000-0000-0000ED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439" authorId="0" shapeId="0" xr:uid="{00000000-0006-0000-0000-0000EE000000}">
      <text>
        <r>
          <rPr>
            <b/>
            <sz val="9"/>
            <color indexed="81"/>
            <rFont val="Tahoma"/>
            <family val="2"/>
          </rPr>
          <t>UBITEC:</t>
        </r>
        <r>
          <rPr>
            <sz val="9"/>
            <color indexed="81"/>
            <rFont val="Tahoma"/>
            <family val="2"/>
          </rPr>
          <t xml:space="preserve">
</t>
        </r>
        <r>
          <rPr>
            <sz val="11"/>
            <color indexed="81"/>
            <rFont val="Tahoma"/>
            <family val="2"/>
          </rPr>
          <t xml:space="preserve"> Calle BREZO No. 724 Colonia: Valle de las Flores C.P. 66647 Ciudad Apodaca Nuevo León
</t>
        </r>
      </text>
    </comment>
    <comment ref="H440" authorId="0" shapeId="0" xr:uid="{00000000-0006-0000-0000-0000EF000000}">
      <text>
        <r>
          <rPr>
            <b/>
            <sz val="9"/>
            <color indexed="81"/>
            <rFont val="Tahoma"/>
            <family val="2"/>
          </rPr>
          <t>UBITEC:</t>
        </r>
        <r>
          <rPr>
            <sz val="9"/>
            <color indexed="81"/>
            <rFont val="Tahoma"/>
            <family val="2"/>
          </rPr>
          <t xml:space="preserve">
</t>
        </r>
        <r>
          <rPr>
            <sz val="11"/>
            <color indexed="81"/>
            <rFont val="Tahoma"/>
            <family val="2"/>
          </rPr>
          <t xml:space="preserve"> Calle Tabachin No. 3729 Colonia: Jardines de San Rafael C.P. 67119 Guadalupe Nuevo León. </t>
        </r>
      </text>
    </comment>
    <comment ref="H441" authorId="0" shapeId="0" xr:uid="{00000000-0006-0000-0000-0000F0000000}">
      <text>
        <r>
          <rPr>
            <b/>
            <sz val="9"/>
            <color indexed="81"/>
            <rFont val="Tahoma"/>
            <family val="2"/>
          </rPr>
          <t>UBITEC:</t>
        </r>
        <r>
          <rPr>
            <sz val="9"/>
            <color indexed="81"/>
            <rFont val="Tahoma"/>
            <family val="2"/>
          </rPr>
          <t xml:space="preserve">
</t>
        </r>
        <r>
          <rPr>
            <sz val="11"/>
            <color indexed="81"/>
            <rFont val="Tahoma"/>
            <family val="2"/>
          </rPr>
          <t>Nicolas Bravo 716, sur esquina juventud rosas, colonia Maria Luisa, Centro de Monterrey.</t>
        </r>
      </text>
    </comment>
    <comment ref="H442" authorId="0" shapeId="0" xr:uid="{00000000-0006-0000-0000-0000F1000000}">
      <text>
        <r>
          <rPr>
            <b/>
            <sz val="9"/>
            <color indexed="81"/>
            <rFont val="Tahoma"/>
            <family val="2"/>
          </rPr>
          <t>UBITEC:</t>
        </r>
        <r>
          <rPr>
            <sz val="9"/>
            <color indexed="81"/>
            <rFont val="Tahoma"/>
            <family val="2"/>
          </rPr>
          <t xml:space="preserve">
</t>
        </r>
        <r>
          <rPr>
            <sz val="10"/>
            <color indexed="81"/>
            <rFont val="Tahoma"/>
            <family val="2"/>
          </rPr>
          <t>Alhelí 1537, Residencial Santa María, 67190 Guadalupe, N.L.</t>
        </r>
      </text>
    </comment>
    <comment ref="H443" authorId="0" shapeId="0" xr:uid="{00000000-0006-0000-0000-0000F2000000}">
      <text>
        <r>
          <rPr>
            <b/>
            <sz val="9"/>
            <color indexed="81"/>
            <rFont val="Tahoma"/>
            <family val="2"/>
          </rPr>
          <t>UBITEC:</t>
        </r>
        <r>
          <rPr>
            <sz val="9"/>
            <color indexed="81"/>
            <rFont val="Tahoma"/>
            <family val="2"/>
          </rPr>
          <t xml:space="preserve">
</t>
        </r>
        <r>
          <rPr>
            <sz val="10"/>
            <color indexed="81"/>
            <rFont val="Tahoma"/>
            <family val="2"/>
          </rPr>
          <t xml:space="preserve">BODEGA AURRERA 
</t>
        </r>
        <r>
          <rPr>
            <sz val="11"/>
            <color indexed="81"/>
            <rFont val="Tahoma"/>
            <family val="2"/>
          </rPr>
          <t>Hda. de Escobedo, Gral Emiliano Zapata, 66057 Cd Gral Escobedo, N.L.</t>
        </r>
      </text>
    </comment>
    <comment ref="H444" authorId="1" shapeId="0" xr:uid="{00000000-0006-0000-0000-0000F3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45" authorId="1" shapeId="0" xr:uid="{00000000-0006-0000-0000-0000F4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46" authorId="1" shapeId="0" xr:uid="{00000000-0006-0000-0000-0000F5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47" authorId="1" shapeId="0" xr:uid="{00000000-0006-0000-0000-0000F6000000}">
      <text>
        <r>
          <rPr>
            <b/>
            <sz val="9"/>
            <color indexed="81"/>
            <rFont val="Tahoma"/>
            <family val="2"/>
          </rPr>
          <t>Usuario de Windows:</t>
        </r>
        <r>
          <rPr>
            <sz val="9"/>
            <color indexed="81"/>
            <rFont val="Tahoma"/>
            <family val="2"/>
          </rPr>
          <t xml:space="preserve">
</t>
        </r>
        <r>
          <rPr>
            <b/>
            <sz val="11"/>
            <color indexed="81"/>
            <rFont val="Tahoma"/>
            <family val="2"/>
          </rPr>
          <t>Taller Mecanico</t>
        </r>
        <r>
          <rPr>
            <sz val="9"/>
            <color indexed="81"/>
            <rFont val="Tahoma"/>
            <family val="2"/>
          </rPr>
          <t xml:space="preserve">
</t>
        </r>
        <r>
          <rPr>
            <sz val="11"/>
            <color indexed="81"/>
            <rFont val="Tahoma"/>
            <family val="2"/>
          </rPr>
          <t>Andalucía 205, Las Provincias, 66634 Cd Apodaca, N.L.</t>
        </r>
      </text>
    </comment>
    <comment ref="H448" authorId="1" shapeId="0" xr:uid="{00000000-0006-0000-0000-0000F7000000}">
      <text>
        <r>
          <rPr>
            <b/>
            <sz val="9"/>
            <color indexed="81"/>
            <rFont val="Tahoma"/>
            <family val="2"/>
          </rPr>
          <t>Usuario de Windows:</t>
        </r>
        <r>
          <rPr>
            <sz val="9"/>
            <color indexed="81"/>
            <rFont val="Tahoma"/>
            <family val="2"/>
          </rPr>
          <t xml:space="preserve">
</t>
        </r>
        <r>
          <rPr>
            <b/>
            <sz val="11"/>
            <color indexed="81"/>
            <rFont val="Tahoma"/>
            <family val="2"/>
          </rPr>
          <t>Taller Mecanico</t>
        </r>
        <r>
          <rPr>
            <sz val="9"/>
            <color indexed="81"/>
            <rFont val="Tahoma"/>
            <family val="2"/>
          </rPr>
          <t xml:space="preserve">
</t>
        </r>
        <r>
          <rPr>
            <sz val="11"/>
            <color indexed="81"/>
            <rFont val="Tahoma"/>
            <family val="2"/>
          </rPr>
          <t>Andalucía 205, Las Provincias, 66634 Cd Apodaca, N.L.</t>
        </r>
      </text>
    </comment>
    <comment ref="H449" authorId="0" shapeId="0" xr:uid="{00000000-0006-0000-0000-0000F8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450" authorId="0" shapeId="0" xr:uid="{00000000-0006-0000-0000-0000F9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451" authorId="0" shapeId="0" xr:uid="{00000000-0006-0000-0000-0000FA00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452" authorId="1" shapeId="0" xr:uid="{00000000-0006-0000-0000-0000FB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53" authorId="0" shapeId="0" xr:uid="{00000000-0006-0000-0000-0000FC000000}">
      <text>
        <r>
          <rPr>
            <b/>
            <sz val="9"/>
            <color indexed="81"/>
            <rFont val="Tahoma"/>
            <family val="2"/>
          </rPr>
          <t>UBITEC:</t>
        </r>
        <r>
          <rPr>
            <sz val="9"/>
            <color indexed="81"/>
            <rFont val="Tahoma"/>
            <family val="2"/>
          </rPr>
          <t xml:space="preserve">
</t>
        </r>
        <r>
          <rPr>
            <sz val="11"/>
            <color indexed="81"/>
            <rFont val="Tahoma"/>
            <family val="2"/>
          </rPr>
          <t>Nicolas Bravo 716, sur esquina juventud rosas, colonia Maria Luisa, Centro de Monterrey</t>
        </r>
      </text>
    </comment>
    <comment ref="H454" authorId="1" shapeId="0" xr:uid="{00000000-0006-0000-0000-0000FD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55" authorId="1" shapeId="0" xr:uid="{00000000-0006-0000-0000-0000FE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56" authorId="1" shapeId="0" xr:uid="{00000000-0006-0000-0000-0000FF00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57" authorId="1" shapeId="0" xr:uid="{00000000-0006-0000-0000-000000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58" authorId="0" shapeId="0" xr:uid="{00000000-0006-0000-0000-000001010000}">
      <text>
        <r>
          <rPr>
            <b/>
            <sz val="9"/>
            <color indexed="81"/>
            <rFont val="Tahoma"/>
            <family val="2"/>
          </rPr>
          <t>UBITEC:</t>
        </r>
        <r>
          <rPr>
            <sz val="9"/>
            <color indexed="81"/>
            <rFont val="Tahoma"/>
            <family val="2"/>
          </rPr>
          <t xml:space="preserve">
</t>
        </r>
        <r>
          <rPr>
            <sz val="11"/>
            <color indexed="81"/>
            <rFont val="Tahoma"/>
            <family val="2"/>
          </rPr>
          <t>Av. Benito Juárez 16, Joyas de Anahuac, 66050 Cd Gral Escobedo, N.L.</t>
        </r>
      </text>
    </comment>
    <comment ref="H459" authorId="0" shapeId="0" xr:uid="{00000000-0006-0000-0000-000002010000}">
      <text>
        <r>
          <rPr>
            <b/>
            <sz val="9"/>
            <color indexed="81"/>
            <rFont val="Tahoma"/>
            <family val="2"/>
          </rPr>
          <t>UBITEC:</t>
        </r>
        <r>
          <rPr>
            <sz val="9"/>
            <color indexed="81"/>
            <rFont val="Tahoma"/>
            <family val="2"/>
          </rPr>
          <t xml:space="preserve">
</t>
        </r>
        <r>
          <rPr>
            <sz val="11"/>
            <color indexed="81"/>
            <rFont val="Tahoma"/>
            <family val="2"/>
          </rPr>
          <t>Calle Valle de apan No. 203 Fraccionamiento: Paraje San José C.P. 66023 García Nuevo León</t>
        </r>
      </text>
    </comment>
    <comment ref="H460" authorId="1" shapeId="0" xr:uid="{00000000-0006-0000-0000-000003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61" authorId="0" shapeId="0" xr:uid="{00000000-0006-0000-0000-000004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462" authorId="0" shapeId="0" xr:uid="{00000000-0006-0000-0000-000005010000}">
      <text>
        <r>
          <rPr>
            <b/>
            <sz val="9"/>
            <color indexed="81"/>
            <rFont val="Tahoma"/>
            <family val="2"/>
          </rPr>
          <t>UBITEC:</t>
        </r>
        <r>
          <rPr>
            <sz val="9"/>
            <color indexed="81"/>
            <rFont val="Tahoma"/>
            <family val="2"/>
          </rPr>
          <t xml:space="preserve">
</t>
        </r>
        <r>
          <rPr>
            <sz val="11"/>
            <color indexed="81"/>
            <rFont val="Tahoma"/>
            <family val="2"/>
          </rPr>
          <t>Ecologia 111 , colonia parque la silla , apodaca Nuevo Leon</t>
        </r>
      </text>
    </comment>
    <comment ref="H463" authorId="0" shapeId="0" xr:uid="{00000000-0006-0000-0000-000006010000}">
      <text>
        <r>
          <rPr>
            <b/>
            <sz val="9"/>
            <color indexed="81"/>
            <rFont val="Tahoma"/>
            <family val="2"/>
          </rPr>
          <t>UBITEC:</t>
        </r>
        <r>
          <rPr>
            <sz val="9"/>
            <color indexed="81"/>
            <rFont val="Tahoma"/>
            <family val="2"/>
          </rPr>
          <t xml:space="preserve">
</t>
        </r>
        <r>
          <rPr>
            <sz val="11"/>
            <color indexed="81"/>
            <rFont val="Tahoma"/>
            <family val="2"/>
          </rPr>
          <t>Luis M. Farias, 220, Los eucaliptos, escobedo Nuevo leon</t>
        </r>
      </text>
    </comment>
    <comment ref="H464" authorId="1" shapeId="0" xr:uid="{00000000-0006-0000-0000-000007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66" authorId="0" shapeId="0" xr:uid="{00000000-0006-0000-0000-000008010000}">
      <text>
        <r>
          <rPr>
            <b/>
            <sz val="9"/>
            <color indexed="81"/>
            <rFont val="Tahoma"/>
            <family val="2"/>
          </rPr>
          <t>UBITEC:</t>
        </r>
        <r>
          <rPr>
            <sz val="9"/>
            <color indexed="81"/>
            <rFont val="Tahoma"/>
            <family val="2"/>
          </rPr>
          <t xml:space="preserve">
</t>
        </r>
        <r>
          <rPr>
            <sz val="11"/>
            <color indexed="81"/>
            <rFont val="Tahoma"/>
            <family val="2"/>
          </rPr>
          <t>Antiguo Camino a S. José de Los Sauces 306, Gral Emiliano Zapata, 66090 Cd Gral Escobedo, N.L.</t>
        </r>
      </text>
    </comment>
    <comment ref="H467" authorId="0" shapeId="0" xr:uid="{00000000-0006-0000-0000-000009010000}">
      <text>
        <r>
          <rPr>
            <b/>
            <sz val="9"/>
            <color indexed="81"/>
            <rFont val="Tahoma"/>
            <family val="2"/>
          </rPr>
          <t>UBITEC:</t>
        </r>
        <r>
          <rPr>
            <sz val="9"/>
            <color indexed="81"/>
            <rFont val="Tahoma"/>
            <family val="2"/>
          </rPr>
          <t xml:space="preserve">
</t>
        </r>
        <r>
          <rPr>
            <sz val="11"/>
            <color indexed="81"/>
            <rFont val="Tahoma"/>
            <family val="2"/>
          </rPr>
          <t>Calle Valle de apan No. 203 Fraccionamiento: Paraje San José C.P. 66023 García Nuevo León</t>
        </r>
      </text>
    </comment>
    <comment ref="H468" authorId="0" shapeId="0" xr:uid="{00000000-0006-0000-0000-00000A010000}">
      <text>
        <r>
          <rPr>
            <b/>
            <sz val="9"/>
            <color indexed="81"/>
            <rFont val="Tahoma"/>
            <family val="2"/>
          </rPr>
          <t>UBITEC:</t>
        </r>
        <r>
          <rPr>
            <sz val="9"/>
            <color indexed="81"/>
            <rFont val="Tahoma"/>
            <family val="2"/>
          </rPr>
          <t xml:space="preserve">
</t>
        </r>
        <r>
          <rPr>
            <sz val="11"/>
            <color indexed="81"/>
            <rFont val="Tahoma"/>
            <family val="2"/>
          </rPr>
          <t>Calle Ottawa No. 217 Fraccionamiento: Terranova Elite 1 C.P. 66646 Apodaca Nuevo León.</t>
        </r>
      </text>
    </comment>
    <comment ref="H469" authorId="0" shapeId="0" xr:uid="{00000000-0006-0000-0000-00000B010000}">
      <text>
        <r>
          <rPr>
            <b/>
            <sz val="9"/>
            <color indexed="81"/>
            <rFont val="Tahoma"/>
            <family val="2"/>
          </rPr>
          <t>UBITEC:</t>
        </r>
        <r>
          <rPr>
            <sz val="9"/>
            <color indexed="81"/>
            <rFont val="Tahoma"/>
            <family val="2"/>
          </rPr>
          <t xml:space="preserve">
</t>
        </r>
        <r>
          <rPr>
            <sz val="11"/>
            <color indexed="81"/>
            <rFont val="Tahoma"/>
            <family val="2"/>
          </rPr>
          <t xml:space="preserve">Anacahuita 141, Colinas de San Juan Colinas de La Morena, C.P. 67265 Juárez, N.L. </t>
        </r>
      </text>
    </comment>
    <comment ref="H470" authorId="0" shapeId="0" xr:uid="{00000000-0006-0000-0000-00000C010000}">
      <text>
        <r>
          <rPr>
            <b/>
            <sz val="9"/>
            <color indexed="81"/>
            <rFont val="Tahoma"/>
            <family val="2"/>
          </rPr>
          <t>UBITEC:</t>
        </r>
        <r>
          <rPr>
            <sz val="9"/>
            <color indexed="81"/>
            <rFont val="Tahoma"/>
            <family val="2"/>
          </rPr>
          <t xml:space="preserve">
</t>
        </r>
        <r>
          <rPr>
            <sz val="11"/>
            <color indexed="81"/>
            <rFont val="Tahoma"/>
            <family val="2"/>
          </rPr>
          <t>Sta. Renata 205, 66604 Cd Apodaca, N.L</t>
        </r>
      </text>
    </comment>
    <comment ref="H471" authorId="1" shapeId="0" xr:uid="{00000000-0006-0000-0000-00000D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72" authorId="0" shapeId="0" xr:uid="{00000000-0006-0000-0000-00000E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473" authorId="0" shapeId="0" xr:uid="{00000000-0006-0000-0000-00000F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474" authorId="0" shapeId="0" xr:uid="{00000000-0006-0000-0000-00001001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475" authorId="0" shapeId="0" xr:uid="{00000000-0006-0000-0000-000011010000}">
      <text>
        <r>
          <rPr>
            <b/>
            <sz val="9"/>
            <color indexed="81"/>
            <rFont val="Tahoma"/>
            <family val="2"/>
          </rPr>
          <t>UBITEC:</t>
        </r>
        <r>
          <rPr>
            <sz val="9"/>
            <color indexed="81"/>
            <rFont val="Tahoma"/>
            <family val="2"/>
          </rPr>
          <t xml:space="preserve">
</t>
        </r>
        <r>
          <rPr>
            <sz val="11"/>
            <color indexed="81"/>
            <rFont val="Tahoma"/>
            <family val="2"/>
          </rPr>
          <t>Sta. Inés 502, California Residencial, 66055 Cd Gral Escobedo, N.L.</t>
        </r>
      </text>
    </comment>
    <comment ref="H476" authorId="0" shapeId="0" xr:uid="{00000000-0006-0000-0000-00001201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477" authorId="0" shapeId="0" xr:uid="{00000000-0006-0000-0000-000013010000}">
      <text>
        <r>
          <rPr>
            <b/>
            <sz val="9"/>
            <color indexed="81"/>
            <rFont val="Tahoma"/>
            <family val="2"/>
          </rPr>
          <t>UBITEC:</t>
        </r>
        <r>
          <rPr>
            <sz val="9"/>
            <color indexed="81"/>
            <rFont val="Tahoma"/>
            <family val="2"/>
          </rPr>
          <t xml:space="preserve">
</t>
        </r>
        <r>
          <rPr>
            <sz val="11"/>
            <color indexed="81"/>
            <rFont val="Tahoma"/>
            <family val="2"/>
          </rPr>
          <t xml:space="preserve">Calle PLUMBAGO No. 6408 Colonia: Colina de San Bernabé (F-25) C.P. 64107 Monterrey Nuevo León. </t>
        </r>
      </text>
    </comment>
    <comment ref="H478" authorId="0" shapeId="0" xr:uid="{00000000-0006-0000-0000-00001401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479" authorId="0" shapeId="0" xr:uid="{00000000-0006-0000-0000-00001501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480" authorId="0" shapeId="0" xr:uid="{00000000-0006-0000-0000-000016010000}">
      <text>
        <r>
          <rPr>
            <b/>
            <sz val="9"/>
            <color indexed="81"/>
            <rFont val="Tahoma"/>
            <family val="2"/>
          </rPr>
          <t>UBITEC:</t>
        </r>
        <r>
          <rPr>
            <sz val="9"/>
            <color indexed="81"/>
            <rFont val="Tahoma"/>
            <family val="2"/>
          </rPr>
          <t xml:space="preserve">
</t>
        </r>
        <r>
          <rPr>
            <sz val="11"/>
            <color indexed="81"/>
            <rFont val="Tahoma"/>
            <family val="2"/>
          </rPr>
          <t xml:space="preserve"> Eleno Rodríguez 112B, Buenos Aires, 64800 Monterrey, N.L. </t>
        </r>
      </text>
    </comment>
    <comment ref="H482" authorId="0" shapeId="0" xr:uid="{00000000-0006-0000-0000-000017010000}">
      <text>
        <r>
          <rPr>
            <b/>
            <sz val="9"/>
            <color indexed="81"/>
            <rFont val="Tahoma"/>
            <family val="2"/>
          </rPr>
          <t>UBITEC:</t>
        </r>
        <r>
          <rPr>
            <sz val="9"/>
            <color indexed="81"/>
            <rFont val="Tahoma"/>
            <family val="2"/>
          </rPr>
          <t xml:space="preserve">
</t>
        </r>
        <r>
          <rPr>
            <sz val="11"/>
            <color indexed="81"/>
            <rFont val="Tahoma"/>
            <family val="2"/>
          </rPr>
          <t>abril en portugal 208 residencial San Nicolás 66414 Nuevo Leon</t>
        </r>
      </text>
    </comment>
    <comment ref="H484" authorId="1" shapeId="0" xr:uid="{00000000-0006-0000-0000-000018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85" authorId="1" shapeId="0" xr:uid="{00000000-0006-0000-0000-000019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86" authorId="1" shapeId="0" xr:uid="{00000000-0006-0000-0000-00001A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87" authorId="0" shapeId="0" xr:uid="{00000000-0006-0000-0000-00001B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488" authorId="0" shapeId="0" xr:uid="{00000000-0006-0000-0000-00001C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489" authorId="0" shapeId="0" xr:uid="{00000000-0006-0000-0000-00001D010000}">
      <text>
        <r>
          <rPr>
            <b/>
            <sz val="9"/>
            <color indexed="81"/>
            <rFont val="Tahoma"/>
            <family val="2"/>
          </rPr>
          <t xml:space="preserve">UBITEC:
</t>
        </r>
        <r>
          <rPr>
            <sz val="11"/>
            <color indexed="81"/>
            <rFont val="Tahoma"/>
            <family val="2"/>
          </rPr>
          <t>Calle Hacienda los encinos No. 429 Colonia: Hacienda los Pinos C.P. 66636 Ciudad Apodaca Nuevo León</t>
        </r>
      </text>
    </comment>
    <comment ref="H490" authorId="0" shapeId="0" xr:uid="{00000000-0006-0000-0000-00001E01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492" authorId="0" shapeId="0" xr:uid="{00000000-0006-0000-0000-00001F01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493" authorId="1" shapeId="0" xr:uid="{00000000-0006-0000-0000-000020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94" authorId="1" shapeId="0" xr:uid="{00000000-0006-0000-0000-000021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95" authorId="1" shapeId="0" xr:uid="{00000000-0006-0000-0000-000022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96" authorId="1" shapeId="0" xr:uid="{00000000-0006-0000-0000-000023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97" authorId="1" shapeId="0" xr:uid="{00000000-0006-0000-0000-000024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498" authorId="0" shapeId="0" xr:uid="{00000000-0006-0000-0000-000025010000}">
      <text>
        <r>
          <rPr>
            <b/>
            <sz val="9"/>
            <color indexed="81"/>
            <rFont val="Tahoma"/>
            <family val="2"/>
          </rPr>
          <t>UBITEC:</t>
        </r>
        <r>
          <rPr>
            <sz val="9"/>
            <color indexed="81"/>
            <rFont val="Tahoma"/>
            <family val="2"/>
          </rPr>
          <t xml:space="preserve">
</t>
        </r>
        <r>
          <rPr>
            <sz val="11"/>
            <color indexed="81"/>
            <rFont val="Tahoma"/>
            <family val="2"/>
          </rPr>
          <t>C. Altamisa 1001, 64102 Monterrey, N.L., Monterrey, Nuevo León</t>
        </r>
      </text>
    </comment>
    <comment ref="H499" authorId="0" shapeId="0" xr:uid="{00000000-0006-0000-0000-00002601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500" authorId="0" shapeId="0" xr:uid="{00000000-0006-0000-0000-000027010000}">
      <text>
        <r>
          <rPr>
            <b/>
            <sz val="9"/>
            <color indexed="81"/>
            <rFont val="Tahoma"/>
            <family val="2"/>
          </rPr>
          <t>UBITEC:</t>
        </r>
        <r>
          <rPr>
            <sz val="9"/>
            <color indexed="81"/>
            <rFont val="Tahoma"/>
            <family val="2"/>
          </rPr>
          <t xml:space="preserve">
</t>
        </r>
        <r>
          <rPr>
            <sz val="11"/>
            <color indexed="81"/>
            <rFont val="Tahoma"/>
            <family val="2"/>
          </rPr>
          <t xml:space="preserve"> Calle Monte de Toledo No. 815 Fraccionamiento: Las Puentes Sector 7 C.P. 66460 San Nicolás de los Garza Nuevo León</t>
        </r>
      </text>
    </comment>
    <comment ref="H501" authorId="0" shapeId="0" xr:uid="{00000000-0006-0000-0000-000028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502" authorId="1" shapeId="0" xr:uid="{00000000-0006-0000-0000-000029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03" authorId="1" shapeId="0" xr:uid="{00000000-0006-0000-0000-00002A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04" authorId="1" shapeId="0" xr:uid="{00000000-0006-0000-0000-00002B010000}">
      <text>
        <r>
          <rPr>
            <b/>
            <sz val="9"/>
            <color indexed="81"/>
            <rFont val="Tahoma"/>
            <family val="2"/>
          </rPr>
          <t>Usuario de Windows:</t>
        </r>
        <r>
          <rPr>
            <sz val="9"/>
            <color indexed="81"/>
            <rFont val="Tahoma"/>
            <family val="2"/>
          </rPr>
          <t xml:space="preserve">
</t>
        </r>
        <r>
          <rPr>
            <sz val="11"/>
            <color indexed="81"/>
            <rFont val="Tahoma"/>
            <family val="2"/>
          </rPr>
          <t>León XIII 109, Villa las Puentes, 66460 San Nicolás de los Garza, N.L.</t>
        </r>
      </text>
    </comment>
    <comment ref="H505" authorId="1" shapeId="0" xr:uid="{00000000-0006-0000-0000-00002C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06" authorId="0" shapeId="0" xr:uid="{00000000-0006-0000-0000-00002D010000}">
      <text>
        <r>
          <rPr>
            <b/>
            <sz val="9"/>
            <color indexed="81"/>
            <rFont val="Tahoma"/>
            <family val="2"/>
          </rPr>
          <t>UBITEC:</t>
        </r>
        <r>
          <rPr>
            <sz val="9"/>
            <color indexed="81"/>
            <rFont val="Tahoma"/>
            <family val="2"/>
          </rPr>
          <t xml:space="preserve">
</t>
        </r>
        <r>
          <rPr>
            <b/>
            <sz val="11"/>
            <color indexed="81"/>
            <rFont val="Tahoma"/>
            <family val="2"/>
          </rPr>
          <t>Paraíso 115, Paraíso, 67140 Guadalupe, N.L.</t>
        </r>
        <r>
          <rPr>
            <sz val="11"/>
            <color indexed="81"/>
            <rFont val="Tahoma"/>
            <family val="2"/>
          </rPr>
          <t xml:space="preserve">
</t>
        </r>
        <r>
          <rPr>
            <sz val="10"/>
            <color indexed="81"/>
            <rFont val="Tahoma"/>
            <family val="2"/>
          </rPr>
          <t>https://www.google.com/maps/place/Gonzalez+Autosales/@25.6769983,-100.2687807,21z/data=!4m15!1m8!3m7!1s0x8662bffd74c0f2ef:0x77e9a15c1c31b3db!2sPara%C3%ADso+115,+Para%C3%ADso,+67140+Guadalupe,+N.L.!3b1!8m2!3d25.6769721!4d-100.2686663!16s%2Fg%2F11c5l1g2kp!3m5!1s0x8662bf836de2f807:0x1c2e07ea8c1550c8!8m2!3d25.6769724!4d-100.2686667!16s%2Fg%2F11fp92gsqx?entry=ttu</t>
        </r>
        <r>
          <rPr>
            <sz val="9"/>
            <color indexed="81"/>
            <rFont val="Tahoma"/>
            <family val="2"/>
          </rPr>
          <t xml:space="preserve">
</t>
        </r>
      </text>
    </comment>
    <comment ref="H507" authorId="0" shapeId="0" xr:uid="{00000000-0006-0000-0000-00002E01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508" authorId="0" shapeId="0" xr:uid="{00000000-0006-0000-0000-00002F010000}">
      <text>
        <r>
          <rPr>
            <b/>
            <sz val="9"/>
            <color indexed="81"/>
            <rFont val="Tahoma"/>
            <family val="2"/>
          </rPr>
          <t>UBITEC:</t>
        </r>
        <r>
          <rPr>
            <sz val="9"/>
            <color indexed="81"/>
            <rFont val="Tahoma"/>
            <family val="2"/>
          </rPr>
          <t xml:space="preserve">
</t>
        </r>
        <r>
          <rPr>
            <sz val="11"/>
            <color indexed="81"/>
            <rFont val="Tahoma"/>
            <family val="2"/>
          </rPr>
          <t>Río las adjuntas 346 col. San Isidro primer sector Apodaca</t>
        </r>
      </text>
    </comment>
    <comment ref="H509" authorId="0" shapeId="0" xr:uid="{00000000-0006-0000-0000-000030010000}">
      <text>
        <r>
          <rPr>
            <b/>
            <sz val="9"/>
            <color indexed="81"/>
            <rFont val="Tahoma"/>
            <family val="2"/>
          </rPr>
          <t>UBITEC:</t>
        </r>
        <r>
          <rPr>
            <sz val="9"/>
            <color indexed="81"/>
            <rFont val="Tahoma"/>
            <family val="2"/>
          </rPr>
          <t xml:space="preserve">
</t>
        </r>
        <r>
          <rPr>
            <sz val="11"/>
            <color indexed="81"/>
            <rFont val="Tahoma"/>
            <family val="2"/>
          </rPr>
          <t>Ciruelo 197, Paseo de la Loma, 66647 Campestre Huinalá, N.L.</t>
        </r>
        <r>
          <rPr>
            <sz val="9"/>
            <color indexed="81"/>
            <rFont val="Tahoma"/>
            <family val="2"/>
          </rPr>
          <t xml:space="preserve">
</t>
        </r>
      </text>
    </comment>
    <comment ref="H511" authorId="1" shapeId="0" xr:uid="{00000000-0006-0000-0000-000031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14" authorId="0" shapeId="0" xr:uid="{00000000-0006-0000-0000-000032010000}">
      <text>
        <r>
          <rPr>
            <b/>
            <sz val="9"/>
            <color indexed="81"/>
            <rFont val="Tahoma"/>
            <family val="2"/>
          </rPr>
          <t>UBITEC:</t>
        </r>
        <r>
          <rPr>
            <sz val="9"/>
            <color indexed="81"/>
            <rFont val="Tahoma"/>
            <family val="2"/>
          </rPr>
          <t xml:space="preserve">
</t>
        </r>
        <r>
          <rPr>
            <sz val="11"/>
            <color indexed="81"/>
            <rFont val="Tahoma"/>
            <family val="2"/>
          </rPr>
          <t xml:space="preserve"> Eleno Rodríguez 112B, Buenos Aires, 64800 Monterrey</t>
        </r>
      </text>
    </comment>
    <comment ref="H515" authorId="0" shapeId="0" xr:uid="{00000000-0006-0000-0000-000033010000}">
      <text>
        <r>
          <rPr>
            <b/>
            <sz val="9"/>
            <color indexed="81"/>
            <rFont val="Tahoma"/>
            <family val="2"/>
          </rPr>
          <t>UBITEC:</t>
        </r>
        <r>
          <rPr>
            <sz val="9"/>
            <color indexed="81"/>
            <rFont val="Tahoma"/>
            <family val="2"/>
          </rPr>
          <t xml:space="preserve">
</t>
        </r>
        <r>
          <rPr>
            <sz val="11"/>
            <color indexed="81"/>
            <rFont val="Tahoma"/>
            <family val="2"/>
          </rPr>
          <t>Prof. Rafael Garza Cantú 505, Solidaridad Soc, 66073 Cd Gral Escobedo, N.L</t>
        </r>
      </text>
    </comment>
    <comment ref="H516" authorId="0" shapeId="0" xr:uid="{00000000-0006-0000-0000-000034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517" authorId="1" shapeId="0" xr:uid="{00000000-0006-0000-0000-000035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18" authorId="0" shapeId="0" xr:uid="{00000000-0006-0000-0000-000036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519" authorId="0" shapeId="0" xr:uid="{00000000-0006-0000-0000-000037010000}">
      <text>
        <r>
          <rPr>
            <b/>
            <sz val="9"/>
            <color indexed="81"/>
            <rFont val="Tahoma"/>
            <family val="2"/>
          </rPr>
          <t>UBITEC:</t>
        </r>
        <r>
          <rPr>
            <sz val="9"/>
            <color indexed="81"/>
            <rFont val="Tahoma"/>
            <family val="2"/>
          </rPr>
          <t xml:space="preserve">
</t>
        </r>
        <r>
          <rPr>
            <sz val="11"/>
            <color indexed="81"/>
            <rFont val="Tahoma"/>
            <family val="2"/>
          </rPr>
          <t>Vigo 122, Hacienda Los Pinos ÌII, 66635 Cd Apodaca, N.L.
Ferrol 128, Hacienda Los Pinos ÌII, 66635 Cd Apodaca, N.L.</t>
        </r>
      </text>
    </comment>
    <comment ref="H520" authorId="0" shapeId="0" xr:uid="{00000000-0006-0000-0000-000038010000}">
      <text>
        <r>
          <rPr>
            <b/>
            <sz val="9"/>
            <color indexed="81"/>
            <rFont val="Tahoma"/>
            <family val="2"/>
          </rPr>
          <t>UBITEC:</t>
        </r>
        <r>
          <rPr>
            <sz val="9"/>
            <color indexed="81"/>
            <rFont val="Tahoma"/>
            <family val="2"/>
          </rPr>
          <t xml:space="preserve">
</t>
        </r>
        <r>
          <rPr>
            <sz val="11"/>
            <color indexed="81"/>
            <rFont val="Tahoma"/>
            <family val="2"/>
          </rPr>
          <t>Real de Santa Monica No. 105, Fraccionamiento Real de San Jose, C.P. 67250, Juarez Nuevo León</t>
        </r>
      </text>
    </comment>
    <comment ref="H521" authorId="0" shapeId="0" xr:uid="{00000000-0006-0000-0000-00003901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522" authorId="0" shapeId="0" xr:uid="{00000000-0006-0000-0000-00003A01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523" authorId="1" shapeId="0" xr:uid="{00000000-0006-0000-0000-00003B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24" authorId="1" shapeId="0" xr:uid="{00000000-0006-0000-0000-00003C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25" authorId="0" shapeId="0" xr:uid="{00000000-0006-0000-0000-00003D010000}">
      <text>
        <r>
          <rPr>
            <b/>
            <sz val="9"/>
            <color indexed="81"/>
            <rFont val="Tahoma"/>
            <family val="2"/>
          </rPr>
          <t>UBITEC:</t>
        </r>
        <r>
          <rPr>
            <sz val="9"/>
            <color indexed="81"/>
            <rFont val="Tahoma"/>
            <family val="2"/>
          </rPr>
          <t xml:space="preserve">
</t>
        </r>
        <r>
          <rPr>
            <sz val="11"/>
            <color indexed="81"/>
            <rFont val="Tahoma"/>
            <family val="2"/>
          </rPr>
          <t xml:space="preserve">Calle Antonio Leon No. 2070 Colonia: Residencial La Florida C.P. 64810 Monterrey Nuevo León. </t>
        </r>
      </text>
    </comment>
    <comment ref="H526" authorId="0" shapeId="0" xr:uid="{00000000-0006-0000-0000-00003E010000}">
      <text>
        <r>
          <rPr>
            <b/>
            <sz val="9"/>
            <color indexed="81"/>
            <rFont val="Tahoma"/>
            <family val="2"/>
          </rPr>
          <t>UBITEC:</t>
        </r>
        <r>
          <rPr>
            <sz val="9"/>
            <color indexed="81"/>
            <rFont val="Tahoma"/>
            <family val="2"/>
          </rPr>
          <t xml:space="preserve">
L</t>
        </r>
        <r>
          <rPr>
            <sz val="11"/>
            <color indexed="81"/>
            <rFont val="Tahoma"/>
            <family val="2"/>
          </rPr>
          <t>una Maya 111, San Miguel, 67115 Guadalupe, N.L.</t>
        </r>
      </text>
    </comment>
    <comment ref="H527" authorId="1" shapeId="0" xr:uid="{00000000-0006-0000-0000-00003F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28" authorId="0" shapeId="0" xr:uid="{00000000-0006-0000-0000-000040010000}">
      <text>
        <r>
          <rPr>
            <b/>
            <sz val="9"/>
            <color indexed="81"/>
            <rFont val="Tahoma"/>
            <family val="2"/>
          </rPr>
          <t>UBITEC:</t>
        </r>
        <r>
          <rPr>
            <sz val="9"/>
            <color indexed="81"/>
            <rFont val="Tahoma"/>
            <family val="2"/>
          </rPr>
          <t xml:space="preserve">
</t>
        </r>
        <r>
          <rPr>
            <sz val="11"/>
            <color indexed="81"/>
            <rFont val="Tahoma"/>
            <family val="2"/>
          </rPr>
          <t>Arenque 9021, Colinas de San Bernabé (Fomerrey 25), 64107 Monterrey, N.L.</t>
        </r>
      </text>
    </comment>
    <comment ref="H529" authorId="0" shapeId="0" xr:uid="{00000000-0006-0000-0000-000041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530" authorId="0" shapeId="0" xr:uid="{00000000-0006-0000-0000-000042010000}">
      <text>
        <r>
          <rPr>
            <b/>
            <sz val="9"/>
            <color indexed="81"/>
            <rFont val="Tahoma"/>
            <family val="2"/>
          </rPr>
          <t>UBITEC:</t>
        </r>
        <r>
          <rPr>
            <sz val="9"/>
            <color indexed="81"/>
            <rFont val="Tahoma"/>
            <family val="2"/>
          </rPr>
          <t xml:space="preserve">
L</t>
        </r>
        <r>
          <rPr>
            <sz val="11"/>
            <color indexed="81"/>
            <rFont val="Tahoma"/>
            <family val="2"/>
          </rPr>
          <t>una Maya 111, San Miguel, 67115 Guadalupe, N.L.</t>
        </r>
      </text>
    </comment>
    <comment ref="H531" authorId="0" shapeId="0" xr:uid="{00000000-0006-0000-0000-00004301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532" authorId="1" shapeId="0" xr:uid="{00000000-0006-0000-0000-000044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33" authorId="1" shapeId="0" xr:uid="{00000000-0006-0000-0000-000045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34" authorId="0" shapeId="0" xr:uid="{00000000-0006-0000-0000-00004601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535" authorId="0" shapeId="0" xr:uid="{00000000-0006-0000-0000-000047010000}">
      <text>
        <r>
          <rPr>
            <b/>
            <sz val="9"/>
            <color indexed="81"/>
            <rFont val="Tahoma"/>
            <family val="2"/>
          </rPr>
          <t>UBITEC:</t>
        </r>
        <r>
          <rPr>
            <sz val="9"/>
            <color indexed="81"/>
            <rFont val="Tahoma"/>
            <family val="2"/>
          </rPr>
          <t xml:space="preserve">
</t>
        </r>
        <r>
          <rPr>
            <sz val="11"/>
            <color indexed="81"/>
            <rFont val="Tahoma"/>
            <family val="2"/>
          </rPr>
          <t>Antequera 248, Sector Málaga, Mitras Poniente, 66023 Villas del Poniente, N.L</t>
        </r>
      </text>
    </comment>
    <comment ref="H536" authorId="0" shapeId="0" xr:uid="{00000000-0006-0000-0000-000048010000}">
      <text>
        <r>
          <rPr>
            <b/>
            <sz val="9"/>
            <color indexed="81"/>
            <rFont val="Tahoma"/>
            <family val="2"/>
          </rPr>
          <t>UBITEC:</t>
        </r>
        <r>
          <rPr>
            <sz val="9"/>
            <color indexed="81"/>
            <rFont val="Tahoma"/>
            <family val="2"/>
          </rPr>
          <t xml:space="preserve">
</t>
        </r>
        <r>
          <rPr>
            <sz val="11"/>
            <color indexed="81"/>
            <rFont val="Tahoma"/>
            <family val="2"/>
          </rPr>
          <t>Calle San Rafael 1186, Colonia Mitras Poniente, C.P. 66023, Nuevo León</t>
        </r>
        <r>
          <rPr>
            <sz val="9"/>
            <color indexed="81"/>
            <rFont val="Tahoma"/>
            <family val="2"/>
          </rPr>
          <t xml:space="preserve">
</t>
        </r>
        <r>
          <rPr>
            <b/>
            <sz val="11"/>
            <color indexed="81"/>
            <rFont val="Tahoma"/>
            <family val="2"/>
          </rPr>
          <t>CAMBIO DE DOMICILIO</t>
        </r>
        <r>
          <rPr>
            <sz val="9"/>
            <color indexed="81"/>
            <rFont val="Tahoma"/>
            <family val="2"/>
          </rPr>
          <t xml:space="preserve">
</t>
        </r>
        <r>
          <rPr>
            <sz val="11"/>
            <color indexed="81"/>
            <rFont val="Tahoma"/>
            <family val="2"/>
          </rPr>
          <t>Gas LP, Boulevard Gustavo Díaz Ordaz, San Pedro Garza García, Nuevo León, 66200, México</t>
        </r>
      </text>
    </comment>
    <comment ref="H537" authorId="0" shapeId="0" xr:uid="{00000000-0006-0000-0000-000049010000}">
      <text>
        <r>
          <rPr>
            <b/>
            <sz val="9"/>
            <color indexed="81"/>
            <rFont val="Tahoma"/>
            <family val="2"/>
          </rPr>
          <t>UBITEC:</t>
        </r>
        <r>
          <rPr>
            <sz val="9"/>
            <color indexed="81"/>
            <rFont val="Tahoma"/>
            <family val="2"/>
          </rPr>
          <t xml:space="preserve">
</t>
        </r>
        <r>
          <rPr>
            <sz val="11"/>
            <color indexed="81"/>
            <rFont val="Tahoma"/>
            <family val="2"/>
          </rPr>
          <t>Calle Las Orquideas 503, Fraccionamiento Portal de Alcalá,  C.P. 65580, Nuevo León</t>
        </r>
      </text>
    </comment>
    <comment ref="H538" authorId="1" shapeId="0" xr:uid="{00000000-0006-0000-0000-00004A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39" authorId="1" shapeId="0" xr:uid="{00000000-0006-0000-0000-00004B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40" authorId="0" shapeId="0" xr:uid="{00000000-0006-0000-0000-00004C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541" authorId="0" shapeId="0" xr:uid="{00000000-0006-0000-0000-00004D010000}">
      <text>
        <r>
          <rPr>
            <b/>
            <sz val="9"/>
            <color indexed="81"/>
            <rFont val="Tahoma"/>
            <family val="2"/>
          </rPr>
          <t>UBITEC:</t>
        </r>
        <r>
          <rPr>
            <sz val="9"/>
            <color indexed="81"/>
            <rFont val="Tahoma"/>
            <family val="2"/>
          </rPr>
          <t xml:space="preserve">
</t>
        </r>
        <r>
          <rPr>
            <sz val="11"/>
            <color indexed="81"/>
            <rFont val="Tahoma"/>
            <family val="2"/>
          </rPr>
          <t xml:space="preserve">Domicilio Niza 328, Valle del Nte., 65515 N.L. </t>
        </r>
      </text>
    </comment>
    <comment ref="H542" authorId="0" shapeId="0" xr:uid="{00000000-0006-0000-0000-00004E010000}">
      <text>
        <r>
          <rPr>
            <b/>
            <sz val="9"/>
            <color indexed="81"/>
            <rFont val="Tahoma"/>
            <family val="2"/>
          </rPr>
          <t>UBITEC:</t>
        </r>
        <r>
          <rPr>
            <sz val="9"/>
            <color indexed="81"/>
            <rFont val="Tahoma"/>
            <family val="2"/>
          </rPr>
          <t xml:space="preserve">
</t>
        </r>
        <r>
          <rPr>
            <sz val="11"/>
            <color indexed="81"/>
            <rFont val="Tahoma"/>
            <family val="2"/>
          </rPr>
          <t>Domicilio José Timoteo Rosales 5102, Niño Artillero, 64280 Monterrey, N.L.</t>
        </r>
      </text>
    </comment>
    <comment ref="H543" authorId="1" shapeId="0" xr:uid="{00000000-0006-0000-0000-00004F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44" authorId="0" shapeId="0" xr:uid="{00000000-0006-0000-0000-000050010000}">
      <text>
        <r>
          <rPr>
            <b/>
            <sz val="9"/>
            <color indexed="81"/>
            <rFont val="Tahoma"/>
            <family val="2"/>
          </rPr>
          <t>UBITEC:</t>
        </r>
        <r>
          <rPr>
            <sz val="9"/>
            <color indexed="81"/>
            <rFont val="Tahoma"/>
            <family val="2"/>
          </rPr>
          <t xml:space="preserve">
</t>
        </r>
        <r>
          <rPr>
            <sz val="11"/>
            <color indexed="81"/>
            <rFont val="Tahoma"/>
            <family val="2"/>
          </rPr>
          <t>Av. Pablo Livas, Santa María Sector A, 67190 Guadalupe, N.L.</t>
        </r>
      </text>
    </comment>
    <comment ref="H545" authorId="0" shapeId="0" xr:uid="{00000000-0006-0000-0000-000051010000}">
      <text>
        <r>
          <rPr>
            <b/>
            <sz val="9"/>
            <color indexed="81"/>
            <rFont val="Tahoma"/>
            <family val="2"/>
          </rPr>
          <t>UBITEC:</t>
        </r>
        <r>
          <rPr>
            <sz val="9"/>
            <color indexed="81"/>
            <rFont val="Tahoma"/>
            <family val="2"/>
          </rPr>
          <t xml:space="preserve">
</t>
        </r>
        <r>
          <rPr>
            <sz val="11"/>
            <color indexed="81"/>
            <rFont val="Tahoma"/>
            <family val="2"/>
          </rPr>
          <t>Domicilio Gral Jesús Morales 715, Agropecuaria Emiliano Zapata, 65510 Emiliano Zapata, N.L.</t>
        </r>
      </text>
    </comment>
    <comment ref="H546" authorId="0" shapeId="0" xr:uid="{00000000-0006-0000-0000-000052010000}">
      <text>
        <r>
          <rPr>
            <b/>
            <sz val="9"/>
            <color indexed="81"/>
            <rFont val="Tahoma"/>
            <family val="2"/>
          </rPr>
          <t>UBITEC:</t>
        </r>
        <r>
          <rPr>
            <sz val="9"/>
            <color indexed="81"/>
            <rFont val="Tahoma"/>
            <family val="2"/>
          </rPr>
          <t xml:space="preserve">
</t>
        </r>
        <r>
          <rPr>
            <sz val="11"/>
            <color indexed="81"/>
            <rFont val="Tahoma"/>
            <family val="2"/>
          </rPr>
          <t>Avenida de la Cima 444,  Fraccionamiento Valle del Norte, Salinas Victoria, C.P. 65515, Nuevo León</t>
        </r>
      </text>
    </comment>
    <comment ref="H547" authorId="0" shapeId="0" xr:uid="{00000000-0006-0000-0000-000053010000}">
      <text>
        <r>
          <rPr>
            <b/>
            <sz val="9"/>
            <color indexed="81"/>
            <rFont val="Tahoma"/>
            <family val="2"/>
          </rPr>
          <t>UBITEC:</t>
        </r>
        <r>
          <rPr>
            <sz val="9"/>
            <color indexed="81"/>
            <rFont val="Tahoma"/>
            <family val="2"/>
          </rPr>
          <t xml:space="preserve">
</t>
        </r>
        <r>
          <rPr>
            <sz val="11"/>
            <color indexed="81"/>
            <rFont val="Tahoma"/>
            <family val="2"/>
          </rPr>
          <t>Domicilio Gral Jesús Morales 715, Agropecuaria Emiliano Zapata, 65510 Emiliano Zapata, N.L.</t>
        </r>
      </text>
    </comment>
    <comment ref="H548" authorId="0" shapeId="0" xr:uid="{00000000-0006-0000-0000-000054010000}">
      <text>
        <r>
          <rPr>
            <b/>
            <sz val="9"/>
            <color indexed="81"/>
            <rFont val="Tahoma"/>
            <family val="2"/>
          </rPr>
          <t>UBITEC:</t>
        </r>
        <r>
          <rPr>
            <sz val="9"/>
            <color indexed="81"/>
            <rFont val="Tahoma"/>
            <family val="2"/>
          </rPr>
          <t xml:space="preserve">
</t>
        </r>
        <r>
          <rPr>
            <sz val="11"/>
            <color indexed="81"/>
            <rFont val="Tahoma"/>
            <family val="2"/>
          </rPr>
          <t>21 - Ignacio Zaragoza Sur 1000, Barrio Antiguo, Centro, 64000 Monterrey, N.L.</t>
        </r>
      </text>
    </comment>
    <comment ref="H549" authorId="1" shapeId="0" xr:uid="{00000000-0006-0000-0000-000055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50" authorId="1" shapeId="0" xr:uid="{00000000-0006-0000-0000-000056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51" authorId="0" shapeId="0" xr:uid="{00000000-0006-0000-0000-00005701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552" authorId="0" shapeId="0" xr:uid="{00000000-0006-0000-0000-000058010000}">
      <text>
        <r>
          <rPr>
            <b/>
            <sz val="9"/>
            <color indexed="81"/>
            <rFont val="Tahoma"/>
            <family val="2"/>
          </rPr>
          <t>UBITEC:</t>
        </r>
        <r>
          <rPr>
            <sz val="9"/>
            <color indexed="81"/>
            <rFont val="Tahoma"/>
            <family val="2"/>
          </rPr>
          <t xml:space="preserve">
</t>
        </r>
        <r>
          <rPr>
            <sz val="11"/>
            <color indexed="81"/>
            <rFont val="Tahoma"/>
            <family val="2"/>
          </rPr>
          <t>Domicilio Armiño 210, Aquiles Serdán, 66449 San Nicolás de los Garza, N.L.</t>
        </r>
      </text>
    </comment>
    <comment ref="H553" authorId="0" shapeId="0" xr:uid="{00000000-0006-0000-0000-000059010000}">
      <text>
        <r>
          <rPr>
            <b/>
            <sz val="9"/>
            <color indexed="81"/>
            <rFont val="Tahoma"/>
            <family val="2"/>
          </rPr>
          <t>UBITEC:</t>
        </r>
        <r>
          <rPr>
            <sz val="9"/>
            <color indexed="81"/>
            <rFont val="Tahoma"/>
            <family val="2"/>
          </rPr>
          <t xml:space="preserve">
</t>
        </r>
        <r>
          <rPr>
            <sz val="11"/>
            <color indexed="81"/>
            <rFont val="Tahoma"/>
            <family val="2"/>
          </rPr>
          <t>Domicilio Everest 640, Cordilleras del Virrey, 66358 Santa Catarina, N.L.</t>
        </r>
      </text>
    </comment>
    <comment ref="H554" authorId="0" shapeId="0" xr:uid="{00000000-0006-0000-0000-00005A010000}">
      <text>
        <r>
          <rPr>
            <b/>
            <sz val="9"/>
            <color indexed="81"/>
            <rFont val="Tahoma"/>
            <family val="2"/>
          </rPr>
          <t>UBITEC:</t>
        </r>
        <r>
          <rPr>
            <sz val="9"/>
            <color indexed="81"/>
            <rFont val="Tahoma"/>
            <family val="2"/>
          </rPr>
          <t xml:space="preserve">
</t>
        </r>
        <r>
          <rPr>
            <sz val="11"/>
            <color indexed="81"/>
            <rFont val="Tahoma"/>
            <family val="2"/>
          </rPr>
          <t>Roncesvalles 124, Hacienda Los Pinos ÌII, 66635 Cd Apodaca, N.L.</t>
        </r>
      </text>
    </comment>
    <comment ref="H555" authorId="0" shapeId="0" xr:uid="{00000000-0006-0000-0000-00005B010000}">
      <text>
        <r>
          <rPr>
            <b/>
            <sz val="9"/>
            <color indexed="81"/>
            <rFont val="Tahoma"/>
            <family val="2"/>
          </rPr>
          <t>UBITEC:</t>
        </r>
        <r>
          <rPr>
            <sz val="9"/>
            <color indexed="81"/>
            <rFont val="Tahoma"/>
            <family val="2"/>
          </rPr>
          <t xml:space="preserve">
</t>
        </r>
        <r>
          <rPr>
            <sz val="11"/>
            <color indexed="81"/>
            <rFont val="Tahoma"/>
            <family val="2"/>
          </rPr>
          <t>Dracena 408, Hacienda Las Palmas, 66635 Cd Apodaca, N.L.</t>
        </r>
      </text>
    </comment>
    <comment ref="H556" authorId="0" shapeId="0" xr:uid="{00000000-0006-0000-0000-00005C010000}">
      <text>
        <r>
          <rPr>
            <b/>
            <sz val="9"/>
            <color indexed="81"/>
            <rFont val="Tahoma"/>
            <family val="2"/>
          </rPr>
          <t>UBITEC:</t>
        </r>
        <r>
          <rPr>
            <sz val="9"/>
            <color indexed="81"/>
            <rFont val="Tahoma"/>
            <family val="2"/>
          </rPr>
          <t xml:space="preserve">
</t>
        </r>
        <r>
          <rPr>
            <sz val="11"/>
            <color indexed="81"/>
            <rFont val="Tahoma"/>
            <family val="2"/>
          </rPr>
          <t>Garages y Talleres
Av. Cuauhtémoc 2206, Del Nte., 64410 Monterrey, N.L.</t>
        </r>
      </text>
    </comment>
    <comment ref="H557" authorId="0" shapeId="0" xr:uid="{00000000-0006-0000-0000-00005D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558" authorId="0" shapeId="0" xr:uid="{00000000-0006-0000-0000-00005E010000}">
      <text>
        <r>
          <rPr>
            <b/>
            <sz val="9"/>
            <color indexed="81"/>
            <rFont val="Tahoma"/>
            <family val="2"/>
          </rPr>
          <t>UBITEC:</t>
        </r>
        <r>
          <rPr>
            <sz val="9"/>
            <color indexed="81"/>
            <rFont val="Tahoma"/>
            <family val="2"/>
          </rPr>
          <t xml:space="preserve">
</t>
        </r>
        <r>
          <rPr>
            <sz val="11"/>
            <color indexed="81"/>
            <rFont val="Tahoma"/>
            <family val="2"/>
          </rPr>
          <t>Domicilio Palmera 617, Residencial Los Ebanos Nte. 2o Sector, 66612 Cd Apodaca, N.L.</t>
        </r>
        <r>
          <rPr>
            <sz val="9"/>
            <color indexed="81"/>
            <rFont val="Tahoma"/>
            <family val="2"/>
          </rPr>
          <t xml:space="preserve">
</t>
        </r>
        <r>
          <rPr>
            <sz val="11"/>
            <color indexed="81"/>
            <rFont val="Tahoma"/>
            <family val="2"/>
          </rPr>
          <t>Garages y Talleres
Av. Cuauhtémoc 2206, Del Nte., 64410 Monterrey, N.L.</t>
        </r>
      </text>
    </comment>
    <comment ref="H559" authorId="0" shapeId="0" xr:uid="{00000000-0006-0000-0000-00005F01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560" authorId="1" shapeId="0" xr:uid="{00000000-0006-0000-0000-000060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61" authorId="0" shapeId="0" xr:uid="{00000000-0006-0000-0000-000061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564" authorId="0" shapeId="0" xr:uid="{00000000-0006-0000-0000-000062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565" authorId="0" shapeId="0" xr:uid="{00000000-0006-0000-0000-000063010000}">
      <text>
        <r>
          <rPr>
            <b/>
            <sz val="9"/>
            <color indexed="81"/>
            <rFont val="Tahoma"/>
            <family val="2"/>
          </rPr>
          <t>UBITEC:</t>
        </r>
        <r>
          <rPr>
            <sz val="9"/>
            <color indexed="81"/>
            <rFont val="Tahoma"/>
            <family val="2"/>
          </rPr>
          <t xml:space="preserve">
</t>
        </r>
        <r>
          <rPr>
            <b/>
            <sz val="11"/>
            <color indexed="81"/>
            <rFont val="Tahoma"/>
            <family val="2"/>
          </rPr>
          <t xml:space="preserve">Domicilio Venustiano Carranza Sur 328, Maria Luisa, Centro, 64000 Monterrey, N.L. </t>
        </r>
        <r>
          <rPr>
            <sz val="11"/>
            <color indexed="81"/>
            <rFont val="Tahoma"/>
            <family val="2"/>
          </rPr>
          <t xml:space="preserve">
(Como referencia es en el 7-eleven que esta en la esquina ahi pueden preguntar por mi)</t>
        </r>
      </text>
    </comment>
    <comment ref="H566" authorId="0" shapeId="0" xr:uid="{00000000-0006-0000-0000-000064010000}">
      <text>
        <r>
          <rPr>
            <b/>
            <sz val="9"/>
            <color indexed="81"/>
            <rFont val="Tahoma"/>
            <family val="2"/>
          </rPr>
          <t>UBITEC:</t>
        </r>
        <r>
          <rPr>
            <sz val="9"/>
            <color indexed="81"/>
            <rFont val="Tahoma"/>
            <family val="2"/>
          </rPr>
          <t xml:space="preserve">
</t>
        </r>
        <r>
          <rPr>
            <b/>
            <sz val="10"/>
            <color indexed="81"/>
            <rFont val="Tahoma"/>
            <family val="2"/>
          </rPr>
          <t xml:space="preserve">Av. Anillo Eléctrico 120, Torres de Santo Domingo, 66449 San Nicolás de los Garza, N.L.
</t>
        </r>
        <r>
          <rPr>
            <sz val="10"/>
            <color indexed="81"/>
            <rFont val="Tahoma"/>
            <family val="2"/>
          </rPr>
          <t>https://www.google.com/maps/place/Av.+Anillo+El%C3%A9ctrico+120,+Torres+de+Santo+Domingo,+66449+San+Nicol%C3%A1s+de+los+Garza,+N.L./@25.7557177,-100.2506409,17z/data=!3m1!4b1!4m6!3m5!1s0x8662eb45e2b29b99:0x8e5331d72f59f52!8m2!3d25.7557177!4d-100.248066!16s%2Fg%2F11cs6pgx65?entry=ttu</t>
        </r>
      </text>
    </comment>
    <comment ref="H567" authorId="0" shapeId="0" xr:uid="{00000000-0006-0000-0000-000065010000}">
      <text>
        <r>
          <rPr>
            <b/>
            <sz val="9"/>
            <color indexed="81"/>
            <rFont val="Tahoma"/>
            <family val="2"/>
          </rPr>
          <t>UBITEC:</t>
        </r>
        <r>
          <rPr>
            <sz val="9"/>
            <color indexed="81"/>
            <rFont val="Tahoma"/>
            <family val="2"/>
          </rPr>
          <t xml:space="preserve">
</t>
        </r>
        <r>
          <rPr>
            <sz val="11"/>
            <color indexed="81"/>
            <rFont val="Tahoma"/>
            <family val="2"/>
          </rPr>
          <t>Domicilio Elbert 259, Balcones de Santa Rosa, 66610 Prados de Santa Rosa, N.L</t>
        </r>
        <r>
          <rPr>
            <sz val="9"/>
            <color indexed="81"/>
            <rFont val="Tahoma"/>
            <family val="2"/>
          </rPr>
          <t>.</t>
        </r>
      </text>
    </comment>
    <comment ref="H568" authorId="0" shapeId="0" xr:uid="{00000000-0006-0000-0000-000066010000}">
      <text>
        <r>
          <rPr>
            <b/>
            <sz val="9"/>
            <color indexed="81"/>
            <rFont val="Tahoma"/>
            <family val="2"/>
          </rPr>
          <t>UBITEC:</t>
        </r>
        <r>
          <rPr>
            <sz val="9"/>
            <color indexed="81"/>
            <rFont val="Tahoma"/>
            <family val="2"/>
          </rPr>
          <t xml:space="preserve">
</t>
        </r>
        <r>
          <rPr>
            <sz val="11"/>
            <color indexed="81"/>
            <rFont val="Tahoma"/>
            <family val="2"/>
          </rPr>
          <t>Domicilio Capela 513, San Miguel 3ER Sector Golondrinas, 66640 Cd Apodaca, N.L.</t>
        </r>
      </text>
    </comment>
    <comment ref="H569" authorId="0" shapeId="0" xr:uid="{00000000-0006-0000-0000-000067010000}">
      <text>
        <r>
          <rPr>
            <b/>
            <sz val="9"/>
            <color indexed="81"/>
            <rFont val="Tahoma"/>
            <family val="2"/>
          </rPr>
          <t>UBITEC:</t>
        </r>
        <r>
          <rPr>
            <sz val="9"/>
            <color indexed="81"/>
            <rFont val="Tahoma"/>
            <family val="2"/>
          </rPr>
          <t xml:space="preserve">
</t>
        </r>
        <r>
          <rPr>
            <sz val="11"/>
            <color indexed="81"/>
            <rFont val="Tahoma"/>
            <family val="2"/>
          </rPr>
          <t>116 Eje Metropolitano 14
Guadalupe, Nuevo León</t>
        </r>
      </text>
    </comment>
    <comment ref="H570" authorId="0" shapeId="0" xr:uid="{00000000-0006-0000-0000-000068010000}">
      <text>
        <r>
          <rPr>
            <b/>
            <sz val="9"/>
            <color indexed="81"/>
            <rFont val="Tahoma"/>
            <family val="2"/>
          </rPr>
          <t>UBITEC:</t>
        </r>
        <r>
          <rPr>
            <sz val="9"/>
            <color indexed="81"/>
            <rFont val="Tahoma"/>
            <family val="2"/>
          </rPr>
          <t xml:space="preserve">
</t>
        </r>
        <r>
          <rPr>
            <sz val="11"/>
            <color indexed="81"/>
            <rFont val="Tahoma"/>
            <family val="2"/>
          </rPr>
          <t>Domicilio: Calle 21 de Marzo No. 214 Colonia: Talaverna C.P. 66444 San Nicolas Nuevo León</t>
        </r>
      </text>
    </comment>
    <comment ref="H571" authorId="0" shapeId="0" xr:uid="{00000000-0006-0000-0000-000069010000}">
      <text>
        <r>
          <rPr>
            <b/>
            <sz val="9"/>
            <color indexed="81"/>
            <rFont val="Tahoma"/>
            <family val="2"/>
          </rPr>
          <t>UBITEC:</t>
        </r>
        <r>
          <rPr>
            <sz val="9"/>
            <color indexed="81"/>
            <rFont val="Tahoma"/>
            <family val="2"/>
          </rPr>
          <t xml:space="preserve">
</t>
        </r>
        <r>
          <rPr>
            <sz val="11"/>
            <color indexed="81"/>
            <rFont val="Tahoma"/>
            <family val="2"/>
          </rPr>
          <t>Domicilio: Calle Juan Aldama No. 723 Unidad habitacional: Independencia C.P. 66634 Ciudad Apodaca Nuevo León.</t>
        </r>
      </text>
    </comment>
    <comment ref="H572" authorId="1" shapeId="0" xr:uid="{00000000-0006-0000-0000-00006A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73" authorId="0" shapeId="0" xr:uid="{00000000-0006-0000-0000-00006B010000}">
      <text>
        <r>
          <rPr>
            <b/>
            <sz val="9"/>
            <color indexed="81"/>
            <rFont val="Tahoma"/>
            <family val="2"/>
          </rPr>
          <t>UBITEC:</t>
        </r>
        <r>
          <rPr>
            <sz val="9"/>
            <color indexed="81"/>
            <rFont val="Tahoma"/>
            <family val="2"/>
          </rPr>
          <t xml:space="preserve">
</t>
        </r>
        <r>
          <rPr>
            <sz val="11"/>
            <color indexed="81"/>
            <rFont val="Tahoma"/>
            <family val="2"/>
          </rPr>
          <t>Domicilio: Calle Juan Aldama No. 723 Unidad habitacional: Independencia C.P. 66634 Ciudad Apodaca Nuevo León.</t>
        </r>
      </text>
    </comment>
    <comment ref="H574" authorId="0" shapeId="0" xr:uid="{00000000-0006-0000-0000-00006C010000}">
      <text>
        <r>
          <rPr>
            <b/>
            <sz val="9"/>
            <color indexed="81"/>
            <rFont val="Tahoma"/>
            <family val="2"/>
          </rPr>
          <t>UBITEC:</t>
        </r>
        <r>
          <rPr>
            <sz val="9"/>
            <color indexed="81"/>
            <rFont val="Tahoma"/>
            <family val="2"/>
          </rPr>
          <t xml:space="preserve">
</t>
        </r>
        <r>
          <rPr>
            <sz val="11"/>
            <color indexed="81"/>
            <rFont val="Tahoma"/>
            <family val="2"/>
          </rPr>
          <t>Domicilio: C. Guadalupe 1001-1016, Guerra, 67140 Guadalupe, N.L.</t>
        </r>
      </text>
    </comment>
    <comment ref="H575" authorId="0" shapeId="0" xr:uid="{00000000-0006-0000-0000-00006D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576" authorId="0" shapeId="0" xr:uid="{00000000-0006-0000-0000-00006E010000}">
      <text>
        <r>
          <rPr>
            <b/>
            <sz val="9"/>
            <color indexed="81"/>
            <rFont val="Tahoma"/>
            <family val="2"/>
          </rPr>
          <t>UBITEC:</t>
        </r>
        <r>
          <rPr>
            <sz val="9"/>
            <color indexed="81"/>
            <rFont val="Tahoma"/>
            <family val="2"/>
          </rPr>
          <t xml:space="preserve">
</t>
        </r>
        <r>
          <rPr>
            <sz val="11"/>
            <color indexed="81"/>
            <rFont val="Tahoma"/>
            <family val="2"/>
          </rPr>
          <t>Direccion. Av. Pablo Livas 120A, Acapulco, 67198 Guadalupe, N.L.</t>
        </r>
      </text>
    </comment>
    <comment ref="H577" authorId="0" shapeId="0" xr:uid="{00000000-0006-0000-0000-00006F010000}">
      <text>
        <r>
          <rPr>
            <b/>
            <sz val="9"/>
            <color indexed="81"/>
            <rFont val="Tahoma"/>
            <family val="2"/>
          </rPr>
          <t>UBITEC:</t>
        </r>
        <r>
          <rPr>
            <sz val="9"/>
            <color indexed="81"/>
            <rFont val="Tahoma"/>
            <family val="2"/>
          </rPr>
          <t xml:space="preserve">
</t>
        </r>
        <r>
          <rPr>
            <sz val="11"/>
            <color indexed="81"/>
            <rFont val="Tahoma"/>
            <family val="2"/>
          </rPr>
          <t>Domicilio: C. Guadalupe 1001-1016, Guerra, 67140 Guadalupe, N.L.</t>
        </r>
      </text>
    </comment>
    <comment ref="H578" authorId="1" shapeId="0" xr:uid="{00000000-0006-0000-0000-000070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80" authorId="0" shapeId="0" xr:uid="{00000000-0006-0000-0000-000071010000}">
      <text>
        <r>
          <rPr>
            <b/>
            <sz val="9"/>
            <color indexed="81"/>
            <rFont val="Tahoma"/>
            <family val="2"/>
          </rPr>
          <t>UBITEC:</t>
        </r>
        <r>
          <rPr>
            <sz val="9"/>
            <color indexed="81"/>
            <rFont val="Tahoma"/>
            <family val="2"/>
          </rPr>
          <t xml:space="preserve">
</t>
        </r>
        <r>
          <rPr>
            <sz val="11"/>
            <color indexed="81"/>
            <rFont val="Tahoma"/>
            <family val="2"/>
          </rPr>
          <t xml:space="preserve">Domicilio Av. A. Ruiz Cortines Pte. 909, Villa de San Miguel, 67110 Guadalupe, N.L. </t>
        </r>
        <r>
          <rPr>
            <sz val="9"/>
            <color indexed="81"/>
            <rFont val="Tahoma"/>
            <family val="2"/>
          </rPr>
          <t xml:space="preserve">
</t>
        </r>
      </text>
    </comment>
    <comment ref="H582" authorId="0" shapeId="0" xr:uid="{00000000-0006-0000-0000-000072010000}">
      <text>
        <r>
          <rPr>
            <b/>
            <sz val="9"/>
            <color indexed="81"/>
            <rFont val="Tahoma"/>
            <family val="2"/>
          </rPr>
          <t>UBITEC:</t>
        </r>
        <r>
          <rPr>
            <sz val="9"/>
            <color indexed="81"/>
            <rFont val="Tahoma"/>
            <family val="2"/>
          </rPr>
          <t xml:space="preserve">
</t>
        </r>
        <r>
          <rPr>
            <sz val="11"/>
            <color indexed="81"/>
            <rFont val="Tahoma"/>
            <family val="2"/>
          </rPr>
          <t>Sierra azul 340 , Santa Sofia, Residencial, 66646 Cd Apodaca, N.L.</t>
        </r>
      </text>
    </comment>
    <comment ref="H583" authorId="0" shapeId="0" xr:uid="{00000000-0006-0000-0000-000073010000}">
      <text>
        <r>
          <rPr>
            <b/>
            <sz val="9"/>
            <color indexed="81"/>
            <rFont val="Tahoma"/>
            <family val="2"/>
          </rPr>
          <t>UBITEC:</t>
        </r>
        <r>
          <rPr>
            <sz val="9"/>
            <color indexed="81"/>
            <rFont val="Tahoma"/>
            <family val="2"/>
          </rPr>
          <t xml:space="preserve">
</t>
        </r>
        <r>
          <rPr>
            <sz val="11"/>
            <color indexed="81"/>
            <rFont val="Tahoma"/>
            <family val="2"/>
          </rPr>
          <t>Domicilio Río Verde 108, Miravalle, 64660 Monterrey, N.L.</t>
        </r>
      </text>
    </comment>
    <comment ref="H585" authorId="0" shapeId="0" xr:uid="{00000000-0006-0000-0000-00007401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586" authorId="0" shapeId="0" xr:uid="{00000000-0006-0000-0000-000075010000}">
      <text>
        <r>
          <rPr>
            <b/>
            <sz val="9"/>
            <color indexed="81"/>
            <rFont val="Tahoma"/>
            <family val="2"/>
          </rPr>
          <t>UBITEC:</t>
        </r>
        <r>
          <rPr>
            <sz val="9"/>
            <color indexed="81"/>
            <rFont val="Tahoma"/>
            <family val="2"/>
          </rPr>
          <t xml:space="preserve">
</t>
        </r>
        <r>
          <rPr>
            <sz val="10"/>
            <color indexed="81"/>
            <rFont val="Tahoma"/>
            <family val="2"/>
          </rPr>
          <t>Soriana Hiper Miguel Alemán · 
Av. Miguel Alemán 4422, Sin Nombre de Col 35, 67130 Guadalupe, N.L., Mexico</t>
        </r>
      </text>
    </comment>
    <comment ref="H587" authorId="0" shapeId="0" xr:uid="{00000000-0006-0000-0000-000076010000}">
      <text>
        <r>
          <rPr>
            <b/>
            <sz val="9"/>
            <color indexed="81"/>
            <rFont val="Tahoma"/>
            <family val="2"/>
          </rPr>
          <t>UBITEC:</t>
        </r>
        <r>
          <rPr>
            <sz val="9"/>
            <color indexed="81"/>
            <rFont val="Tahoma"/>
            <family val="2"/>
          </rPr>
          <t xml:space="preserve">
</t>
        </r>
        <r>
          <rPr>
            <sz val="11"/>
            <color indexed="81"/>
            <rFont val="Tahoma"/>
            <family val="2"/>
          </rPr>
          <t>Domicilio San José 610, San Ignacio, 66633 Cd Apodaca, N.L.</t>
        </r>
      </text>
    </comment>
    <comment ref="H588" authorId="1" shapeId="0" xr:uid="{00000000-0006-0000-0000-000077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89" authorId="0" shapeId="0" xr:uid="{00000000-0006-0000-0000-00007801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590" authorId="0" shapeId="0" xr:uid="{00000000-0006-0000-0000-000079010000}">
      <text>
        <r>
          <rPr>
            <b/>
            <sz val="9"/>
            <color indexed="81"/>
            <rFont val="Tahoma"/>
            <family val="2"/>
          </rPr>
          <t>UBITEC:</t>
        </r>
        <r>
          <rPr>
            <sz val="9"/>
            <color indexed="81"/>
            <rFont val="Tahoma"/>
            <family val="2"/>
          </rPr>
          <t xml:space="preserve">
</t>
        </r>
        <r>
          <rPr>
            <b/>
            <sz val="11"/>
            <color indexed="81"/>
            <rFont val="Tahoma"/>
            <family val="2"/>
          </rPr>
          <t>Paraíso 115, Paraíso, 67140 Guadalupe, N.L.</t>
        </r>
        <r>
          <rPr>
            <sz val="11"/>
            <color indexed="81"/>
            <rFont val="Tahoma"/>
            <family val="2"/>
          </rPr>
          <t xml:space="preserve">
</t>
        </r>
        <r>
          <rPr>
            <sz val="10"/>
            <color indexed="81"/>
            <rFont val="Tahoma"/>
            <family val="2"/>
          </rPr>
          <t>https://www.google.com/maps/place/Gonzalez+Autosales/@25.6769983,-100.2687807,21z/data=!4m15!1m8!3m7!1s0x8662bffd74c0f2ef:0x77e9a15c1c31b3db!2sPara%C3%ADso+115,+Para%C3%ADso,+67140+Guadalupe,+N.L.!3b1!8m2!3d25.6769721!4d-100.2686663!16s%2Fg%2F11c5l1g2kp!3m5!1s0x8662bf836de2f807:0x1c2e07ea8c1550c8!8m2!3d25.6769724!4d-100.2686667!16s%2Fg%2F11fp92gsqx?entry=ttu</t>
        </r>
        <r>
          <rPr>
            <sz val="9"/>
            <color indexed="81"/>
            <rFont val="Tahoma"/>
            <family val="2"/>
          </rPr>
          <t xml:space="preserve">
</t>
        </r>
      </text>
    </comment>
    <comment ref="H591" authorId="0" shapeId="0" xr:uid="{00000000-0006-0000-0000-00007A010000}">
      <text>
        <r>
          <rPr>
            <b/>
            <sz val="9"/>
            <color indexed="81"/>
            <rFont val="Tahoma"/>
            <family val="2"/>
          </rPr>
          <t>UBITEC:</t>
        </r>
        <r>
          <rPr>
            <sz val="9"/>
            <color indexed="81"/>
            <rFont val="Tahoma"/>
            <family val="2"/>
          </rPr>
          <t xml:space="preserve">
</t>
        </r>
        <r>
          <rPr>
            <sz val="11"/>
            <color indexed="81"/>
            <rFont val="Tahoma"/>
            <family val="2"/>
          </rPr>
          <t>América 572, Centro, 64000 Monterrey, N.L.</t>
        </r>
      </text>
    </comment>
    <comment ref="H592" authorId="0" shapeId="0" xr:uid="{00000000-0006-0000-0000-00007B01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593" authorId="1" shapeId="0" xr:uid="{00000000-0006-0000-0000-00007C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94" authorId="0" shapeId="0" xr:uid="{00000000-0006-0000-0000-00007D010000}">
      <text>
        <r>
          <rPr>
            <b/>
            <sz val="9"/>
            <color indexed="81"/>
            <rFont val="Tahoma"/>
            <family val="2"/>
          </rPr>
          <t>UBITEC:</t>
        </r>
        <r>
          <rPr>
            <sz val="9"/>
            <color indexed="81"/>
            <rFont val="Tahoma"/>
            <family val="2"/>
          </rPr>
          <t xml:space="preserve">
</t>
        </r>
        <r>
          <rPr>
            <sz val="11"/>
            <color indexed="81"/>
            <rFont val="Tahoma"/>
            <family val="2"/>
          </rPr>
          <t>Av. José Vasconcelos 1501, Zona Valle Poniente, 66240 San Pedro Garza García, N.L.</t>
        </r>
      </text>
    </comment>
    <comment ref="H596" authorId="0" shapeId="0" xr:uid="{00000000-0006-0000-0000-00007E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597" authorId="1" shapeId="0" xr:uid="{00000000-0006-0000-0000-00007F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598" authorId="0" shapeId="0" xr:uid="{00000000-0006-0000-0000-000080010000}">
      <text>
        <r>
          <rPr>
            <b/>
            <sz val="9"/>
            <color indexed="81"/>
            <rFont val="Tahoma"/>
            <family val="2"/>
          </rPr>
          <t>UBITEC:</t>
        </r>
        <r>
          <rPr>
            <sz val="9"/>
            <color indexed="81"/>
            <rFont val="Tahoma"/>
            <family val="2"/>
          </rPr>
          <t xml:space="preserve">
</t>
        </r>
        <r>
          <rPr>
            <b/>
            <sz val="11"/>
            <color indexed="81"/>
            <rFont val="Tahoma"/>
            <family val="2"/>
          </rPr>
          <t>Paraíso 115, Paraíso, 67140 Guadalupe, N.L.</t>
        </r>
        <r>
          <rPr>
            <sz val="11"/>
            <color indexed="81"/>
            <rFont val="Tahoma"/>
            <family val="2"/>
          </rPr>
          <t xml:space="preserve">
</t>
        </r>
        <r>
          <rPr>
            <sz val="10"/>
            <color indexed="81"/>
            <rFont val="Tahoma"/>
            <family val="2"/>
          </rPr>
          <t>https://www.google.com/maps/place/Gonzalez+Autosales/@25.6769983,-100.2687807,21z/data=!4m15!1m8!3m7!1s0x8662bffd74c0f2ef:0x77e9a15c1c31b3db!2sPara%C3%ADso+115,+Para%C3%ADso,+67140+Guadalupe,+N.L.!3b1!8m2!3d25.6769721!4d-100.2686663!16s%2Fg%2F11c5l1g2kp!3m5!1s0x8662bf836de2f807:0x1c2e07ea8c1550c8!8m2!3d25.6769724!4d-100.2686667!16s%2Fg%2F11fp92gsqx?entry=ttu</t>
        </r>
        <r>
          <rPr>
            <sz val="9"/>
            <color indexed="81"/>
            <rFont val="Tahoma"/>
            <family val="2"/>
          </rPr>
          <t xml:space="preserve">
</t>
        </r>
      </text>
    </comment>
    <comment ref="H599" authorId="0" shapeId="0" xr:uid="{00000000-0006-0000-0000-000081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600" authorId="0" shapeId="0" xr:uid="{00000000-0006-0000-0000-000082010000}">
      <text>
        <r>
          <rPr>
            <b/>
            <sz val="9"/>
            <color indexed="81"/>
            <rFont val="Tahoma"/>
            <family val="2"/>
          </rPr>
          <t>UBITEC:</t>
        </r>
        <r>
          <rPr>
            <sz val="9"/>
            <color indexed="81"/>
            <rFont val="Tahoma"/>
            <family val="2"/>
          </rPr>
          <t xml:space="preserve">
</t>
        </r>
        <r>
          <rPr>
            <sz val="11"/>
            <color indexed="81"/>
            <rFont val="Tahoma"/>
            <family val="2"/>
          </rPr>
          <t>Av. Anillo Electrónico 108, Torres de Santo Domingo, 66449 San Nicolás de los Garza, N.L.</t>
        </r>
      </text>
    </comment>
    <comment ref="H602" authorId="0" shapeId="0" xr:uid="{00000000-0006-0000-0000-000083010000}">
      <text>
        <r>
          <rPr>
            <b/>
            <sz val="9"/>
            <color indexed="81"/>
            <rFont val="Tahoma"/>
            <family val="2"/>
          </rPr>
          <t>UBITEC:</t>
        </r>
        <r>
          <rPr>
            <sz val="9"/>
            <color indexed="81"/>
            <rFont val="Tahoma"/>
            <family val="2"/>
          </rPr>
          <t xml:space="preserve">
</t>
        </r>
        <r>
          <rPr>
            <b/>
            <sz val="10"/>
            <color indexed="81"/>
            <rFont val="Tahoma"/>
            <family val="2"/>
          </rPr>
          <t xml:space="preserve">Av. Anillo Eléctrico 120, Torres de Santo Domingo, 66449 San Nicolás de los Garza, N.L.
</t>
        </r>
        <r>
          <rPr>
            <sz val="10"/>
            <color indexed="81"/>
            <rFont val="Tahoma"/>
            <family val="2"/>
          </rPr>
          <t>https://www.google.com/maps/place/Av.+Anillo+El%C3%A9ctrico+120,+Torres+de+Santo+Domingo,+66449+San+Nicol%C3%A1s+de+los+Garza,+N.L./@25.7557177,-100.2506409,17z/data=!3m1!4b1!4m6!3m5!1s0x8662eb45e2b29b99:0x8e5331d72f59f52!8m2!3d25.7557177!4d-100.248066!16s%2Fg%2F11cs6pgx65?entry=ttu</t>
        </r>
      </text>
    </comment>
    <comment ref="H603" authorId="0" shapeId="0" xr:uid="{00000000-0006-0000-0000-000084010000}">
      <text>
        <r>
          <rPr>
            <b/>
            <sz val="9"/>
            <color indexed="81"/>
            <rFont val="Tahoma"/>
            <family val="2"/>
          </rPr>
          <t>UBITEC:</t>
        </r>
        <r>
          <rPr>
            <sz val="9"/>
            <color indexed="81"/>
            <rFont val="Tahoma"/>
            <family val="2"/>
          </rPr>
          <t xml:space="preserve">
</t>
        </r>
        <r>
          <rPr>
            <sz val="11"/>
            <color indexed="81"/>
            <rFont val="Tahoma"/>
            <family val="2"/>
          </rPr>
          <t>Sierra azul 340 , Santa Sofia, Residencial, 66646 Cd Apodaca, N.L.</t>
        </r>
      </text>
    </comment>
    <comment ref="H604" authorId="0" shapeId="0" xr:uid="{00000000-0006-0000-0000-00008501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605" authorId="0" shapeId="0" xr:uid="{00000000-0006-0000-0000-000086010000}">
      <text>
        <r>
          <rPr>
            <b/>
            <sz val="9"/>
            <color indexed="81"/>
            <rFont val="Tahoma"/>
            <family val="2"/>
          </rPr>
          <t>UBITEC:</t>
        </r>
        <r>
          <rPr>
            <sz val="9"/>
            <color indexed="81"/>
            <rFont val="Tahoma"/>
            <family val="2"/>
          </rPr>
          <t xml:space="preserve">
</t>
        </r>
        <r>
          <rPr>
            <b/>
            <sz val="10"/>
            <color indexed="81"/>
            <rFont val="Tahoma"/>
            <family val="2"/>
          </rPr>
          <t xml:space="preserve">Domicilio C. Tercera 418, Praderas de Girasoles, 66056 Cdad. Gral. Escobedo, N.L.
</t>
        </r>
        <r>
          <rPr>
            <sz val="10"/>
            <color indexed="81"/>
            <rFont val="Tahoma"/>
            <family val="2"/>
          </rPr>
          <t xml:space="preserve">
</t>
        </r>
        <r>
          <rPr>
            <sz val="9"/>
            <color indexed="81"/>
            <rFont val="Tahoma"/>
            <family val="2"/>
          </rPr>
          <t>https://www.google.com/maps/place/C.+Tercera+418,+Praderas+de+Girasoles,+66056+Cdad.+Gral.+Escobedo,+N.L./@25.7933573,-100.3225441,18.75z/data=!4m10!1m2!2m1!1sCalle+Tercera+418,+Colonia+Praderas+de+Girasoles,+C.P.+66056+General+Escobedo,+Nuevo+Le%C3%B3n!3m6!1s0x866293be7664c41d:0x8b99ab1c5a1a52b4!8m2!3d25.7933641!4d-100.3218698!15sClpDYWxsZSBUZXJjZXJhIDQxOCwgQ29sb25pYSBQcmFkZXJhcyBkZSBHaXJhc29sZXMsIEMuUC4gNjYwNTYgR2VuZXJhbCBFc2NvYmVkbywgTnVldm8gTGXDs26SARFjb21wb3VuZF9idWlsZGluZ-ABAA!16s%2Fg%2F11dxhzlw__?entry=ttu</t>
        </r>
      </text>
    </comment>
    <comment ref="H606" authorId="0" shapeId="0" xr:uid="{00000000-0006-0000-0000-000087010000}">
      <text>
        <r>
          <rPr>
            <b/>
            <sz val="9"/>
            <color indexed="81"/>
            <rFont val="Tahoma"/>
            <family val="2"/>
          </rPr>
          <t>UBITEC:</t>
        </r>
        <r>
          <rPr>
            <sz val="9"/>
            <color indexed="81"/>
            <rFont val="Tahoma"/>
            <family val="2"/>
          </rPr>
          <t xml:space="preserve">
</t>
        </r>
        <r>
          <rPr>
            <sz val="11"/>
            <color indexed="81"/>
            <rFont val="Tahoma"/>
            <family val="2"/>
          </rPr>
          <t>Domicilio Av. Concordia 721, Ebanos V, 66612 Cd Apodaca, N.L., México
https://www.google.com/maps/place/Autos+Costa+Rica/@25.79472,-100.2886693,12.75z/data=!4m6!3m5!1s0x8662ecac053e05d5:0x991d29132960823c!8m2!3d25.7844909!4d-100.2381137!16s%2Fg%2F1pv5y_w9f?hl=es-419&amp;entry=ttu</t>
        </r>
        <r>
          <rPr>
            <sz val="9"/>
            <color indexed="81"/>
            <rFont val="Tahoma"/>
            <family val="2"/>
          </rPr>
          <t xml:space="preserve">
</t>
        </r>
      </text>
    </comment>
    <comment ref="H607" authorId="0" shapeId="0" xr:uid="{00000000-0006-0000-0000-000088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608" authorId="0" shapeId="0" xr:uid="{00000000-0006-0000-0000-0000C002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609" authorId="0" shapeId="0" xr:uid="{00000000-0006-0000-0000-000089010000}">
      <text>
        <r>
          <rPr>
            <b/>
            <sz val="9"/>
            <color indexed="81"/>
            <rFont val="Tahoma"/>
            <family val="2"/>
          </rPr>
          <t>UBITEC:</t>
        </r>
        <r>
          <rPr>
            <sz val="9"/>
            <color indexed="81"/>
            <rFont val="Tahoma"/>
            <family val="2"/>
          </rPr>
          <t xml:space="preserve">
</t>
        </r>
        <r>
          <rPr>
            <sz val="11"/>
            <color indexed="81"/>
            <rFont val="Tahoma"/>
            <family val="2"/>
          </rPr>
          <t>Domicilio Calle Colorines 808, Colonia Mirador Huinalá, C.P.:66633 Apodaca, Nuevo León
https://www.google.com/maps/place/Colorines+808,+Mirador+Huinala,+66633+Cd+Apodaca,+N.L./@25.7361233,-100.1848662,17z/data=!3m1!4b1!4m6!3m5!1s0x8662ebcdefc82177:0xb88a8d0e5581218f!8m2!3d25.7361233!4d-100.1822913!16s%2Fg%2F11c21l_lsj?entry=ttu</t>
        </r>
      </text>
    </comment>
    <comment ref="H610" authorId="0" shapeId="0" xr:uid="{00000000-0006-0000-0000-00008A010000}">
      <text>
        <r>
          <rPr>
            <b/>
            <sz val="9"/>
            <color indexed="81"/>
            <rFont val="Tahoma"/>
            <family val="2"/>
          </rPr>
          <t>UBITEC:</t>
        </r>
        <r>
          <rPr>
            <sz val="9"/>
            <color indexed="81"/>
            <rFont val="Tahoma"/>
            <family val="2"/>
          </rPr>
          <t xml:space="preserve">
</t>
        </r>
        <r>
          <rPr>
            <sz val="11"/>
            <color indexed="81"/>
            <rFont val="Tahoma"/>
            <family val="2"/>
          </rPr>
          <t>Domicilio Calle Manantial 917, Colonia Fraccionamiento Manantiales, C.P. 66750, Doctor Gonzalez Nuevo León
https://www.google.com/maps/place/Manantial+917,+66750+Dr+Gonz%C3%A1lez,+N.L./@25.8575127,-99.9509952,17z/data=!3m1!4b1!4m5!3m4!1s0x8662e31dc6dfc24f:0x9718d5d27f151a6!8m2!3d25.8575127!4d-99.9484203?entry=ttu</t>
        </r>
      </text>
    </comment>
    <comment ref="H611" authorId="0" shapeId="0" xr:uid="{00000000-0006-0000-0000-00008B010000}">
      <text>
        <r>
          <rPr>
            <b/>
            <sz val="9"/>
            <color indexed="81"/>
            <rFont val="Tahoma"/>
            <family val="2"/>
          </rPr>
          <t>UBITEC:</t>
        </r>
        <r>
          <rPr>
            <sz val="9"/>
            <color indexed="81"/>
            <rFont val="Tahoma"/>
            <family val="2"/>
          </rPr>
          <t xml:space="preserve">
</t>
        </r>
        <r>
          <rPr>
            <sz val="11"/>
            <color indexed="81"/>
            <rFont val="Tahoma"/>
            <family val="2"/>
          </rPr>
          <t>Domicilio Calle Galapagos 1114, Fraccionamiento Residencial Santa Fé, C.P. 67112, Guadalupe Nuevo León
https://www.google.com/maps/place/Gal%C3%A1pagos+1114,+Residencial+Santa+Fe+1er+Sector,+66477+Guadalupe,+N.L./@25.7203878,-100.2061592,17z/data=!3m1!4b1!4m6!3m5!1s0x8662ea4fd132079f:0x63e8fa0b01049368!8m2!3d25.7203878!4d-100.2035843!16s%2Fg%2F11c27njpqg?entry=ttu</t>
        </r>
      </text>
    </comment>
    <comment ref="H612" authorId="0" shapeId="0" xr:uid="{00000000-0006-0000-0000-00008C010000}">
      <text>
        <r>
          <rPr>
            <b/>
            <sz val="9"/>
            <color indexed="81"/>
            <rFont val="Tahoma"/>
            <family val="2"/>
          </rPr>
          <t>UBITEC:</t>
        </r>
        <r>
          <rPr>
            <sz val="9"/>
            <color indexed="81"/>
            <rFont val="Tahoma"/>
            <family val="2"/>
          </rPr>
          <t xml:space="preserve">
</t>
        </r>
        <r>
          <rPr>
            <sz val="11"/>
            <color indexed="81"/>
            <rFont val="Tahoma"/>
            <family val="2"/>
          </rPr>
          <t>Domicilio Lomas Del Sol 342, Fraccionamiento Paseo De Las Lomas, C.P. 67260, Juarez Nuevo León. 
https://www.google.com/maps/place/P.%C2%BA+Las+Lomas+342,+67260+Ju%C3%A1rez,+N.L./@25.6403565,-100.1164596,17z/data=!3m1!4b1!4m5!3m4!1s0x8662c31d3734a7bf:0xe197a0ce5313f1bf!8m2!3d25.6403565!4d-100.1138847?entry=ttu</t>
        </r>
      </text>
    </comment>
    <comment ref="H613" authorId="0" shapeId="0" xr:uid="{00000000-0006-0000-0000-00008D010000}">
      <text>
        <r>
          <rPr>
            <b/>
            <sz val="9"/>
            <color indexed="81"/>
            <rFont val="Tahoma"/>
            <family val="2"/>
          </rPr>
          <t>UBITEC:</t>
        </r>
        <r>
          <rPr>
            <sz val="9"/>
            <color indexed="81"/>
            <rFont val="Tahoma"/>
            <family val="2"/>
          </rPr>
          <t xml:space="preserve">
</t>
        </r>
        <r>
          <rPr>
            <sz val="11"/>
            <color indexed="81"/>
            <rFont val="Tahoma"/>
            <family val="2"/>
          </rPr>
          <t>Domicilio Av. San Sebastián 2603, Miguel Hidalgo (Fomerrey 19), 67180 Guadalupe, N.L.
https://www.google.com/maps/place/Av.+San+Sebasti%C3%A1n+2603,+Miguel+Hidalgo+(Fomerrey+19),+67180+Guadalupe,+N.L./@25.6651376,-100.2093253,17z/data=!3m1!4b1!4m6!3m5!1s0x8662c1ced55875bd:0x3420eba1f306dd15!8m2!3d25.6651376!4d-100.2067504!16s%2Fg%2F11g0hj_bgx?entry=ttu</t>
        </r>
      </text>
    </comment>
    <comment ref="H614" authorId="0" shapeId="0" xr:uid="{00000000-0006-0000-0000-00008E010000}">
      <text>
        <r>
          <rPr>
            <b/>
            <sz val="9"/>
            <color indexed="81"/>
            <rFont val="Tahoma"/>
            <family val="2"/>
          </rPr>
          <t>UBITEC:</t>
        </r>
        <r>
          <rPr>
            <sz val="9"/>
            <color indexed="81"/>
            <rFont val="Tahoma"/>
            <family val="2"/>
          </rPr>
          <t xml:space="preserve">
</t>
        </r>
        <r>
          <rPr>
            <sz val="11"/>
            <color indexed="81"/>
            <rFont val="Tahoma"/>
            <family val="2"/>
          </rPr>
          <t>Durazno 216, Hacienda Las Yucas, 66612 Cd Apodaca, N.L. 
https://www.google.com/maps/place/25%C2%B048'00.8%22N+100%C2%B015'08.7%22W/@25.800225,-100.2549899,17z/data=!3m1!4b1!4m4!3m3!8m2!3d25.800225!4d-100.252415?hl=es&amp;entry=ttu</t>
        </r>
      </text>
    </comment>
    <comment ref="H615" authorId="0" shapeId="0" xr:uid="{00000000-0006-0000-0000-00008F010000}">
      <text>
        <r>
          <rPr>
            <b/>
            <sz val="9"/>
            <color indexed="81"/>
            <rFont val="Tahoma"/>
            <family val="2"/>
          </rPr>
          <t>UBITEC:</t>
        </r>
        <r>
          <rPr>
            <sz val="9"/>
            <color indexed="81"/>
            <rFont val="Tahoma"/>
            <family val="2"/>
          </rPr>
          <t xml:space="preserve">
</t>
        </r>
        <r>
          <rPr>
            <sz val="11"/>
            <color indexed="81"/>
            <rFont val="Tahoma"/>
            <family val="2"/>
          </rPr>
          <t>Domicilio Gardenia 7023, Santa María Sector A, 67198 Guadalupe, N.L. 
https://www.google.com/maps/place/Gardenia+7023,+Santa+Mar%C3%ADa+Sector+A,+67198+Guadalupe,+N.L./@25.6547491,-100.1997468,17z/data=!3m1!4b1!4m6!3m5!1s0x8662c1bea331e82f:0x1697274603223c55!8m2!3d25.6547491!4d-100.1971719!16s%2Fg%2F11c6vd7vc6?entry=ttu</t>
        </r>
      </text>
    </comment>
    <comment ref="H616" authorId="1" shapeId="0" xr:uid="{00000000-0006-0000-0000-000090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617" authorId="0" shapeId="0" xr:uid="{00000000-0006-0000-0000-000091010000}">
      <text>
        <r>
          <rPr>
            <b/>
            <sz val="9"/>
            <color indexed="81"/>
            <rFont val="Tahoma"/>
            <family val="2"/>
          </rPr>
          <t>UBITEC:</t>
        </r>
        <r>
          <rPr>
            <sz val="9"/>
            <color indexed="81"/>
            <rFont val="Tahoma"/>
            <family val="2"/>
          </rPr>
          <t xml:space="preserve">
</t>
        </r>
        <r>
          <rPr>
            <sz val="11"/>
            <color indexed="81"/>
            <rFont val="Tahoma"/>
            <family val="2"/>
          </rPr>
          <t>Domicilio Calle Tuya 626, Ebanos ÌII, 66612 Cd Apodaca, N.L. 
https://www.google.com/maps/place/Calle+Tuya+626,+Ebanos+%C3%8CII,+66612+Cd+Apodaca,+N.L./@25.7812228,-100.2434779,17z/data=!3m1!4b1!4m6!3m5!1s0x8662eca3b7ac72a3:0x607a6ed8f44c7e78!8m2!3d25.7812228!4d-100.240903!16s%2Fg%2F11c5ccl3pl?entry=ttu</t>
        </r>
      </text>
    </comment>
    <comment ref="H618" authorId="1" shapeId="0" xr:uid="{00000000-0006-0000-0000-000092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619" authorId="0" shapeId="0" xr:uid="{00000000-0006-0000-0000-000093010000}">
      <text>
        <r>
          <rPr>
            <b/>
            <sz val="9"/>
            <color indexed="81"/>
            <rFont val="Tahoma"/>
            <family val="2"/>
          </rPr>
          <t>UBITEC:</t>
        </r>
        <r>
          <rPr>
            <sz val="9"/>
            <color indexed="81"/>
            <rFont val="Tahoma"/>
            <family val="2"/>
          </rPr>
          <t xml:space="preserve">
</t>
        </r>
        <r>
          <rPr>
            <sz val="11"/>
            <color indexed="81"/>
            <rFont val="Tahoma"/>
            <family val="2"/>
          </rPr>
          <t>C. Sierra de Gomas 614, Cerro de La Silla (U.c.), 67190 Guadalupe, N.L.
https://www.google.com/maps/place/C.+Sierra+de+Gomas+614,+Cerro+de+La+Silla+(U.c.),+67190+Guadalupe,+N.L./@25.665748,-100.1934454,19.75z/data=!4m10!1m2!2m1!1sSierra+de+Gomas+614,+Cerro+de+La+Silla,+67190,+Guadalupe,+N.L.!3m6!1s0x8662c1c1fbd11ca9:0xcd2feb741a6d7461!8m2!3d25.6656849!4d-100.19333!15sCj5TaWVycmEgZGUgR29tYXMgNjE0LCBDZXJybyBkZSBMYSBTaWxsYSwgNjcxOTAsIEd1YWRhbHVwZSwgTi5MLpIBEWNvbXBvdW5kX2J1aWxkaW5n4AEA!16s%2Fg%2F11j0zz7w0v?entry=ttu</t>
        </r>
      </text>
    </comment>
    <comment ref="H620" authorId="0" shapeId="0" xr:uid="{00000000-0006-0000-0000-000094010000}">
      <text>
        <r>
          <rPr>
            <b/>
            <sz val="9"/>
            <color indexed="81"/>
            <rFont val="Tahoma"/>
            <family val="2"/>
          </rPr>
          <t>UBITEC:</t>
        </r>
        <r>
          <rPr>
            <sz val="9"/>
            <color indexed="81"/>
            <rFont val="Tahoma"/>
            <family val="2"/>
          </rPr>
          <t xml:space="preserve">
</t>
        </r>
        <r>
          <rPr>
            <sz val="11"/>
            <color indexed="81"/>
            <rFont val="Tahoma"/>
            <family val="2"/>
          </rPr>
          <t>Domicilio Abraham Villarreal 529, Miguel Alemán, 66470 Monterrey, N.L.
https://www.google.com/maps/place/25%C2%B042'57.6%22N+100%C2%B013'26.2%22W/@25.7160392,-100.2240263,20.75z/data=!4m4!3m3!8m2!3d25.7159977!4d-100.223938?hl=es&amp;entry=ttu</t>
        </r>
      </text>
    </comment>
    <comment ref="H622" authorId="0" shapeId="0" xr:uid="{00000000-0006-0000-0000-000095010000}">
      <text>
        <r>
          <rPr>
            <b/>
            <sz val="9"/>
            <color indexed="81"/>
            <rFont val="Tahoma"/>
            <family val="2"/>
          </rPr>
          <t>UBITEC:</t>
        </r>
        <r>
          <rPr>
            <sz val="9"/>
            <color indexed="81"/>
            <rFont val="Tahoma"/>
            <family val="2"/>
          </rPr>
          <t xml:space="preserve">
</t>
        </r>
        <r>
          <rPr>
            <sz val="11"/>
            <color indexed="81"/>
            <rFont val="Tahoma"/>
            <family val="2"/>
          </rPr>
          <t>Domicilio Av. Morones Prieto 1101 Oriente, Nuevo Repueblo, Monterrey, Nuevo León
https://maps.app.goo.gl/5RYpnGDd1aWxR5iZ9</t>
        </r>
      </text>
    </comment>
    <comment ref="H623" authorId="0" shapeId="0" xr:uid="{00000000-0006-0000-0000-000096010000}">
      <text>
        <r>
          <rPr>
            <b/>
            <sz val="9"/>
            <color indexed="81"/>
            <rFont val="Tahoma"/>
            <family val="2"/>
          </rPr>
          <t>UBITEC:</t>
        </r>
        <r>
          <rPr>
            <sz val="9"/>
            <color indexed="81"/>
            <rFont val="Tahoma"/>
            <family val="2"/>
          </rPr>
          <t xml:space="preserve">
</t>
        </r>
        <r>
          <rPr>
            <sz val="10"/>
            <color indexed="81"/>
            <rFont val="Tahoma"/>
            <family val="2"/>
          </rPr>
          <t>Domicilio C. Sierra de Gomas 614, Cerro de La Silla (U.c.), 67190 Guadalupe, N.L.
https://www.google.com/maps/place/C.+Sierra+de+Gomas+614,+Cerro+de+La+Silla+(U.c.),+67190+Guadalupe,+N.L./@25.6658099,-100.1933903,18z/data=!4m10!1m2!2m1!1sSierra+de+Gomas+614,+Cerro+de+La+Silla,+67190+Guadalupe,+N.L.!3m6!1s0x8662c1c1fbd11ca9:0xcd2feb741a6d7461!8m2!3d25.6656849!4d-100.19333!15sCj1TaWVycmEgZGUgR29tYXMgNjE0LCBDZXJybyBkZSBMYSBTaWxsYSwgNjcxOTAgR3VhZGFsdXBlLCBOLkwukgERY29tcG91bmRfYnVpbGRpbmfgAQA!16s%2Fg%2F11j0zz7w0v?entry=ttu</t>
        </r>
      </text>
    </comment>
    <comment ref="H624" authorId="0" shapeId="0" xr:uid="{00000000-0006-0000-0000-000097010000}">
      <text>
        <r>
          <rPr>
            <b/>
            <sz val="9"/>
            <color indexed="81"/>
            <rFont val="Tahoma"/>
            <family val="2"/>
          </rPr>
          <t>UBITEC:</t>
        </r>
        <r>
          <rPr>
            <sz val="9"/>
            <color indexed="81"/>
            <rFont val="Tahoma"/>
            <family val="2"/>
          </rPr>
          <t xml:space="preserve">
</t>
        </r>
        <r>
          <rPr>
            <b/>
            <sz val="10"/>
            <color indexed="81"/>
            <rFont val="Tahoma"/>
            <family val="2"/>
          </rPr>
          <t xml:space="preserve">Av. Anillo Eléctrico 120, Torres de Santo Domingo, 66449 San Nicolás de los Garza, N.L.
</t>
        </r>
        <r>
          <rPr>
            <sz val="10"/>
            <color indexed="81"/>
            <rFont val="Tahoma"/>
            <family val="2"/>
          </rPr>
          <t>https://www.google.com/maps/place/Av.+Anillo+El%C3%A9ctrico+120,+Torres+de+Santo+Domingo,+66449+San+Nicol%C3%A1s+de+los+Garza,+N.L./@25.7557177,-100.2506409,17z/data=!3m1!4b1!4m6!3m5!1s0x8662eb45e2b29b99:0x8e5331d72f59f52!8m2!3d25.7557177!4d-100.248066!16s%2Fg%2F11cs6pgx65?entry=ttu</t>
        </r>
      </text>
    </comment>
    <comment ref="H625" authorId="0" shapeId="0" xr:uid="{00000000-0006-0000-0000-000098010000}">
      <text>
        <r>
          <rPr>
            <b/>
            <sz val="9"/>
            <color indexed="81"/>
            <rFont val="Tahoma"/>
            <family val="2"/>
          </rPr>
          <t>UBITEC:</t>
        </r>
        <r>
          <rPr>
            <sz val="9"/>
            <color indexed="81"/>
            <rFont val="Tahoma"/>
            <family val="2"/>
          </rPr>
          <t xml:space="preserve">
</t>
        </r>
        <r>
          <rPr>
            <sz val="11"/>
            <color indexed="81"/>
            <rFont val="Tahoma"/>
            <family val="2"/>
          </rPr>
          <t>C. Texcoco 636, Chapultepec, 66450 San Nicolás de los Garza, N.L.</t>
        </r>
      </text>
    </comment>
    <comment ref="H626" authorId="0" shapeId="0" xr:uid="{00000000-0006-0000-0000-000099010000}">
      <text>
        <r>
          <rPr>
            <b/>
            <sz val="9"/>
            <color indexed="81"/>
            <rFont val="Tahoma"/>
            <family val="2"/>
          </rPr>
          <t>UBITEC:</t>
        </r>
        <r>
          <rPr>
            <sz val="9"/>
            <color indexed="81"/>
            <rFont val="Tahoma"/>
            <family val="2"/>
          </rPr>
          <t xml:space="preserve">
</t>
        </r>
        <r>
          <rPr>
            <sz val="11"/>
            <color indexed="81"/>
            <rFont val="Tahoma"/>
            <family val="2"/>
          </rPr>
          <t>C. Sierra de Gomas 614, Cerro de La Silla (U.c.), 67190 Guadalupe, N.L
https://www.google.com/maps/place/C.+Sierra+de+Gomas+614,+Cerro+de+La+Silla+(U.c.),+67190+Guadalupe,+N.L./@25.6656849,-100.1959049,17z/data=!3m1!4b1!4m6!3m5!1s0x8662c1c1fbd11ca9:0xcd2feb741a6d7461!8m2!3d25.6656849!4d-100.19333!16s%2Fg%2F11j0zz7w0v?entry=ttu</t>
        </r>
      </text>
    </comment>
    <comment ref="H627" authorId="0" shapeId="0" xr:uid="{00000000-0006-0000-0000-00009A010000}">
      <text>
        <r>
          <rPr>
            <b/>
            <sz val="9"/>
            <color indexed="81"/>
            <rFont val="Tahoma"/>
            <family val="2"/>
          </rPr>
          <t>UBITEC:</t>
        </r>
        <r>
          <rPr>
            <sz val="9"/>
            <color indexed="81"/>
            <rFont val="Tahoma"/>
            <family val="2"/>
          </rPr>
          <t xml:space="preserve">
</t>
        </r>
        <r>
          <rPr>
            <sz val="11"/>
            <color indexed="81"/>
            <rFont val="Tahoma"/>
            <family val="2"/>
          </rPr>
          <t>C. Sierra de Gomas 614, Cerro de La Silla (U.c.), 67190 Guadalupe, N.L
https://www.google.com/maps/place/C.+Sierra+de+Gomas+614,+Cerro+de+La+Silla+(U.c.),+67190+Guadalupe,+N.L./@25.6656849,-100.1959049,17z/data=!3m1!4b1!4m6!3m5!1s0x8662c1c1fbd11ca9:0xcd2feb741a6d7461!8m2!3d25.6656849!4d-100.19333!16s%2Fg%2F11j0zz7w0v?entry=ttu</t>
        </r>
      </text>
    </comment>
    <comment ref="H628" authorId="0" shapeId="0" xr:uid="{00000000-0006-0000-0000-00009B010000}">
      <text>
        <r>
          <rPr>
            <b/>
            <sz val="9"/>
            <color indexed="81"/>
            <rFont val="Tahoma"/>
            <family val="2"/>
          </rPr>
          <t>UBITEC:</t>
        </r>
        <r>
          <rPr>
            <sz val="9"/>
            <color indexed="81"/>
            <rFont val="Tahoma"/>
            <family val="2"/>
          </rPr>
          <t xml:space="preserve">
</t>
        </r>
        <r>
          <rPr>
            <sz val="12"/>
            <color indexed="81"/>
            <rFont val="Tahoma"/>
            <family val="2"/>
          </rPr>
          <t>Domicilio Luis Moreno 4558, Niño Artillero, 64280 Monterrey, N.L.
https://maps.app.goo.gl/62QZTpWSDV4xTH6z5</t>
        </r>
      </text>
    </comment>
    <comment ref="H629" authorId="0" shapeId="0" xr:uid="{00000000-0006-0000-0000-00009C010000}">
      <text>
        <r>
          <rPr>
            <b/>
            <sz val="9"/>
            <color indexed="81"/>
            <rFont val="Tahoma"/>
            <family val="2"/>
          </rPr>
          <t>UBITEC:</t>
        </r>
        <r>
          <rPr>
            <sz val="9"/>
            <color indexed="81"/>
            <rFont val="Tahoma"/>
            <family val="2"/>
          </rPr>
          <t xml:space="preserve">
</t>
        </r>
        <r>
          <rPr>
            <sz val="11"/>
            <color indexed="81"/>
            <rFont val="Tahoma"/>
            <family val="2"/>
          </rPr>
          <t>Domicilio Av. Manuel Gómez Morín 300, Valle del Campestre, 66278 San Pedro Garza García, N.L.
https://www.google.com/maps/place/Av.+Manuel+G%C3%B3mez+Mor%C3%ADn+300,+Valle+del+Campestre,+66278+San+Pedro+Garza+Garc%C3%ADa,+N.L./@25.6490639,-100.3622988,17z/data=!3m1!4b1!4m6!3m5!1s0x8662bde7f28f99a9:0x320d9c44247e7226!8m2!3d25.6490639!4d-100.3597239!16s%2Fg%2F11h8gp_k31?entry=ttu</t>
        </r>
      </text>
    </comment>
    <comment ref="H630" authorId="0" shapeId="0" xr:uid="{00000000-0006-0000-0000-00009D010000}">
      <text>
        <r>
          <rPr>
            <b/>
            <sz val="9"/>
            <color indexed="81"/>
            <rFont val="Tahoma"/>
            <family val="2"/>
          </rPr>
          <t>UBITEC:</t>
        </r>
        <r>
          <rPr>
            <sz val="9"/>
            <color indexed="81"/>
            <rFont val="Tahoma"/>
            <family val="2"/>
          </rPr>
          <t xml:space="preserve">
</t>
        </r>
        <r>
          <rPr>
            <sz val="11"/>
            <color indexed="81"/>
            <rFont val="Tahoma"/>
            <family val="2"/>
          </rPr>
          <t>Domicilio Av. Manuel Gómez Morín 300, Valle del Campestre, 66278 San Pedro Garza García, N.L.
https://www.google.com/maps/place/Av.+Manuel+G%C3%B3mez+Mor%C3%ADn+300,+Valle+del+Campestre,+66278+San+Pedro+Garza+Garc%C3%ADa,+N.L./@25.6490639,-100.3622988,17z/data=!3m1!4b1!4m6!3m5!1s0x8662bde7f28f99a9:0x320d9c44247e7226!8m2!3d25.6490639!4d-100.3597239!16s%2Fg%2F11h8gp_k31?entry=ttu</t>
        </r>
      </text>
    </comment>
    <comment ref="H661" authorId="0" shapeId="0" xr:uid="{00000000-0006-0000-0000-00009E01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662" authorId="0" shapeId="0" xr:uid="{00000000-0006-0000-0000-00009F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663" authorId="0" shapeId="0" xr:uid="{00000000-0006-0000-0000-0000A0010000}">
      <text>
        <r>
          <rPr>
            <b/>
            <sz val="9"/>
            <color indexed="81"/>
            <rFont val="Tahoma"/>
            <family val="2"/>
          </rPr>
          <t>UBITEC:</t>
        </r>
        <r>
          <rPr>
            <sz val="9"/>
            <color indexed="81"/>
            <rFont val="Tahoma"/>
            <family val="2"/>
          </rPr>
          <t xml:space="preserve">
</t>
        </r>
        <r>
          <rPr>
            <sz val="11"/>
            <color indexed="81"/>
            <rFont val="Tahoma"/>
            <family val="2"/>
          </rPr>
          <t>Domicilio Av. José Vasconcelos 1515, Los Sabinos, 66240 San Pedro Garza García, N.L.
https://www.google.com/maps/place/25%C2%B039'26.2%22N+100%C2%B023'26.9%22W/@25.6572877,-100.3933671,17z/data=!3m1!4b1!4m4!3m3!8m2!3d25.6572877!4d-100.3907922?hl=es&amp;entry=ttu</t>
        </r>
      </text>
    </comment>
    <comment ref="H664" authorId="1" shapeId="0" xr:uid="{00000000-0006-0000-0000-0000A1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665" authorId="0" shapeId="0" xr:uid="{00000000-0006-0000-0000-0000A2010000}">
      <text>
        <r>
          <rPr>
            <b/>
            <sz val="9"/>
            <color indexed="81"/>
            <rFont val="Tahoma"/>
            <family val="2"/>
          </rPr>
          <t>UBITEC:</t>
        </r>
        <r>
          <rPr>
            <sz val="9"/>
            <color indexed="81"/>
            <rFont val="Tahoma"/>
            <family val="2"/>
          </rPr>
          <t xml:space="preserve">
</t>
        </r>
        <r>
          <rPr>
            <b/>
            <sz val="10"/>
            <color indexed="81"/>
            <rFont val="Tahoma"/>
            <family val="2"/>
          </rPr>
          <t xml:space="preserve">Av. Anillo Eléctrico 120, Torres de Santo Domingo, 66449 San Nicolás de los Garza, N.L.
</t>
        </r>
        <r>
          <rPr>
            <sz val="10"/>
            <color indexed="81"/>
            <rFont val="Tahoma"/>
            <family val="2"/>
          </rPr>
          <t>https://www.google.com/maps/place/Av.+Anillo+El%C3%A9ctrico+120,+Torres+de+Santo+Domingo,+66449+San+Nicol%C3%A1s+de+los+Garza,+N.L./@25.7557177,-100.2506409,17z/data=!3m1!4b1!4m6!3m5!1s0x8662eb45e2b29b99:0x8e5331d72f59f52!8m2!3d25.7557177!4d-100.248066!16s%2Fg%2F11cs6pgx65?entry=ttu</t>
        </r>
      </text>
    </comment>
    <comment ref="H666" authorId="0" shapeId="0" xr:uid="{00000000-0006-0000-0000-0000A3010000}">
      <text>
        <r>
          <rPr>
            <b/>
            <sz val="9"/>
            <color indexed="81"/>
            <rFont val="Tahoma"/>
            <family val="2"/>
          </rPr>
          <t>UBITEC:</t>
        </r>
        <r>
          <rPr>
            <sz val="9"/>
            <color indexed="81"/>
            <rFont val="Tahoma"/>
            <family val="2"/>
          </rPr>
          <t xml:space="preserve">
</t>
        </r>
        <r>
          <rPr>
            <sz val="11"/>
            <color indexed="81"/>
            <rFont val="Tahoma"/>
            <family val="2"/>
          </rPr>
          <t>Domicilio C. Sierra de Gomas 614, Cerro de La Silla (U.c.), 67190 Guadalupe, N.L.
https://www.google.com/maps/place/C.+Sierra+de+Gomas+614,+Cerro+de+La+Silla+(U.c.),+67190+Guadalupe,+N.L./@25.6656849,-100.1959049,17z/data=!3m1!4b1!4m6!3m5!1s0x8662c1c1fbd11ca9:0xcd2feb741a6d7461!8m2!3d25.6656849!4d-100.19333!16s%2Fg%2F11j0zz7w0v?entry=ttu</t>
        </r>
      </text>
    </comment>
    <comment ref="H667" authorId="0" shapeId="0" xr:uid="{4A394269-BBCD-4A72-8307-CBF8B921CBC1}">
      <text>
        <r>
          <rPr>
            <b/>
            <sz val="9"/>
            <color indexed="81"/>
            <rFont val="Tahoma"/>
            <family val="2"/>
          </rPr>
          <t>UBITEC:</t>
        </r>
        <r>
          <rPr>
            <sz val="9"/>
            <color indexed="81"/>
            <rFont val="Tahoma"/>
            <family val="2"/>
          </rPr>
          <t xml:space="preserve">
</t>
        </r>
        <r>
          <rPr>
            <sz val="11"/>
            <color indexed="81"/>
            <rFont val="Tahoma"/>
            <family val="2"/>
          </rPr>
          <t>Domicilio C. Sierra de Gomas 614, Cerro de La Silla (U.c.), 67190 Guadalupe, N.L.
https://www.google.com/maps/place/C.+Sierra+de+Gomas+614,+Cerro+de+La+Silla+(U.c.),+67190+Guadalupe,+N.L./@25.6656849,-100.1959049,17z/data=!3m1!4b1!4m6!3m5!1s0x8662c1c1fbd11ca9:0xcd2feb741a6d7461!8m2!3d25.6656849!4d-100.19333!16s%2Fg%2F11j0zz7w0v?entry=ttu</t>
        </r>
      </text>
    </comment>
    <comment ref="H692" authorId="0" shapeId="0" xr:uid="{00000000-0006-0000-0000-0000A4010000}">
      <text>
        <r>
          <rPr>
            <b/>
            <sz val="9"/>
            <color indexed="81"/>
            <rFont val="Tahoma"/>
            <family val="2"/>
          </rPr>
          <t>UBITEC:</t>
        </r>
        <r>
          <rPr>
            <sz val="9"/>
            <color indexed="81"/>
            <rFont val="Tahoma"/>
            <family val="2"/>
          </rPr>
          <t xml:space="preserve">
</t>
        </r>
        <r>
          <rPr>
            <sz val="11"/>
            <color indexed="81"/>
            <rFont val="Tahoma"/>
            <family val="2"/>
          </rPr>
          <t>Domicilio Misión Sta. Monica 8028, Misión Santa Fe, 67193 Guadalupe, N.L.
https://www.google.com/maps/place/Misi%C3%B3n+Sta.+Monica+8028,+Misi%C3%B3n+Santa+Fe,+67193+Guadalupe,+N.L./@25.6498589,-100.1756543,19.5z/data=!4m6!3m5!1s0x8662c188a62b60e1:0xa5bef60fd2b07a0a!8m2!3d25.6499564!4d-100.1751953!16s%2Fg%2F11csq71ykz?entry=ttu</t>
        </r>
      </text>
    </comment>
    <comment ref="H693" authorId="0" shapeId="0" xr:uid="{00000000-0006-0000-0000-0000A501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694" authorId="0" shapeId="0" xr:uid="{00000000-0006-0000-0000-0000A6010000}">
      <text>
        <r>
          <rPr>
            <b/>
            <sz val="9"/>
            <color indexed="81"/>
            <rFont val="Tahoma"/>
            <family val="2"/>
          </rPr>
          <t>UBITEC:</t>
        </r>
        <r>
          <rPr>
            <sz val="9"/>
            <color indexed="81"/>
            <rFont val="Tahoma"/>
            <family val="2"/>
          </rPr>
          <t xml:space="preserve">
</t>
        </r>
        <r>
          <rPr>
            <sz val="11"/>
            <color indexed="81"/>
            <rFont val="Tahoma"/>
            <family val="2"/>
          </rPr>
          <t>Domicilio Plaza Express, local 7 C. Vasconcelos 1501 7C Pte., 66226 San Pedro Garza García, Nuevo León, México
https://www.google.com/maps/place/PLAZA+EXPRESS/@25.6573335,-100.3934606,17z/data=!3m1!4b1!4m6!3m5!1s0x8662bd9cc95eb025:0x194ca3ebe2ffffa9!8m2!3d25.6573335!4d-100.3908857!16s%2Fg%2F11cm_hq0m_?entry=ttu</t>
        </r>
      </text>
    </comment>
    <comment ref="H695" authorId="0" shapeId="0" xr:uid="{00000000-0006-0000-0000-0000A701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696" authorId="0" shapeId="0" xr:uid="{00000000-0006-0000-0000-0000A8010000}">
      <text>
        <r>
          <rPr>
            <b/>
            <sz val="9"/>
            <color indexed="81"/>
            <rFont val="Tahoma"/>
            <family val="2"/>
          </rPr>
          <t>UBITEC:</t>
        </r>
        <r>
          <rPr>
            <sz val="9"/>
            <color indexed="81"/>
            <rFont val="Tahoma"/>
            <family val="2"/>
          </rPr>
          <t xml:space="preserve">
</t>
        </r>
        <r>
          <rPr>
            <sz val="11"/>
            <color indexed="81"/>
            <rFont val="Tahoma"/>
            <family val="2"/>
          </rPr>
          <t>Domicilio Mercado Juárez Local 203, Centro, 64000 Monterrey, N.L</t>
        </r>
        <r>
          <rPr>
            <sz val="9"/>
            <color indexed="81"/>
            <rFont val="Tahoma"/>
            <family val="2"/>
          </rPr>
          <t>.</t>
        </r>
      </text>
    </comment>
    <comment ref="H697" authorId="1" shapeId="0" xr:uid="{00000000-0006-0000-0000-0000A9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698" authorId="0" shapeId="0" xr:uid="{00000000-0006-0000-0000-0000AA010000}">
      <text>
        <r>
          <rPr>
            <b/>
            <sz val="9"/>
            <color indexed="81"/>
            <rFont val="Tahoma"/>
            <family val="2"/>
          </rPr>
          <t>UBITEC:</t>
        </r>
        <r>
          <rPr>
            <sz val="9"/>
            <color indexed="81"/>
            <rFont val="Tahoma"/>
            <family val="2"/>
          </rPr>
          <t xml:space="preserve">
</t>
        </r>
        <r>
          <rPr>
            <sz val="11"/>
            <color indexed="81"/>
            <rFont val="Tahoma"/>
            <family val="2"/>
          </rPr>
          <t xml:space="preserve">Excursionistas 729, Colonia Ciudad Ideal, C.P. 66490, San Nicolás de las Garza, Nuevo León </t>
        </r>
      </text>
    </comment>
    <comment ref="H699" authorId="0" shapeId="0" xr:uid="{00000000-0006-0000-0000-0000AB010000}">
      <text>
        <r>
          <rPr>
            <b/>
            <sz val="9"/>
            <color indexed="81"/>
            <rFont val="Tahoma"/>
            <family val="2"/>
          </rPr>
          <t>UBITEC:</t>
        </r>
        <r>
          <rPr>
            <sz val="9"/>
            <color indexed="81"/>
            <rFont val="Tahoma"/>
            <family val="2"/>
          </rPr>
          <t xml:space="preserve">
</t>
        </r>
        <r>
          <rPr>
            <sz val="11"/>
            <color indexed="81"/>
            <rFont val="Tahoma"/>
            <family val="2"/>
          </rPr>
          <t>Av. Independencia 909, Sin Nombre de Col 24, 64520 Monterrey, N.L.</t>
        </r>
      </text>
    </comment>
    <comment ref="H700" authorId="0" shapeId="0" xr:uid="{00000000-0006-0000-0000-0000AC010000}">
      <text>
        <r>
          <rPr>
            <b/>
            <sz val="9"/>
            <color indexed="81"/>
            <rFont val="Tahoma"/>
            <family val="2"/>
          </rPr>
          <t>UBITEC:</t>
        </r>
        <r>
          <rPr>
            <sz val="9"/>
            <color indexed="81"/>
            <rFont val="Tahoma"/>
            <family val="2"/>
          </rPr>
          <t xml:space="preserve">
</t>
        </r>
        <r>
          <rPr>
            <sz val="11"/>
            <color indexed="81"/>
            <rFont val="Tahoma"/>
            <family val="2"/>
          </rPr>
          <t xml:space="preserve">Excursionistas 729, Colonia Ciudad Ideal, C.P. 66490, San Nicolás de las Garza, Nuevo León </t>
        </r>
      </text>
    </comment>
    <comment ref="H701" authorId="0" shapeId="0" xr:uid="{00000000-0006-0000-0000-0000AD010000}">
      <text>
        <r>
          <rPr>
            <b/>
            <sz val="9"/>
            <color indexed="81"/>
            <rFont val="Tahoma"/>
            <family val="2"/>
          </rPr>
          <t>UBITEC:</t>
        </r>
        <r>
          <rPr>
            <sz val="9"/>
            <color indexed="81"/>
            <rFont val="Tahoma"/>
            <family val="2"/>
          </rPr>
          <t xml:space="preserve">
</t>
        </r>
        <r>
          <rPr>
            <sz val="11"/>
            <color indexed="81"/>
            <rFont val="Tahoma"/>
            <family val="2"/>
          </rPr>
          <t>Abraham Villarreal 529, Miguel Alemán, 66470 Monterrey, N.L.</t>
        </r>
      </text>
    </comment>
    <comment ref="H702" authorId="0" shapeId="0" xr:uid="{00000000-0006-0000-0000-0000AE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703" authorId="0" shapeId="0" xr:uid="{00000000-0006-0000-0000-0000AF01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705" authorId="0" shapeId="0" xr:uid="{00000000-0006-0000-0000-0000B0010000}">
      <text>
        <r>
          <rPr>
            <b/>
            <sz val="9"/>
            <color indexed="81"/>
            <rFont val="Tahoma"/>
            <family val="2"/>
          </rPr>
          <t>UBITEC:</t>
        </r>
        <r>
          <rPr>
            <sz val="9"/>
            <color indexed="81"/>
            <rFont val="Tahoma"/>
            <family val="2"/>
          </rPr>
          <t xml:space="preserve">
</t>
        </r>
        <r>
          <rPr>
            <b/>
            <sz val="11"/>
            <color indexed="81"/>
            <rFont val="Tahoma"/>
            <family val="2"/>
          </rPr>
          <t>Lote Guadalupe por Carretera Reynosa
Domicilio Benito Juárez 112, Nuevo León, 67190 Guadalupe, N.L.</t>
        </r>
        <r>
          <rPr>
            <sz val="11"/>
            <color indexed="81"/>
            <rFont val="Tahoma"/>
            <family val="2"/>
          </rPr>
          <t xml:space="preserve">
https://www.google.com/maps/place/Hospital+Veterinario+Dr.+Lozano/@25.6607605,-100.1509748,17z/data=!3m1!4b1!4m6!3m5!1s0x8662c303ca25ee41:0x7bdaab8e11cd3a44!8m2!3d25.6607605!4d-100.1509748!16s%2Fg%2F11h5htzkvl?hl=es-MX&amp;entry=ttu</t>
        </r>
      </text>
    </comment>
    <comment ref="H706" authorId="0" shapeId="0" xr:uid="{00000000-0006-0000-0000-0000B1010000}">
      <text>
        <r>
          <rPr>
            <b/>
            <sz val="9"/>
            <color indexed="81"/>
            <rFont val="Tahoma"/>
            <family val="2"/>
          </rPr>
          <t>UBITEC:</t>
        </r>
        <r>
          <rPr>
            <sz val="9"/>
            <color indexed="81"/>
            <rFont val="Tahoma"/>
            <family val="2"/>
          </rPr>
          <t xml:space="preserve">
</t>
        </r>
        <r>
          <rPr>
            <b/>
            <sz val="11"/>
            <color indexed="81"/>
            <rFont val="Tahoma"/>
            <family val="2"/>
          </rPr>
          <t>Domicilio Andrés Viesca 3821, Trece de Mayo, 67180 Guadalupe, N.L.</t>
        </r>
        <r>
          <rPr>
            <sz val="11"/>
            <color indexed="81"/>
            <rFont val="Tahoma"/>
            <family val="2"/>
          </rPr>
          <t xml:space="preserve">
https://www.google.com/maps/place/25%C2%B040'22.3%22N+100%C2%B013'08.1%22W/@25.6728516,-100.2214851,17z/data=!3m1!4b1!4m4!3m3!8m2!3d25.6728516!4d-100.2189102?hl=es&amp;entry=ttu</t>
        </r>
      </text>
    </comment>
    <comment ref="H707" authorId="0" shapeId="0" xr:uid="{00000000-0006-0000-0000-0000B2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708" authorId="1" shapeId="0" xr:uid="{00000000-0006-0000-0000-0000B3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713" authorId="1" shapeId="0" xr:uid="{00000000-0006-0000-0000-0000B4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714" authorId="1" shapeId="0" xr:uid="{00000000-0006-0000-0000-0000B5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715" authorId="0" shapeId="0" xr:uid="{00000000-0006-0000-0000-0000B6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716" authorId="1" shapeId="0" xr:uid="{00000000-0006-0000-0000-0000B7010000}">
      <text>
        <r>
          <rPr>
            <b/>
            <sz val="9"/>
            <color indexed="81"/>
            <rFont val="Tahoma"/>
            <family val="2"/>
          </rPr>
          <t>Usuario de Windows:</t>
        </r>
        <r>
          <rPr>
            <sz val="9"/>
            <color indexed="81"/>
            <rFont val="Tahoma"/>
            <family val="2"/>
          </rPr>
          <t xml:space="preserve">
</t>
        </r>
        <r>
          <rPr>
            <sz val="10"/>
            <color indexed="81"/>
            <rFont val="Tahoma"/>
            <family val="2"/>
          </rPr>
          <t>Cel del Propietario Alexis 8181817387
Coppel la puerta: Urano 2620-64 Avenida industriales del poniente 66358, Santa Catarina</t>
        </r>
      </text>
    </comment>
    <comment ref="H717" authorId="1" shapeId="0" xr:uid="{00000000-0006-0000-0000-0000B8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718" authorId="1" shapeId="0" xr:uid="{00000000-0006-0000-0000-0000B9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719" authorId="0" shapeId="0" xr:uid="{00000000-0006-0000-0000-0000BA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720" authorId="0" shapeId="0" xr:uid="{00000000-0006-0000-0000-0000BB01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721" authorId="0" shapeId="0" xr:uid="{00000000-0006-0000-0000-0000BC01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723" authorId="1" shapeId="0" xr:uid="{00000000-0006-0000-0000-0000BD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724" authorId="0" shapeId="0" xr:uid="{00000000-0006-0000-0000-0000BE01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725" authorId="1" shapeId="0" xr:uid="{00000000-0006-0000-0000-0000BF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727" authorId="0" shapeId="0" xr:uid="{00000000-0006-0000-0000-0000C0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728" authorId="0" shapeId="0" xr:uid="{00000000-0006-0000-0000-0000C1010000}">
      <text>
        <r>
          <rPr>
            <b/>
            <sz val="9"/>
            <color indexed="81"/>
            <rFont val="Tahoma"/>
            <family val="2"/>
          </rPr>
          <t>UBITEC:</t>
        </r>
        <r>
          <rPr>
            <sz val="9"/>
            <color indexed="81"/>
            <rFont val="Tahoma"/>
            <family val="2"/>
          </rPr>
          <t xml:space="preserve">
</t>
        </r>
        <r>
          <rPr>
            <sz val="10"/>
            <color indexed="81"/>
            <rFont val="Tahoma"/>
            <family val="2"/>
          </rPr>
          <t>Calle Bosque Albanes # 119, c.p. 66024, García Nuevo Leon</t>
        </r>
      </text>
    </comment>
    <comment ref="H729" authorId="0" shapeId="0" xr:uid="{00000000-0006-0000-0000-0000C2010000}">
      <text>
        <r>
          <rPr>
            <b/>
            <sz val="9"/>
            <color indexed="81"/>
            <rFont val="Tahoma"/>
            <family val="2"/>
          </rPr>
          <t>UBITEC:</t>
        </r>
        <r>
          <rPr>
            <sz val="9"/>
            <color indexed="81"/>
            <rFont val="Tahoma"/>
            <family val="2"/>
          </rPr>
          <t xml:space="preserve">
</t>
        </r>
        <r>
          <rPr>
            <b/>
            <sz val="10"/>
            <color indexed="81"/>
            <rFont val="Tahoma"/>
            <family val="2"/>
          </rPr>
          <t xml:space="preserve">Av. Anillo Eléctrico 120, Torres de Santo Domingo, 66449 San Nicolás de los Garza, N.L.
</t>
        </r>
        <r>
          <rPr>
            <sz val="10"/>
            <color indexed="81"/>
            <rFont val="Tahoma"/>
            <family val="2"/>
          </rPr>
          <t>https://www.google.com/maps/place/Av.+Anillo+El%C3%A9ctrico+120,+Torres+de+Santo+Domingo,+66449+San+Nicol%C3%A1s+de+los+Garza,+N.L./@25.7557177,-100.2506409,17z/data=!3m1!4b1!4m6!3m5!1s0x8662eb45e2b29b99:0x8e5331d72f59f52!8m2!3d25.7557177!4d-100.248066!16s%2Fg%2F11cs6pgx65?entry=ttu</t>
        </r>
      </text>
    </comment>
    <comment ref="H730" authorId="0" shapeId="0" xr:uid="{00000000-0006-0000-0000-0000C3010000}">
      <text>
        <r>
          <rPr>
            <b/>
            <sz val="9"/>
            <color indexed="81"/>
            <rFont val="Tahoma"/>
            <family val="2"/>
          </rPr>
          <t>UBITEC:</t>
        </r>
        <r>
          <rPr>
            <sz val="9"/>
            <color indexed="81"/>
            <rFont val="Tahoma"/>
            <family val="2"/>
          </rPr>
          <t xml:space="preserve">
</t>
        </r>
        <r>
          <rPr>
            <sz val="11"/>
            <color indexed="81"/>
            <rFont val="Tahoma"/>
            <family val="2"/>
          </rPr>
          <t>Domicilio  C.16a No.229, Colonia Miguel Aleman, San Nicolas de los Garza Nuevo Leon</t>
        </r>
      </text>
    </comment>
    <comment ref="H731" authorId="0" shapeId="0" xr:uid="{00000000-0006-0000-0000-0000C4010000}">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732" authorId="0" shapeId="0" xr:uid="{00000000-0006-0000-0000-0000C5010000}">
      <text>
        <r>
          <rPr>
            <b/>
            <sz val="9"/>
            <color indexed="81"/>
            <rFont val="Tahoma"/>
            <family val="2"/>
          </rPr>
          <t>UBITEC:</t>
        </r>
        <r>
          <rPr>
            <sz val="9"/>
            <color indexed="81"/>
            <rFont val="Tahoma"/>
            <family val="2"/>
          </rPr>
          <t xml:space="preserve">
</t>
        </r>
        <r>
          <rPr>
            <b/>
            <sz val="10"/>
            <color indexed="81"/>
            <rFont val="Tahoma"/>
            <family val="2"/>
          </rPr>
          <t xml:space="preserve">Av. Anillo Eléctrico 120, Torres de Santo Domingo, 66449 San Nicolás de los Garza, N.L.
</t>
        </r>
        <r>
          <rPr>
            <sz val="10"/>
            <color indexed="81"/>
            <rFont val="Tahoma"/>
            <family val="2"/>
          </rPr>
          <t>https://www.google.com/maps/place/Av.+Anillo+El%C3%A9ctrico+120,+Torres+de+Santo+Domingo,+66449+San+Nicol%C3%A1s+de+los+Garza,+N.L./@25.7557177,-100.2506409,17z/data=!3m1!4b1!4m6!3m5!1s0x8662eb45e2b29b99:0x8e5331d72f59f52!8m2!3d25.7557177!4d-100.248066!16s%2Fg%2F11cs6pgx65?entry=ttu</t>
        </r>
      </text>
    </comment>
    <comment ref="H733" authorId="0" shapeId="0" xr:uid="{00000000-0006-0000-0000-0000C6010000}">
      <text>
        <r>
          <rPr>
            <b/>
            <sz val="9"/>
            <color indexed="81"/>
            <rFont val="Tahoma"/>
            <family val="2"/>
          </rPr>
          <t>UBITEC:</t>
        </r>
        <r>
          <rPr>
            <sz val="9"/>
            <color indexed="81"/>
            <rFont val="Tahoma"/>
            <family val="2"/>
          </rPr>
          <t xml:space="preserve">
</t>
        </r>
        <r>
          <rPr>
            <b/>
            <sz val="11"/>
            <color indexed="81"/>
            <rFont val="Tahoma"/>
            <family val="2"/>
          </rPr>
          <t xml:space="preserve">Domicilio Av Afganistán 152, Prados de La Cieneguita, 66636 Cdad. Apodaca, N.L. </t>
        </r>
        <r>
          <rPr>
            <sz val="11"/>
            <color indexed="81"/>
            <rFont val="Tahoma"/>
            <family val="2"/>
          </rPr>
          <t xml:space="preserve">
https://www.google.com/maps/place/25%C2%B046'49.6%22N+100%C2%B015'14.6%22W/@25.7804527,-100.2566185,17z/data=!3m1!4b1!4m4!3m3!8m2!3d25.7804527!4d-100.2540436?hl=es&amp;entry=ttu</t>
        </r>
      </text>
    </comment>
    <comment ref="H734" authorId="0" shapeId="0" xr:uid="{00000000-0006-0000-0000-0000C701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735" authorId="0" shapeId="0" xr:uid="{00000000-0006-0000-0000-0000C8010000}">
      <text>
        <r>
          <rPr>
            <b/>
            <sz val="9"/>
            <color indexed="81"/>
            <rFont val="Tahoma"/>
            <family val="2"/>
          </rPr>
          <t>UBITEC:</t>
        </r>
        <r>
          <rPr>
            <sz val="9"/>
            <color indexed="81"/>
            <rFont val="Tahoma"/>
            <family val="2"/>
          </rPr>
          <t xml:space="preserve">
</t>
        </r>
        <r>
          <rPr>
            <b/>
            <sz val="10"/>
            <color indexed="81"/>
            <rFont val="Tahoma"/>
            <family val="2"/>
          </rPr>
          <t>Domicilio Gral Francisco Naranjo 115, Centro, 66400 San Nicolás de los Garza, N.L.</t>
        </r>
        <r>
          <rPr>
            <sz val="10"/>
            <color indexed="81"/>
            <rFont val="Tahoma"/>
            <family val="2"/>
          </rPr>
          <t xml:space="preserve">
https://www.google.com/maps/place/Gral+Francisco+Naranjo+115,+Centro,+66400+San+Nicol%C3%A1s+de+los+Garza,+N.L./@25.7561236,-100.2957975,17z/data=!3m1!4b1!4m6!3m5!1s0x8662948fa54eec13:0x797202541936a5a9!8m2!3d25.7561236!4d-100.2957975!16s%2Fg%2F11c17q6bnj?entry=ttu</t>
        </r>
      </text>
    </comment>
    <comment ref="H736" authorId="1" shapeId="0" xr:uid="{00000000-0006-0000-0000-0000C9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737" authorId="0" shapeId="0" xr:uid="{00000000-0006-0000-0000-0000CA01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738" authorId="0" shapeId="0" xr:uid="{00000000-0006-0000-0000-0000CB010000}">
      <text>
        <r>
          <rPr>
            <b/>
            <sz val="9"/>
            <color indexed="81"/>
            <rFont val="Tahoma"/>
            <family val="2"/>
          </rPr>
          <t>UBITEC:</t>
        </r>
        <r>
          <rPr>
            <sz val="9"/>
            <color indexed="81"/>
            <rFont val="Tahoma"/>
            <family val="2"/>
          </rPr>
          <t xml:space="preserve">
</t>
        </r>
        <r>
          <rPr>
            <b/>
            <sz val="11"/>
            <color indexed="81"/>
            <rFont val="Tahoma"/>
            <family val="2"/>
          </rPr>
          <t>Domicilio Claveles 222, Industrias del Vidrio Oriente, 66470 San Nicolás de los Garza, N.L.</t>
        </r>
        <r>
          <rPr>
            <sz val="10"/>
            <color indexed="81"/>
            <rFont val="Tahoma"/>
            <family val="2"/>
          </rPr>
          <t xml:space="preserve">
https://www.google.com/maps/place/Claveles+222,+Industrias+del+Vidrio+Oriente,+66470+San+Nicol%C3%A1s+de+los+Garza,+N.L./@25.7224067,-100.2391826,17z/data=!3m1!4b1!4m6!3m5!1s0x8662eae0ba35a7eb:0xe2a01b2deb5879a0!8m2!3d25.7224067!4d-100.2366077!16s%2Fg%2F11c6v8lwgr?entry=ttu</t>
        </r>
      </text>
    </comment>
    <comment ref="H739" authorId="0" shapeId="0" xr:uid="{00000000-0006-0000-0000-0000CC010000}">
      <text>
        <r>
          <rPr>
            <b/>
            <sz val="9"/>
            <color indexed="81"/>
            <rFont val="Tahoma"/>
            <family val="2"/>
          </rPr>
          <t>UBITEC:</t>
        </r>
        <r>
          <rPr>
            <sz val="9"/>
            <color indexed="81"/>
            <rFont val="Tahoma"/>
            <family val="2"/>
          </rPr>
          <t xml:space="preserve">
</t>
        </r>
        <r>
          <rPr>
            <b/>
            <sz val="11"/>
            <color indexed="81"/>
            <rFont val="Tahoma"/>
            <family val="2"/>
          </rPr>
          <t xml:space="preserve">Domicilio Río Sena 633, Riveras de Santa María, 67253 Cdad. Benito Juárez, N.L. </t>
        </r>
        <r>
          <rPr>
            <sz val="10"/>
            <color indexed="81"/>
            <rFont val="Tahoma"/>
            <family val="2"/>
          </rPr>
          <t xml:space="preserve">
https://www.google.com/maps/place/R%C3%ADo+Sena+633,+Riveras+de+Santa+Mar%C3%ADa,+67253+Cdad.+Benito+Ju%C3%A1rez,+N.L./@25.650695,-100.0973527,17z/data=!3m1!4b1!4m6!3m5!1s0x8662c2dbcb383ee9:0x151dc0aef5990df9!8m2!3d25.650695!4d-100.0947778!16s%2Fg%2F11j0zyntgh?entry=ttu</t>
        </r>
      </text>
    </comment>
    <comment ref="H740" authorId="0" shapeId="0" xr:uid="{00000000-0006-0000-0000-0000CD010000}">
      <text>
        <r>
          <rPr>
            <b/>
            <sz val="9"/>
            <color indexed="81"/>
            <rFont val="Tahoma"/>
            <family val="2"/>
          </rPr>
          <t>UBITEC:</t>
        </r>
        <r>
          <rPr>
            <sz val="9"/>
            <color indexed="81"/>
            <rFont val="Tahoma"/>
            <family val="2"/>
          </rPr>
          <t xml:space="preserve">
</t>
        </r>
        <r>
          <rPr>
            <b/>
            <sz val="10"/>
            <color indexed="81"/>
            <rFont val="Tahoma"/>
            <family val="2"/>
          </rPr>
          <t>Domicilio Galería Internacional 300, Galerías de Camino Real 2o Sector, 67177 Guadalupe, N.L.</t>
        </r>
        <r>
          <rPr>
            <sz val="10"/>
            <color indexed="81"/>
            <rFont val="Tahoma"/>
            <family val="2"/>
          </rPr>
          <t xml:space="preserve">
</t>
        </r>
        <r>
          <rPr>
            <sz val="9"/>
            <color indexed="81"/>
            <rFont val="Tahoma"/>
            <family val="2"/>
          </rPr>
          <t>https://www.google.com/maps/place/Galer%C3%ADa+Internacional+300,+Galer%C3%ADas+de+Camino+Real+2o+Sector,+67177+Guadalupe,+N.L./@25.6522999,-100.2301925,17z/data=!3m1!4b1!4m6!3m5!1s0x8662c0460c8401a1:0x1694e7c69c2a8161!8m2!3d25.6522999!4d-100.2276176!16s%2Fg%2F11csjc7rnp?entry=ttu</t>
        </r>
      </text>
    </comment>
    <comment ref="H741" authorId="0" shapeId="0" xr:uid="{00000000-0006-0000-0000-0000CE01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742" authorId="0" shapeId="0" xr:uid="{00000000-0006-0000-0000-0000CF010000}">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743" authorId="0" shapeId="0" xr:uid="{00000000-0006-0000-0000-0000D0010000}">
      <text>
        <r>
          <rPr>
            <b/>
            <sz val="9"/>
            <color indexed="81"/>
            <rFont val="Tahoma"/>
            <family val="2"/>
          </rPr>
          <t>UBITEC:</t>
        </r>
        <r>
          <rPr>
            <sz val="9"/>
            <color indexed="81"/>
            <rFont val="Tahoma"/>
            <family val="2"/>
          </rPr>
          <t xml:space="preserve">
</t>
        </r>
        <r>
          <rPr>
            <b/>
            <sz val="11"/>
            <color indexed="81"/>
            <rFont val="Tahoma"/>
            <family val="2"/>
          </rPr>
          <t>Domicilio Cam. Antiguo a Villa Juárez 202, Huinala, 66640 Cdad. Apodaca, N.L.</t>
        </r>
        <r>
          <rPr>
            <sz val="11"/>
            <color indexed="81"/>
            <rFont val="Tahoma"/>
            <family val="2"/>
          </rPr>
          <t xml:space="preserve">
</t>
        </r>
        <r>
          <rPr>
            <sz val="10"/>
            <color indexed="81"/>
            <rFont val="Tahoma"/>
            <family val="2"/>
          </rPr>
          <t>https://www.google.com/maps/place/25%C2%B044'34.1%22N+100%C2%B009'37.9%22W/@25.7428175,-100.1608874,19.75z/data=!4m4!3m3!8m2!3d25.7428074!4d-100.1605148?hl=es&amp;entry=ttu</t>
        </r>
      </text>
    </comment>
    <comment ref="H744" authorId="0" shapeId="0" xr:uid="{00000000-0006-0000-0000-0000D1010000}">
      <text>
        <r>
          <rPr>
            <b/>
            <sz val="9"/>
            <color indexed="81"/>
            <rFont val="Tahoma"/>
            <family val="2"/>
          </rPr>
          <t>UBITEC:</t>
        </r>
        <r>
          <rPr>
            <sz val="9"/>
            <color indexed="81"/>
            <rFont val="Tahoma"/>
            <family val="2"/>
          </rPr>
          <t xml:space="preserve">
</t>
        </r>
        <r>
          <rPr>
            <b/>
            <sz val="11"/>
            <color indexed="81"/>
            <rFont val="Tahoma"/>
            <family val="2"/>
          </rPr>
          <t>Domicilio Pony 945, Valle del Huajuco, 64820 Monterrey, N.L.</t>
        </r>
        <r>
          <rPr>
            <sz val="11"/>
            <color indexed="81"/>
            <rFont val="Tahoma"/>
            <family val="2"/>
          </rPr>
          <t xml:space="preserve">
https://www.google.com/maps/place/25%C2%B039'54.9%22N+100%C2%B016'15.9%22W/@25.6652645,-100.2731113,17.25z/data=!4m4!3m3!8m2!3d25.6652622!4d-100.2710724?hl=es&amp;entry=ttu</t>
        </r>
      </text>
    </comment>
    <comment ref="H745" authorId="0" shapeId="0" xr:uid="{00000000-0006-0000-0000-0000D201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746" authorId="0" shapeId="0" xr:uid="{00000000-0006-0000-0000-0000D3010000}">
      <text>
        <r>
          <rPr>
            <b/>
            <sz val="9"/>
            <color indexed="81"/>
            <rFont val="Tahoma"/>
            <family val="2"/>
          </rPr>
          <t>UBITEC:</t>
        </r>
        <r>
          <rPr>
            <sz val="9"/>
            <color indexed="81"/>
            <rFont val="Tahoma"/>
            <family val="2"/>
          </rPr>
          <t xml:space="preserve">
</t>
        </r>
        <r>
          <rPr>
            <b/>
            <sz val="10"/>
            <color indexed="81"/>
            <rFont val="Tahoma"/>
            <family val="2"/>
          </rPr>
          <t>Domicilio Cam. Antiguo a Villa Juárez 202, Huinala, 66640 Cdad. Apodaca, N.L.</t>
        </r>
        <r>
          <rPr>
            <sz val="10"/>
            <color indexed="81"/>
            <rFont val="Tahoma"/>
            <family val="2"/>
          </rPr>
          <t xml:space="preserve">
https://www.google.com/maps/place/25%C2%B044'34.1%22N+100%C2%B009'37.9%22W/@25.7428175,-100.1608874,19.75z/data=!4m4!3m3!8m2!3d25.7428074!4d-100.1605148?hl=es&amp;entry=ttu</t>
        </r>
      </text>
    </comment>
    <comment ref="H747" authorId="0" shapeId="0" xr:uid="{00000000-0006-0000-0000-0000D401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748" authorId="0" shapeId="0" xr:uid="{00000000-0006-0000-0000-0000D5010000}">
      <text>
        <r>
          <rPr>
            <b/>
            <sz val="9"/>
            <color indexed="81"/>
            <rFont val="Tahoma"/>
            <family val="2"/>
          </rPr>
          <t>UBITEC:</t>
        </r>
        <r>
          <rPr>
            <sz val="9"/>
            <color indexed="81"/>
            <rFont val="Tahoma"/>
            <family val="2"/>
          </rPr>
          <t xml:space="preserve">
</t>
        </r>
        <r>
          <rPr>
            <b/>
            <sz val="10"/>
            <color indexed="81"/>
            <rFont val="Tahoma"/>
            <family val="2"/>
          </rPr>
          <t>Dirección Acacia 613, Residencial las Flores, 66064 Cdad. Gral. Escobedo, N.L.</t>
        </r>
        <r>
          <rPr>
            <sz val="10"/>
            <color indexed="81"/>
            <rFont val="Tahoma"/>
            <family val="2"/>
          </rPr>
          <t xml:space="preserve">
https://www.google.com/maps/place/Acacia+613,+Residencial+las+Flores,+66064+Cdad.+Gral.+Escobedo,+N.L./@25.8035204,-100.3992992,17z/data=!3m1!4b1!4m10!1m2!2m1!1sAcacia+613,+colonia+Las+Flores,+Escobedo+NL!3m6!1s0x86629102009c4177:0x9571bd5c55f4be1d!8m2!3d25.8035156!4d-100.3946858!15sCitBY2FjaWEgNjEzLCBjb2xvbmlhIExhcyBGbG9yZXMsIEVzY29iZWRvIE5MkgERY29tcG91bmRfYnVpbGRpbmfgAQA!16s%2Fg%2F11c5blc8q0?entry=ttu</t>
        </r>
      </text>
    </comment>
    <comment ref="H749" authorId="0" shapeId="0" xr:uid="{00000000-0006-0000-0000-0000D601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750" authorId="0" shapeId="0" xr:uid="{00000000-0006-0000-0000-0000D7010000}">
      <text>
        <r>
          <rPr>
            <b/>
            <sz val="9"/>
            <color indexed="81"/>
            <rFont val="Tahoma"/>
            <family val="2"/>
          </rPr>
          <t>UBITEC:</t>
        </r>
        <r>
          <rPr>
            <sz val="9"/>
            <color indexed="81"/>
            <rFont val="Tahoma"/>
            <family val="2"/>
          </rPr>
          <t xml:space="preserve">
</t>
        </r>
        <r>
          <rPr>
            <b/>
            <sz val="10"/>
            <color indexed="81"/>
            <rFont val="Tahoma"/>
            <family val="2"/>
          </rPr>
          <t>Domicilio Groenlandia 1210, Residencial Santa Fe, Sector, 67112 Guadalupe, N.L.</t>
        </r>
        <r>
          <rPr>
            <sz val="10"/>
            <color indexed="81"/>
            <rFont val="Tahoma"/>
            <family val="2"/>
          </rPr>
          <t xml:space="preserve">
https://www.google.com/maps/place/Groenlandia+1210,+Residencial+Santa+Fe,+Sector,+67112+Guadalupe,+N.L./@25.7206847,-100.205428,17z/data=!3m1!4b1!4m6!3m5!1s0x8662ea4fcb91f7b5:0xa6b96a8a5d6a58fe!8m2!3d25.7206847!4d-100.2028531!16s%2Fg%2F11c1xgwd1n?entry=ttu</t>
        </r>
      </text>
    </comment>
    <comment ref="H751" authorId="0" shapeId="0" xr:uid="{00000000-0006-0000-0000-0000D8010000}">
      <text>
        <r>
          <rPr>
            <b/>
            <sz val="9"/>
            <color indexed="81"/>
            <rFont val="Tahoma"/>
            <family val="2"/>
          </rPr>
          <t>UBITEC:</t>
        </r>
        <r>
          <rPr>
            <sz val="9"/>
            <color indexed="81"/>
            <rFont val="Tahoma"/>
            <family val="2"/>
          </rPr>
          <t xml:space="preserve">
</t>
        </r>
        <r>
          <rPr>
            <b/>
            <sz val="10"/>
            <color indexed="81"/>
            <rFont val="Tahoma"/>
            <family val="2"/>
          </rPr>
          <t>Domicilio C. Golfo de México 335, San Andrés, 66640 Cdad. Apodaca, N.L.</t>
        </r>
        <r>
          <rPr>
            <sz val="10"/>
            <color indexed="81"/>
            <rFont val="Tahoma"/>
            <family val="2"/>
          </rPr>
          <t xml:space="preserve">
https://www.google.com/maps/place/C.+Golfo+de+M%C3%A9xico+335,+San+Andr%C3%A9s,+66640+Cdad.+Apodaca,+N.L./@25.7413071,-100.1765014,16.5z/data=!4m6!3m5!1s0x8662ebd7ae2863d1:0xcd1ada76e79c31ab!8m2!3d25.741165!4d-100.1724377!16s%2Fg%2F11c4wms05f?entry=ttu</t>
        </r>
      </text>
    </comment>
    <comment ref="H752" authorId="0" shapeId="0" xr:uid="{00000000-0006-0000-0000-0000D901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753" authorId="0" shapeId="0" xr:uid="{00000000-0006-0000-0000-0000DA010000}">
      <text>
        <r>
          <rPr>
            <b/>
            <sz val="9"/>
            <color indexed="81"/>
            <rFont val="Tahoma"/>
            <family val="2"/>
          </rPr>
          <t>UBITEC:</t>
        </r>
        <r>
          <rPr>
            <sz val="9"/>
            <color indexed="81"/>
            <rFont val="Tahoma"/>
            <family val="2"/>
          </rPr>
          <t xml:space="preserve">
</t>
        </r>
        <r>
          <rPr>
            <b/>
            <sz val="10"/>
            <color indexed="81"/>
            <rFont val="Tahoma"/>
            <family val="2"/>
          </rPr>
          <t>Domicilio Cenzontle 4030, Cuesta Verde, 67186 Guadalupe, N.L.</t>
        </r>
        <r>
          <rPr>
            <sz val="9"/>
            <color indexed="81"/>
            <rFont val="Tahoma"/>
            <family val="2"/>
          </rPr>
          <t xml:space="preserve">
</t>
        </r>
        <r>
          <rPr>
            <sz val="10"/>
            <color indexed="81"/>
            <rFont val="Tahoma"/>
            <family val="2"/>
          </rPr>
          <t xml:space="preserve">https://www.google.com/maps/place/Cenzontle+4030,+Cuesta+Verde,+67186+Guadalupe,+N.L./@25.65413,-100.215438,17z/data=!3m1!4b1!4m5!3m4!1s0x8662c1b48c8217a1:0x84a2f880a7e07447!8m2!3d25.65413!4d-100.2128631?entry=ttu
</t>
        </r>
      </text>
    </comment>
    <comment ref="H754" authorId="0" shapeId="0" xr:uid="{00000000-0006-0000-0000-0000DB010000}">
      <text>
        <r>
          <rPr>
            <b/>
            <sz val="9"/>
            <color indexed="81"/>
            <rFont val="Tahoma"/>
            <family val="2"/>
          </rPr>
          <t>UBITEC:</t>
        </r>
        <r>
          <rPr>
            <sz val="9"/>
            <color indexed="81"/>
            <rFont val="Tahoma"/>
            <family val="2"/>
          </rPr>
          <t xml:space="preserve">
</t>
        </r>
        <r>
          <rPr>
            <b/>
            <sz val="11"/>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756" authorId="0" shapeId="0" xr:uid="{00000000-0006-0000-0000-0000DC010000}">
      <text>
        <r>
          <rPr>
            <b/>
            <sz val="9"/>
            <color indexed="81"/>
            <rFont val="Tahoma"/>
            <family val="2"/>
          </rPr>
          <t>UBITEC:</t>
        </r>
        <r>
          <rPr>
            <sz val="9"/>
            <color indexed="81"/>
            <rFont val="Tahoma"/>
            <family val="2"/>
          </rPr>
          <t xml:space="preserve">
</t>
        </r>
        <r>
          <rPr>
            <b/>
            <sz val="10"/>
            <color indexed="81"/>
            <rFont val="Tahoma"/>
            <family val="2"/>
          </rPr>
          <t xml:space="preserve">Domicilio C. 11 Pte. 521, Adolfo Lopez Mateos INFONAVIT, 66360 Cdad. Santa Catarina, N.L. </t>
        </r>
        <r>
          <rPr>
            <sz val="10"/>
            <color indexed="81"/>
            <rFont val="Tahoma"/>
            <family val="2"/>
          </rPr>
          <t xml:space="preserve">
https://www.google.com/maps/place/C.+11+Pte.+521,+Adolfo+Lopez+Mateos+INFONAVIT,+66360+Cdad.+Santa+Catarina,+N.L./@25.6919511,-100.457521,17z/data=!3m1!4b1!4m6!3m5!1s0x8662983c4861dfbb:0x19e761cf9bfca70!8m2!3d25.6919511!4d-100.4549461!16s%2Fg%2F11cp9bs9xr?entry=ttu</t>
        </r>
      </text>
    </comment>
    <comment ref="H757" authorId="0" shapeId="0" xr:uid="{00000000-0006-0000-0000-0000DD010000}">
      <text>
        <r>
          <rPr>
            <b/>
            <sz val="9"/>
            <color indexed="81"/>
            <rFont val="Tahoma"/>
            <family val="2"/>
          </rPr>
          <t>UBITEC:</t>
        </r>
        <r>
          <rPr>
            <sz val="9"/>
            <color indexed="81"/>
            <rFont val="Tahoma"/>
            <family val="2"/>
          </rPr>
          <t xml:space="preserve">
</t>
        </r>
        <r>
          <rPr>
            <b/>
            <sz val="10"/>
            <color indexed="81"/>
            <rFont val="Tahoma"/>
            <family val="2"/>
          </rPr>
          <t xml:space="preserve">Domicilio C. 11 Pte. 521, Adolfo Lopez Mateos INFONAVIT, 66360 Cdad. Santa Catarina, N.L. </t>
        </r>
        <r>
          <rPr>
            <sz val="10"/>
            <color indexed="81"/>
            <rFont val="Tahoma"/>
            <family val="2"/>
          </rPr>
          <t xml:space="preserve">
https://www.google.com/maps/place/C.+11+Pte.+521,+Adolfo+Lopez+Mateos+INFONAVIT,+66360+Cdad.+Santa+Catarina,+N.L./@25.6919511,-100.457521,17z/data=!3m1!4b1!4m6!3m5!1s0x8662983c4861dfbb:0x19e761cf9bfca70!8m2!3d25.6919511!4d-100.4549461!16s%2Fg%2F11cp9bs9xr?entry=ttu</t>
        </r>
      </text>
    </comment>
    <comment ref="H758" authorId="0" shapeId="0" xr:uid="{00000000-0006-0000-0000-0000DE010000}">
      <text>
        <r>
          <rPr>
            <b/>
            <sz val="9"/>
            <color indexed="81"/>
            <rFont val="Tahoma"/>
            <family val="2"/>
          </rPr>
          <t>UBITEC:</t>
        </r>
        <r>
          <rPr>
            <sz val="9"/>
            <color indexed="81"/>
            <rFont val="Tahoma"/>
            <family val="2"/>
          </rPr>
          <t xml:space="preserve">
</t>
        </r>
        <r>
          <rPr>
            <b/>
            <sz val="10"/>
            <color indexed="81"/>
            <rFont val="Tahoma"/>
            <family val="2"/>
          </rPr>
          <t>Domicilio Gral Francisco Naranjo 115, Centro, 66400 San Nicolás de los Garza, N.L.</t>
        </r>
        <r>
          <rPr>
            <sz val="10"/>
            <color indexed="81"/>
            <rFont val="Tahoma"/>
            <family val="2"/>
          </rPr>
          <t xml:space="preserve">
https://www.google.com/maps/place/Gral+Francisco+Naranjo+115,+Centro,+66400+San+Nicol%C3%A1s+de+los+Garza,+N.L./@25.7561236,-100.2957975,17z/data=!3m1!4b1!4m6!3m5!1s0x8662948fa54eec13:0x797202541936a5a9!8m2!3d25.7561236!4d-100.2957975!16s%2Fg%2F11c17q6bnj?entry=ttu</t>
        </r>
      </text>
    </comment>
    <comment ref="H759" authorId="0" shapeId="0" xr:uid="{00000000-0006-0000-0000-0000DF010000}">
      <text>
        <r>
          <rPr>
            <b/>
            <sz val="9"/>
            <color indexed="81"/>
            <rFont val="Tahoma"/>
            <family val="2"/>
          </rPr>
          <t>UBITEC:</t>
        </r>
        <r>
          <rPr>
            <sz val="9"/>
            <color indexed="81"/>
            <rFont val="Tahoma"/>
            <family val="2"/>
          </rPr>
          <t xml:space="preserve">
</t>
        </r>
        <r>
          <rPr>
            <b/>
            <sz val="11"/>
            <color indexed="81"/>
            <rFont val="Tahoma"/>
            <family val="2"/>
          </rPr>
          <t>DomicilioC. Sierra de Gomas 614, Col. Cerro de la Silla, 67190 Guadalupe, N.L.</t>
        </r>
        <r>
          <rPr>
            <sz val="11"/>
            <color indexed="81"/>
            <rFont val="Tahoma"/>
            <family val="2"/>
          </rPr>
          <t xml:space="preserve">
https://www.google.com/maps/place/25%C2%B039'56.2%22N+100%C2%B011'35.3%22W/@25.6670781,-100.2024752,15.25z/data=!4m4!3m3!8m2!3d25.6655998!4d-100.1931381?hl=es&amp;entry=ttu</t>
        </r>
      </text>
    </comment>
    <comment ref="H760" authorId="1" shapeId="0" xr:uid="{00000000-0006-0000-0000-0000E0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761" authorId="0" shapeId="0" xr:uid="{00000000-0006-0000-0000-0000E1010000}">
      <text>
        <r>
          <rPr>
            <b/>
            <sz val="9"/>
            <color indexed="81"/>
            <rFont val="Tahoma"/>
            <family val="2"/>
          </rPr>
          <t>UBITEC:</t>
        </r>
        <r>
          <rPr>
            <sz val="9"/>
            <color indexed="81"/>
            <rFont val="Tahoma"/>
            <family val="2"/>
          </rPr>
          <t xml:space="preserve">
</t>
        </r>
        <r>
          <rPr>
            <b/>
            <sz val="10"/>
            <color indexed="81"/>
            <rFont val="Tahoma"/>
            <family val="2"/>
          </rPr>
          <t>Domicilio Estella 212, Topo Grande IV, Topo Grande, 66074 Cdad. Gral. Escobedo, N.L.</t>
        </r>
        <r>
          <rPr>
            <sz val="10"/>
            <color indexed="81"/>
            <rFont val="Tahoma"/>
            <family val="2"/>
          </rPr>
          <t xml:space="preserve">
https://www.google.com/maps/place/Estella+212,+Topo+Grande+IV,+Topo+Grande,+66074+Cdad.+Gral.+Escobedo,+N.L./@25.791696,-100.3199918,17z/data=!3m1!4b1!4m6!3m5!1s0x86629397e042204f:0x53b3e59684729b99!8m2!3d25.791696!4d-100.3174169!16s%2Fg%2F11c4bw7p4z?entry=ttu</t>
        </r>
      </text>
    </comment>
    <comment ref="H762" authorId="0" shapeId="0" xr:uid="{00000000-0006-0000-0000-0000E2010000}">
      <text>
        <r>
          <rPr>
            <b/>
            <sz val="9"/>
            <color indexed="81"/>
            <rFont val="Tahoma"/>
            <family val="2"/>
          </rPr>
          <t>UBITEC:</t>
        </r>
        <r>
          <rPr>
            <sz val="9"/>
            <color indexed="81"/>
            <rFont val="Tahoma"/>
            <family val="2"/>
          </rPr>
          <t xml:space="preserve">
</t>
        </r>
        <r>
          <rPr>
            <b/>
            <sz val="10"/>
            <color indexed="81"/>
            <rFont val="Tahoma"/>
            <family val="2"/>
          </rPr>
          <t>Domicilio Instituto de Control Vehicular
Carr. Libre Monterrey - Reynosa 101, Kalos, 65196 Guadalupe, N.L.</t>
        </r>
        <r>
          <rPr>
            <sz val="10"/>
            <color indexed="81"/>
            <rFont val="Tahoma"/>
            <family val="2"/>
          </rPr>
          <t xml:space="preserve">
https://www.google.com/maps/place/Instituto+de+Control+Vehicular/@25.6632055,-100.1517882,17z/data=!3m1!4b1!4m6!3m5!1s0x8662c21561bdf54d:0xff947c139bd7a25a!8m2!3d25.6632055!4d-100.1517882!16s%2Fg%2F11clszdkkw?entry=ttu</t>
        </r>
        <r>
          <rPr>
            <sz val="9"/>
            <color indexed="81"/>
            <rFont val="Tahoma"/>
            <family val="2"/>
          </rPr>
          <t xml:space="preserve">
</t>
        </r>
      </text>
    </comment>
    <comment ref="H763" authorId="0" shapeId="0" xr:uid="{00000000-0006-0000-0000-0000E3010000}">
      <text>
        <r>
          <rPr>
            <b/>
            <sz val="9"/>
            <color indexed="81"/>
            <rFont val="Tahoma"/>
            <family val="2"/>
          </rPr>
          <t>UBITEC:</t>
        </r>
        <r>
          <rPr>
            <sz val="9"/>
            <color indexed="81"/>
            <rFont val="Tahoma"/>
            <family val="2"/>
          </rPr>
          <t xml:space="preserve">
</t>
        </r>
        <r>
          <rPr>
            <b/>
            <sz val="10"/>
            <color indexed="81"/>
            <rFont val="Tahoma"/>
            <family val="2"/>
          </rPr>
          <t>Domicilio C. Sierra de Gomas 614, Col. Cerro de la Silla, 67190 Guadalupe, N.L.</t>
        </r>
        <r>
          <rPr>
            <sz val="10"/>
            <color indexed="81"/>
            <rFont val="Tahoma"/>
            <family val="2"/>
          </rPr>
          <t xml:space="preserve">
https://www.google.com/maps/place/25%C2%B039'56.2%22N+100%C2%B011'35.3%22W/@25.6655998,-100.195713,17z/data=!3m1!4b1!4m4!3m3!8m2!3d25.6655998!4d-100.1931381?hl=es&amp;entry=ttu</t>
        </r>
      </text>
    </comment>
    <comment ref="H765" authorId="0" shapeId="0" xr:uid="{00000000-0006-0000-0000-0000E401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766" authorId="0" shapeId="0" xr:uid="{00000000-0006-0000-0000-0000E5010000}">
      <text>
        <r>
          <rPr>
            <b/>
            <sz val="9"/>
            <color indexed="81"/>
            <rFont val="Tahoma"/>
            <family val="2"/>
          </rPr>
          <t>UBITEC:</t>
        </r>
        <r>
          <rPr>
            <sz val="9"/>
            <color indexed="81"/>
            <rFont val="Tahoma"/>
            <family val="2"/>
          </rPr>
          <t xml:space="preserve">
</t>
        </r>
        <r>
          <rPr>
            <b/>
            <sz val="10"/>
            <color indexed="81"/>
            <rFont val="Tahoma"/>
            <family val="2"/>
          </rPr>
          <t>Domicilio C. Sierra de Gomas 614, Col. Cerro de la Silla, 67190 Guadalupe, N.L.</t>
        </r>
        <r>
          <rPr>
            <sz val="10"/>
            <color indexed="81"/>
            <rFont val="Tahoma"/>
            <family val="2"/>
          </rPr>
          <t xml:space="preserve">
https://www.google.com/maps/place/25%C2%B039'56.2%22N+100%C2%B011'35.3%22W/@25.6655998,-100.195713,17z/data=!3m1!4b1!4m4!3m3!8m2!3d25.6655998!4d-100.1931381?hl=es&amp;entry=ttu</t>
        </r>
      </text>
    </comment>
    <comment ref="H767" authorId="0" shapeId="0" xr:uid="{00000000-0006-0000-0000-0000E6010000}">
      <text>
        <r>
          <rPr>
            <b/>
            <sz val="9"/>
            <color indexed="81"/>
            <rFont val="Tahoma"/>
            <family val="2"/>
          </rPr>
          <t>UBITEC:</t>
        </r>
        <r>
          <rPr>
            <sz val="9"/>
            <color indexed="81"/>
            <rFont val="Tahoma"/>
            <family val="2"/>
          </rPr>
          <t xml:space="preserve">
</t>
        </r>
        <r>
          <rPr>
            <b/>
            <sz val="10"/>
            <color indexed="81"/>
            <rFont val="Tahoma"/>
            <family val="2"/>
          </rPr>
          <t>Domicilio Instituto de Control Vehicular (Plazas Outlet)
Av. Manuel L. Barragán 220-Local R02-A, Ex Hacienda el Cañada, 66054 Cdad. Gral. Escobedo, N.L.</t>
        </r>
        <r>
          <rPr>
            <sz val="10"/>
            <color indexed="81"/>
            <rFont val="Tahoma"/>
            <family val="2"/>
          </rPr>
          <t xml:space="preserve">
https://www.google.com/maps/place/Instituto+de+Control+Vehicular/@25.771488,-100.3059643,17z/data=!3m1!4b1!4m6!3m5!1s0x8662937f9719e0e9:0x9f021c25f802d7ca!8m2!3d25.771488!4d-100.3033894!16s%2Fg%2F11c1nqqr2d?entry=ttu</t>
        </r>
      </text>
    </comment>
    <comment ref="H768" authorId="0" shapeId="0" xr:uid="{00000000-0006-0000-0000-0000E7010000}">
      <text>
        <r>
          <rPr>
            <b/>
            <sz val="9"/>
            <color indexed="81"/>
            <rFont val="Tahoma"/>
            <family val="2"/>
          </rPr>
          <t>UBITEC:</t>
        </r>
        <r>
          <rPr>
            <sz val="9"/>
            <color indexed="81"/>
            <rFont val="Tahoma"/>
            <family val="2"/>
          </rPr>
          <t xml:space="preserve">
</t>
        </r>
        <r>
          <rPr>
            <b/>
            <sz val="10"/>
            <color indexed="81"/>
            <rFont val="Tahoma"/>
            <family val="2"/>
          </rPr>
          <t>Domicilio J. M. Villarreal 703, Hacienda de los Ayala, 66072 Cdad. Gral. Escobedo, N.L.</t>
        </r>
        <r>
          <rPr>
            <sz val="10"/>
            <color indexed="81"/>
            <rFont val="Tahoma"/>
            <family val="2"/>
          </rPr>
          <t xml:space="preserve">
https://www.google.com/maps/place/J.+M.+Villarreal+703,+Hacienda+de+los+Ayala,+66072+Cdad.+Gral.+Escobedo,+N.L./@25.7371067,-100.4081086,12.25z/data=!4m6!3m5!1s0x866293c6a133f483:0x82606b123967489b!8m2!3d25.797724!4d-100.3326661!16s%2Fg%2F11c23y6gdx?entry=ttu</t>
        </r>
        <r>
          <rPr>
            <sz val="9"/>
            <color indexed="81"/>
            <rFont val="Tahoma"/>
            <family val="2"/>
          </rPr>
          <t xml:space="preserve">
</t>
        </r>
      </text>
    </comment>
    <comment ref="H769" authorId="0" shapeId="0" xr:uid="{00000000-0006-0000-0000-0000E801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770" authorId="0" shapeId="0" xr:uid="{00000000-0006-0000-0000-0000E9010000}">
      <text>
        <r>
          <rPr>
            <b/>
            <sz val="9"/>
            <color indexed="81"/>
            <rFont val="Tahoma"/>
            <family val="2"/>
          </rPr>
          <t>UBITEC:</t>
        </r>
        <r>
          <rPr>
            <sz val="9"/>
            <color indexed="81"/>
            <rFont val="Tahoma"/>
            <family val="2"/>
          </rPr>
          <t xml:space="preserve">
</t>
        </r>
        <r>
          <rPr>
            <b/>
            <sz val="10"/>
            <color indexed="81"/>
            <rFont val="Tahoma"/>
            <family val="2"/>
          </rPr>
          <t>Domicilio Gral Francisco Naranjo 115, Centro, 66400 San Nicolás de los Garza, N.L.</t>
        </r>
        <r>
          <rPr>
            <sz val="10"/>
            <color indexed="81"/>
            <rFont val="Tahoma"/>
            <family val="2"/>
          </rPr>
          <t xml:space="preserve">
https://www.google.com/maps/place/Gral+Francisco+Naranjo+115,+Centro,+66400+San+Nicol%C3%A1s+de+los+Garza,+N.L./@25.7561236,-100.2957975,17z/data=!3m1!4b1!4m6!3m5!1s0x8662948fa54eec13:0x797202541936a5a9!8m2!3d25.7561236!4d-100.2957975!16s%2Fg%2F11c17q6bnj?entry=ttu</t>
        </r>
      </text>
    </comment>
    <comment ref="H772" authorId="0" shapeId="0" xr:uid="{00000000-0006-0000-0000-0000EA01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773" authorId="0" shapeId="0" xr:uid="{00000000-0006-0000-0000-0000EB01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774" authorId="0" shapeId="0" xr:uid="{00000000-0006-0000-0000-0000EC010000}">
      <text>
        <r>
          <rPr>
            <b/>
            <sz val="9"/>
            <color indexed="81"/>
            <rFont val="Tahoma"/>
            <family val="2"/>
          </rPr>
          <t>UBITEC:</t>
        </r>
        <r>
          <rPr>
            <sz val="9"/>
            <color indexed="81"/>
            <rFont val="Tahoma"/>
            <family val="2"/>
          </rPr>
          <t xml:space="preserve">
</t>
        </r>
        <r>
          <rPr>
            <b/>
            <sz val="9"/>
            <color indexed="81"/>
            <rFont val="Tahoma"/>
            <family val="2"/>
          </rPr>
          <t xml:space="preserve">Nardo #3820, Trece de Mayo, 67185 Guadalupe, N.L. </t>
        </r>
        <r>
          <rPr>
            <sz val="9"/>
            <color indexed="81"/>
            <rFont val="Tahoma"/>
            <family val="2"/>
          </rPr>
          <t xml:space="preserve">
https://www.google.com/maps/place/25%C2%B040'22.2%22N+100%C2%B013'08.1%22W/@25.672842,-100.2188537,17z/data=!4m11!1m6!3m5!2zMjXCsDQwJzIyLjIiTiAxMDDCsDEzJzA4LjEiVw!8m2!3d25.6728324!4d-100.2189244!10e5!3m3!8m2!3d25.6728324!4d-100.2189244?hl=es&amp;entry=ttu</t>
        </r>
      </text>
    </comment>
    <comment ref="H775" authorId="0" shapeId="0" xr:uid="{00000000-0006-0000-0000-0000ED010000}">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776" authorId="1" shapeId="0" xr:uid="{00000000-0006-0000-0000-0000EE010000}">
      <text>
        <r>
          <rPr>
            <b/>
            <sz val="9"/>
            <color indexed="81"/>
            <rFont val="Tahoma"/>
            <family val="2"/>
          </rPr>
          <t>Usuario de Windows:</t>
        </r>
        <r>
          <rPr>
            <sz val="9"/>
            <color indexed="81"/>
            <rFont val="Tahoma"/>
            <family val="2"/>
          </rPr>
          <t xml:space="preserve">
</t>
        </r>
        <r>
          <rPr>
            <b/>
            <sz val="10"/>
            <color indexed="81"/>
            <rFont val="Tahoma"/>
            <family val="2"/>
          </rPr>
          <t>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777" authorId="0" shapeId="0" xr:uid="{00000000-0006-0000-0000-0000EF01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778" authorId="0" shapeId="0" xr:uid="{00000000-0006-0000-0000-0000F0010000}">
      <text>
        <r>
          <rPr>
            <b/>
            <sz val="9"/>
            <color indexed="81"/>
            <rFont val="Tahoma"/>
            <family val="2"/>
          </rPr>
          <t>UBITEC:</t>
        </r>
        <r>
          <rPr>
            <sz val="9"/>
            <color indexed="81"/>
            <rFont val="Tahoma"/>
            <family val="2"/>
          </rPr>
          <t xml:space="preserve">
</t>
        </r>
        <r>
          <rPr>
            <b/>
            <sz val="9"/>
            <color indexed="81"/>
            <rFont val="Tahoma"/>
            <family val="2"/>
          </rPr>
          <t xml:space="preserve">Domicilio Clavel 639, Residencial Santo Domingo, 66449 San Nicolás de los Garza, N.L. </t>
        </r>
        <r>
          <rPr>
            <sz val="9"/>
            <color indexed="81"/>
            <rFont val="Tahoma"/>
            <family val="2"/>
          </rPr>
          <t xml:space="preserve">
https://www.google.com/maps/place/Clavel+639,+Residencial+Santo+Domingo,+66449+San+Nicol%C3%A1s+de+los+Garza,+N.L./@25.7491598,-100.2495084,17z/data=!3m1!4b1!4m5!3m4!1s0x8662eb386dc86fab:0x33d16862a3d0b084!8m2!3d25.7491598!4d-100.2469335?entry=ttu</t>
        </r>
      </text>
    </comment>
    <comment ref="H780" authorId="0" shapeId="0" xr:uid="{00000000-0006-0000-0000-0000F101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781" authorId="0" shapeId="0" xr:uid="{00000000-0006-0000-0000-0000F2010000}">
      <text>
        <r>
          <rPr>
            <b/>
            <sz val="9"/>
            <color indexed="81"/>
            <rFont val="Tahoma"/>
            <family val="2"/>
          </rPr>
          <t>UBITEC:</t>
        </r>
        <r>
          <rPr>
            <sz val="9"/>
            <color indexed="81"/>
            <rFont val="Tahoma"/>
            <family val="2"/>
          </rPr>
          <t xml:space="preserve">
</t>
        </r>
        <r>
          <rPr>
            <b/>
            <sz val="10"/>
            <color indexed="81"/>
            <rFont val="Tahoma"/>
            <family val="2"/>
          </rPr>
          <t>Domicilio Juan Frías 120, Zona Los Sauces, 66238 San Pedro Garza García, N.L.</t>
        </r>
        <r>
          <rPr>
            <sz val="10"/>
            <color indexed="81"/>
            <rFont val="Tahoma"/>
            <family val="2"/>
          </rPr>
          <t xml:space="preserve">
https://www.google.com/maps/place/Juan+Fr%C3%ADas+120,+Zona+Los+Sauces,+66238+San+Pedro+Garza+Garc%C3%ADa,+N.L./@25.6605331,-100.415164,18.25z/data=!4m10!1m2!2m1!1sJuan+Frias+120+colonia+L%C3%A1zaro+Cardenas+Ayala+66238,+SAN+Pedro+Garza+Garc%C3%ADa!3m6!1s0x8662bd66de3b7665:0x572bbf40a5220662!8m2!3d25.6606552!4d-100.4141416!15sCkxKdWFuIEZyaWFzIDEyMCBjb2xvbmlhIEzDoXphcm8gQ2FyZGVuYXMgQXlhbGEgNjYyMzgsIFNBTiBQZWRybyBHYXJ6YSBHYXJjw61hkgERY29tcG91bmRfYnVpbGRpbmfgAQA!16s%2Fg%2F11c2jsftkt?entry=ttu</t>
        </r>
      </text>
    </comment>
    <comment ref="H782" authorId="0" shapeId="0" xr:uid="{00000000-0006-0000-0000-0000F3010000}">
      <text>
        <r>
          <rPr>
            <b/>
            <sz val="9"/>
            <color indexed="81"/>
            <rFont val="Tahoma"/>
            <family val="2"/>
          </rPr>
          <t>UBITEC:</t>
        </r>
        <r>
          <rPr>
            <sz val="9"/>
            <color indexed="81"/>
            <rFont val="Tahoma"/>
            <family val="2"/>
          </rPr>
          <t xml:space="preserve">
</t>
        </r>
        <r>
          <rPr>
            <b/>
            <sz val="10"/>
            <color indexed="81"/>
            <rFont val="Tahoma"/>
            <family val="2"/>
          </rPr>
          <t>Domicilio Gral Francisco Naranjo 115, Centro, 66400 San Nicolás de los Garza, N.L.</t>
        </r>
        <r>
          <rPr>
            <sz val="10"/>
            <color indexed="81"/>
            <rFont val="Tahoma"/>
            <family val="2"/>
          </rPr>
          <t xml:space="preserve">
https://www.google.com/maps/place/Gral+Francisco+Naranjo+115,+Centro,+66400+San+Nicol%C3%A1s+de+los+Garza,+N.L./@25.7561236,-100.2957975,17z/data=!3m1!4b1!4m6!3m5!1s0x8662948fa54eec13:0x797202541936a5a9!8m2!3d25.7561236!4d-100.2957975!16s%2Fg%2F11c17q6bnj?entry=ttu</t>
        </r>
      </text>
    </comment>
    <comment ref="H783" authorId="0" shapeId="0" xr:uid="{00000000-0006-0000-0000-0000F4010000}">
      <text>
        <r>
          <rPr>
            <b/>
            <sz val="9"/>
            <color indexed="81"/>
            <rFont val="Tahoma"/>
            <family val="2"/>
          </rPr>
          <t>UBITEC:</t>
        </r>
        <r>
          <rPr>
            <sz val="9"/>
            <color indexed="81"/>
            <rFont val="Tahoma"/>
            <family val="2"/>
          </rPr>
          <t xml:space="preserve">
</t>
        </r>
        <r>
          <rPr>
            <b/>
            <sz val="10"/>
            <color indexed="81"/>
            <rFont val="Tahoma"/>
            <family val="2"/>
          </rPr>
          <t xml:space="preserve">Domicilio Sta. Martha 700, Valle de San Andrés ÌII, 66612 Cdad. Apodaca, N.L. </t>
        </r>
        <r>
          <rPr>
            <sz val="10"/>
            <color indexed="81"/>
            <rFont val="Tahoma"/>
            <family val="2"/>
          </rPr>
          <t xml:space="preserve">
</t>
        </r>
        <r>
          <rPr>
            <sz val="9"/>
            <color indexed="81"/>
            <rFont val="Tahoma"/>
            <family val="2"/>
          </rPr>
          <t>https://www.google.com/maps/place/Sta.+Martha+700,+Valle+de+San+Andr%C3%A9s+%C3%8CII,+66612+Cdad.+Apodaca,+N.L./@25.800564,-100.2487555,17z/data=!3m1!4b1!4m10!1m2!2m1!1sSanta+Martha+700+valle+de+san+Andr%C3%A9s+co.+66612,+Apodaca+Nuevo+Le%C3%B3n!3m6!1s0x8662ecc6db0d694f:0xaae40894780bda8c!8m2!3d25.8005592!4d-100.2441421!15sCkRTYW50YSBNYXJ0aGEgNzAwIHZhbGxlIGRlIHNhbiBBbmRyw6lzIGNvLiA2NjYxMiwgQXBvZGFjYSBOdWV2byBMZcOzbpIBEWNvbXBvdW5kX2J1aWxkaW5n4AEA!16s%2Fg%2F11c5qk0nw1?entry=ttu</t>
        </r>
      </text>
    </comment>
    <comment ref="H784" authorId="0" shapeId="0" xr:uid="{00000000-0006-0000-0000-0000F5010000}">
      <text>
        <r>
          <rPr>
            <b/>
            <sz val="9"/>
            <color indexed="81"/>
            <rFont val="Tahoma"/>
            <family val="2"/>
          </rPr>
          <t>UBITEC:</t>
        </r>
        <r>
          <rPr>
            <sz val="9"/>
            <color indexed="81"/>
            <rFont val="Tahoma"/>
            <family val="2"/>
          </rPr>
          <t xml:space="preserve">
</t>
        </r>
        <r>
          <rPr>
            <b/>
            <sz val="10"/>
            <color indexed="81"/>
            <rFont val="Tahoma"/>
            <family val="2"/>
          </rPr>
          <t>Domicilio Alfonso Martínez Domínguez 321, Treinta y Uno de Diciembre, 67190 Guadalupe, N.L.</t>
        </r>
        <r>
          <rPr>
            <sz val="9"/>
            <color indexed="81"/>
            <rFont val="Tahoma"/>
            <family val="2"/>
          </rPr>
          <t xml:space="preserve">
https://www.google.com/maps/place/Alfonso+Mart%C3%ADnez+Dom%C3%ADnguez+321,+Treinta+y+Uno+de+Diciembre,+67190+Guadalupe,+N.L./@25.6707577,-100.1423691,17z/data=!3m1!4b1!4m10!1m2!2m1!1sCalle+Alfonso+Mart%C3%ADnez+Dom%C3%ADnguez+321,+Colonia+31+de+Diciembre,+Guadalupe+NL!3m6!1s0x8662c26f45d86761:0x1e4dc43a1ca854b!8m2!3d25.6707529!4d-100.1377557!15sCk1DYWxsZSBBbGZvbnNvIE1hcnTDrW5leiBEb23DrW5ndWV6IDMyMSwgQ29sb25pYSAzMSBkZSBEaWNpZW1icmUsIEd1YWRhbHVwZSBOTJIBEWNvbXBvdW5kX2J1aWxkaW5n4AEA!16s%2Fg%2F11c72m0trj?entry=ttu</t>
        </r>
      </text>
    </comment>
    <comment ref="H785" authorId="0" shapeId="0" xr:uid="{00000000-0006-0000-0000-0000F6010000}">
      <text>
        <r>
          <rPr>
            <b/>
            <sz val="9"/>
            <color indexed="81"/>
            <rFont val="Tahoma"/>
            <family val="2"/>
          </rPr>
          <t>UBITEC:</t>
        </r>
        <r>
          <rPr>
            <sz val="9"/>
            <color indexed="81"/>
            <rFont val="Tahoma"/>
            <family val="2"/>
          </rPr>
          <t xml:space="preserve">
</t>
        </r>
        <r>
          <rPr>
            <b/>
            <sz val="10"/>
            <color indexed="81"/>
            <rFont val="Tahoma"/>
            <family val="2"/>
          </rPr>
          <t xml:space="preserve">Domicilio Sta. Martha 700, Valle de San Andrés ÌII, 66612 Cdad. Apodaca, N.L. </t>
        </r>
        <r>
          <rPr>
            <sz val="10"/>
            <color indexed="81"/>
            <rFont val="Tahoma"/>
            <family val="2"/>
          </rPr>
          <t xml:space="preserve">
</t>
        </r>
        <r>
          <rPr>
            <sz val="9"/>
            <color indexed="81"/>
            <rFont val="Tahoma"/>
            <family val="2"/>
          </rPr>
          <t>https://www.google.com/maps/place/Sta.+Martha+700,+Valle+de+San+Andr%C3%A9s+%C3%8CII,+66612+Cdad.+Apodaca,+N.L./@25.800564,-100.2487555,17z/data=!3m1!4b1!4m10!1m2!2m1!1sSanta+Martha+700+valle+de+san+Andr%C3%A9s+co.+66612,+Apodaca+Nuevo+Le%C3%B3n!3m6!1s0x8662ecc6db0d694f:0xaae40894780bda8c!8m2!3d25.8005592!4d-100.2441421!15sCkRTYW50YSBNYXJ0aGEgNzAwIHZhbGxlIGRlIHNhbiBBbmRyw6lzIGNvLiA2NjYxMiwgQXBvZGFjYSBOdWV2byBMZcOzbpIBEWNvbXBvdW5kX2J1aWxkaW5n4AEA!16s%2Fg%2F11c5qk0nw1?entry=ttu</t>
        </r>
      </text>
    </comment>
    <comment ref="H786" authorId="0" shapeId="0" xr:uid="{00000000-0006-0000-0000-0000F7010000}">
      <text>
        <r>
          <rPr>
            <b/>
            <sz val="9"/>
            <color indexed="81"/>
            <rFont val="Tahoma"/>
            <family val="2"/>
          </rPr>
          <t>UBITEC:</t>
        </r>
        <r>
          <rPr>
            <sz val="9"/>
            <color indexed="81"/>
            <rFont val="Tahoma"/>
            <family val="2"/>
          </rPr>
          <t xml:space="preserve">
</t>
        </r>
        <r>
          <rPr>
            <b/>
            <sz val="10"/>
            <color indexed="81"/>
            <rFont val="Tahoma"/>
            <family val="2"/>
          </rPr>
          <t>Domicilio Gral Francisco Naranjo 115, Centro, 66400 San Nicolás de los Garza, N.L.</t>
        </r>
        <r>
          <rPr>
            <sz val="10"/>
            <color indexed="81"/>
            <rFont val="Tahoma"/>
            <family val="2"/>
          </rPr>
          <t xml:space="preserve">
https://www.google.com/maps/place/Gral+Francisco+Naranjo+115,+Centro,+66400+San+Nicol%C3%A1s+de+los+Garza,+N.L./@25.7561236,-100.2957975,17z/data=!3m1!4b1!4m6!3m5!1s0x8662948fa54eec13:0x797202541936a5a9!8m2!3d25.7561236!4d-100.2957975!16s%2Fg%2F11c17q6bnj?entry=ttu</t>
        </r>
      </text>
    </comment>
    <comment ref="H788" authorId="0" shapeId="0" xr:uid="{00000000-0006-0000-0000-0000F8010000}">
      <text>
        <r>
          <rPr>
            <b/>
            <sz val="9"/>
            <color indexed="81"/>
            <rFont val="Tahoma"/>
            <family val="2"/>
          </rPr>
          <t>UBITEC:</t>
        </r>
        <r>
          <rPr>
            <sz val="9"/>
            <color indexed="81"/>
            <rFont val="Tahoma"/>
            <family val="2"/>
          </rPr>
          <t xml:space="preserve">
</t>
        </r>
        <r>
          <rPr>
            <b/>
            <sz val="9"/>
            <color indexed="81"/>
            <rFont val="Tahoma"/>
            <family val="2"/>
          </rPr>
          <t>Domicilio 1o. de Mayo 513, Vicente Guerrero, 67163 Guadalupe, N.L.</t>
        </r>
        <r>
          <rPr>
            <sz val="9"/>
            <color indexed="81"/>
            <rFont val="Tahoma"/>
            <family val="2"/>
          </rPr>
          <t xml:space="preserve">
https://www.google.com/maps/place/1o.+de+Mayo+513,+Vicente+Guerrero,+67163+Guadalupe,+N.L./@25.6915364,-100.2286486,17z/data=!3m1!4b1!4m6!3m5!1s0x8662ea854a08fa6d:0xcc35ec2360d0045!8m2!3d25.6915364!4d-100.2260737!16s%2Fg%2F11dxldcw0_?entry=ttu</t>
        </r>
      </text>
    </comment>
    <comment ref="H789" authorId="0" shapeId="0" xr:uid="{00000000-0006-0000-0000-0000F9010000}">
      <text>
        <r>
          <rPr>
            <b/>
            <sz val="9"/>
            <color indexed="81"/>
            <rFont val="Tahoma"/>
            <family val="2"/>
          </rPr>
          <t>UBITEC:</t>
        </r>
        <r>
          <rPr>
            <sz val="9"/>
            <color indexed="81"/>
            <rFont val="Tahoma"/>
            <family val="2"/>
          </rPr>
          <t xml:space="preserve">
</t>
        </r>
        <r>
          <rPr>
            <b/>
            <sz val="10"/>
            <color indexed="81"/>
            <rFont val="Tahoma"/>
            <family val="2"/>
          </rPr>
          <t>Domicilio Gral Francisco Naranjo 115, Centro, 66400 San Nicolás de los Garza, N.L.</t>
        </r>
        <r>
          <rPr>
            <sz val="10"/>
            <color indexed="81"/>
            <rFont val="Tahoma"/>
            <family val="2"/>
          </rPr>
          <t xml:space="preserve">
https://www.google.com/maps/place/Gral+Francisco+Naranjo+115,+Centro,+66400+San+Nicol%C3%A1s+de+los+Garza,+N.L./@25.7561236,-100.2957975,17z/data=!3m1!4b1!4m6!3m5!1s0x8662948fa54eec13:0x797202541936a5a9!8m2!3d25.7561236!4d-100.2957975!16s%2Fg%2F11c17q6bnj?entry=ttu</t>
        </r>
      </text>
    </comment>
    <comment ref="H790" authorId="0" shapeId="0" xr:uid="{00000000-0006-0000-0000-0000FA010000}">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792" authorId="0" shapeId="0" xr:uid="{00000000-0006-0000-0000-0000FB01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793" authorId="0" shapeId="0" xr:uid="{00000000-0006-0000-0000-0000FC010000}">
      <text>
        <r>
          <rPr>
            <b/>
            <sz val="9"/>
            <color indexed="81"/>
            <rFont val="Tahoma"/>
            <family val="2"/>
          </rPr>
          <t>UBITEC:</t>
        </r>
        <r>
          <rPr>
            <sz val="9"/>
            <color indexed="81"/>
            <rFont val="Tahoma"/>
            <family val="2"/>
          </rPr>
          <t xml:space="preserve">
</t>
        </r>
        <r>
          <rPr>
            <b/>
            <sz val="10"/>
            <color indexed="81"/>
            <rFont val="Tahoma"/>
            <family val="2"/>
          </rPr>
          <t>Domicilio Av. Tolteca 2505-2305, Tolteca, 67175 Guadalupe, N.L.</t>
        </r>
        <r>
          <rPr>
            <sz val="10"/>
            <color indexed="81"/>
            <rFont val="Tahoma"/>
            <family val="2"/>
          </rPr>
          <t xml:space="preserve">
https://www.google.com/maps/place/Av.+Tolteca+2505-2305,+Tolteca,+67175+Guadalupe,+N.L./@25.6643037,-100.2418166,17z/data=!3m1!4b1!4m5!3m4!1s0x8662c016412064a5:0x5fd05e868f292647!8m2!3d25.6643037!4d-100.2392417?entry=ttu</t>
        </r>
      </text>
    </comment>
    <comment ref="H794" authorId="0" shapeId="0" xr:uid="{00000000-0006-0000-0000-0000FD010000}">
      <text>
        <r>
          <rPr>
            <b/>
            <sz val="9"/>
            <color indexed="81"/>
            <rFont val="Tahoma"/>
            <family val="2"/>
          </rPr>
          <t>UBITEC:</t>
        </r>
        <r>
          <rPr>
            <sz val="9"/>
            <color indexed="81"/>
            <rFont val="Tahoma"/>
            <family val="2"/>
          </rPr>
          <t xml:space="preserve">
</t>
        </r>
        <r>
          <rPr>
            <b/>
            <sz val="10"/>
            <color indexed="81"/>
            <rFont val="Tahoma"/>
            <family val="2"/>
          </rPr>
          <t>Domicilio Gral Francisco Naranjo 115, Centro, 66400 San Nicolás de los Garza, N.L.</t>
        </r>
        <r>
          <rPr>
            <sz val="10"/>
            <color indexed="81"/>
            <rFont val="Tahoma"/>
            <family val="2"/>
          </rPr>
          <t xml:space="preserve">
https://www.google.com/maps/place/Gral+Francisco+Naranjo+115,+Centro,+66400+San+Nicol%C3%A1s+de+los+Garza,+N.L./@25.7561236,-100.2957975,17z/data=!3m1!4b1!4m6!3m5!1s0x8662948fa54eec13:0x797202541936a5a9!8m2!3d25.7561236!4d-100.2957975!16s%2Fg%2F11c17q6bnj?entry=ttu</t>
        </r>
      </text>
    </comment>
    <comment ref="H795" authorId="0" shapeId="0" xr:uid="{00000000-0006-0000-0000-0000FE010000}">
      <text>
        <r>
          <rPr>
            <b/>
            <sz val="9"/>
            <color indexed="81"/>
            <rFont val="Tahoma"/>
            <family val="2"/>
          </rPr>
          <t>UBITEC:</t>
        </r>
        <r>
          <rPr>
            <sz val="9"/>
            <color indexed="81"/>
            <rFont val="Tahoma"/>
            <family val="2"/>
          </rPr>
          <t xml:space="preserve">
</t>
        </r>
        <r>
          <rPr>
            <b/>
            <sz val="10"/>
            <color indexed="81"/>
            <rFont val="Tahoma"/>
            <family val="2"/>
          </rPr>
          <t>Domicilio Gral Francisco Naranjo 115, Centro, 66400 San Nicolás de los Garza, N.L.</t>
        </r>
        <r>
          <rPr>
            <sz val="10"/>
            <color indexed="81"/>
            <rFont val="Tahoma"/>
            <family val="2"/>
          </rPr>
          <t xml:space="preserve">
https://www.google.com/maps/place/Gral+Francisco+Naranjo+115,+Centro,+66400+San+Nicol%C3%A1s+de+los+Garza,+N.L./@25.7561236,-100.2957975,17z/data=!3m1!4b1!4m6!3m5!1s0x8662948fa54eec13:0x797202541936a5a9!8m2!3d25.7561236!4d-100.2957975!16s%2Fg%2F11c17q6bnj?entry=ttu</t>
        </r>
      </text>
    </comment>
    <comment ref="H796" authorId="0" shapeId="0" xr:uid="{00000000-0006-0000-0000-0000FF01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797" authorId="0" shapeId="0" xr:uid="{00000000-0006-0000-0000-000000020000}">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799" authorId="0" shapeId="0" xr:uid="{00000000-0006-0000-0000-000001020000}">
      <text>
        <r>
          <rPr>
            <b/>
            <sz val="9"/>
            <color indexed="81"/>
            <rFont val="Tahoma"/>
            <family val="2"/>
          </rPr>
          <t>UBITEC:</t>
        </r>
        <r>
          <rPr>
            <sz val="9"/>
            <color indexed="81"/>
            <rFont val="Tahoma"/>
            <family val="2"/>
          </rPr>
          <t xml:space="preserve">
</t>
        </r>
        <r>
          <rPr>
            <b/>
            <sz val="10"/>
            <color indexed="81"/>
            <rFont val="Tahoma"/>
            <family val="2"/>
          </rPr>
          <t>Domicilio Av. Tolteca 2505-2305, Tolteca, 67175 Guadalupe, N.L.</t>
        </r>
        <r>
          <rPr>
            <sz val="10"/>
            <color indexed="81"/>
            <rFont val="Tahoma"/>
            <family val="2"/>
          </rPr>
          <t xml:space="preserve">
https://www.google.com/maps/place/Av.+Tolteca+2505-2305,+Tolteca,+67175+Guadalupe,+N.L./@25.6643037,-100.2418166,17z/data=!3m1!4b1!4m5!3m4!1s0x8662c016412064a5:0x5fd05e868f292647!8m2!3d25.6643037!4d-100.2392417?entry=ttu</t>
        </r>
      </text>
    </comment>
    <comment ref="H800" authorId="0" shapeId="0" xr:uid="{00000000-0006-0000-0000-000002020000}">
      <text>
        <r>
          <rPr>
            <b/>
            <sz val="9"/>
            <color indexed="81"/>
            <rFont val="Tahoma"/>
            <family val="2"/>
          </rPr>
          <t>UBITEC:</t>
        </r>
        <r>
          <rPr>
            <sz val="9"/>
            <color indexed="81"/>
            <rFont val="Tahoma"/>
            <family val="2"/>
          </rPr>
          <t xml:space="preserve">
</t>
        </r>
        <r>
          <rPr>
            <b/>
            <sz val="10"/>
            <color indexed="81"/>
            <rFont val="Tahoma"/>
            <family val="2"/>
          </rPr>
          <t>Domicilio Gral Francisco Naranjo 115, Centro, 66400 San Nicolás de los Garza, N.L.</t>
        </r>
        <r>
          <rPr>
            <sz val="10"/>
            <color indexed="81"/>
            <rFont val="Tahoma"/>
            <family val="2"/>
          </rPr>
          <t xml:space="preserve">
https://www.google.com/maps/place/Gral+Francisco+Naranjo+115,+Centro,+66400+San+Nicol%C3%A1s+de+los+Garza,+N.L./@25.7561236,-100.2957975,17z/data=!3m1!4b1!4m6!3m5!1s0x8662948fa54eec13:0x797202541936a5a9!8m2!3d25.7561236!4d-100.2957975!16s%2Fg%2F11c17q6bnj?entry=ttu</t>
        </r>
      </text>
    </comment>
    <comment ref="H801" authorId="0" shapeId="0" xr:uid="{00000000-0006-0000-0000-00000302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802" authorId="0" shapeId="0" xr:uid="{00000000-0006-0000-0000-000004020000}">
      <text>
        <r>
          <rPr>
            <b/>
            <sz val="9"/>
            <color indexed="81"/>
            <rFont val="Tahoma"/>
            <family val="2"/>
          </rPr>
          <t>UBITEC:</t>
        </r>
        <r>
          <rPr>
            <sz val="9"/>
            <color indexed="81"/>
            <rFont val="Tahoma"/>
            <family val="2"/>
          </rPr>
          <t xml:space="preserve">
</t>
        </r>
        <r>
          <rPr>
            <b/>
            <sz val="10"/>
            <color indexed="81"/>
            <rFont val="Tahoma"/>
            <family val="2"/>
          </rPr>
          <t xml:space="preserve">Av. Anillo Eléctrico 120, Torres de Santo Domingo, 66449 San Nicolás de los Garza, N.L.
</t>
        </r>
        <r>
          <rPr>
            <sz val="10"/>
            <color indexed="81"/>
            <rFont val="Tahoma"/>
            <family val="2"/>
          </rPr>
          <t>https://www.google.com/maps/place/Av.+Anillo+El%C3%A9ctrico+120,+Torres+de+Santo+Domingo,+66449+San+Nicol%C3%A1s+de+los+Garza,+N.L./@25.7557177,-100.2506409,17z/data=!3m1!4b1!4m6!3m5!1s0x8662eb45e2b29b99:0x8e5331d72f59f52!8m2!3d25.7557177!4d-100.248066!16s%2Fg%2F11cs6pgx65?entry=ttu</t>
        </r>
      </text>
    </comment>
    <comment ref="H804" authorId="0" shapeId="0" xr:uid="{00000000-0006-0000-0000-000005020000}">
      <text>
        <r>
          <rPr>
            <b/>
            <sz val="9"/>
            <color indexed="81"/>
            <rFont val="Tahoma"/>
            <family val="2"/>
          </rPr>
          <t>UBITEC:</t>
        </r>
        <r>
          <rPr>
            <sz val="9"/>
            <color indexed="81"/>
            <rFont val="Tahoma"/>
            <family val="2"/>
          </rPr>
          <t xml:space="preserve">
</t>
        </r>
        <r>
          <rPr>
            <b/>
            <sz val="10"/>
            <color indexed="81"/>
            <rFont val="Tahoma"/>
            <family val="2"/>
          </rPr>
          <t>Domicilio Sta. Renata 205, 66604 Cdad. Apodaca, N.L.</t>
        </r>
        <r>
          <rPr>
            <sz val="9"/>
            <color indexed="81"/>
            <rFont val="Tahoma"/>
            <family val="2"/>
          </rPr>
          <t xml:space="preserve">
https://www.google.com/maps/place/Sta.+Renata+205,+66604+Cdad.+Apodaca,+N.L./@25.7857029,-100.2028534,19z/data=!4m10!1m2!2m1!1sSanta+Renata+205,+colonia+Capellania,+Apodaca!3m6!1s0x8662ed46fd420001:0x3a1bb80364ff506c!8m2!3d25.7855832!4d-100.2025132!15sCi1TYW50YSBSZW5hdGEgMjA1LCBjb2xvbmlhIENhcGVsbGFuaWEsIEFwb2RhY2GSARBnZW9jb2RlZF9hZGRyZXNz4AEA!16s%2Fg%2F11jrj8xvlg?entry=ttu</t>
        </r>
      </text>
    </comment>
    <comment ref="H805" authorId="0" shapeId="0" xr:uid="{00000000-0006-0000-0000-000006020000}">
      <text>
        <r>
          <rPr>
            <b/>
            <sz val="9"/>
            <color indexed="81"/>
            <rFont val="Tahoma"/>
            <family val="2"/>
          </rPr>
          <t>UBITEC:</t>
        </r>
        <r>
          <rPr>
            <sz val="9"/>
            <color indexed="81"/>
            <rFont val="Tahoma"/>
            <family val="2"/>
          </rPr>
          <t xml:space="preserve">
</t>
        </r>
        <r>
          <rPr>
            <b/>
            <sz val="10"/>
            <color indexed="81"/>
            <rFont val="Tahoma"/>
            <family val="2"/>
          </rPr>
          <t xml:space="preserve">Ventura de Santa Rosa, 66614 Santa Rosa, N.L.
</t>
        </r>
        <r>
          <rPr>
            <sz val="9"/>
            <color indexed="81"/>
            <rFont val="Tahoma"/>
            <family val="2"/>
          </rPr>
          <t xml:space="preserve">https://www.google.com/maps/place/25%C2%B049'08.4%22N+100%C2%B013'58.6%22W/@25.8190029,-100.2355136,17z/data=!3m1!4b1!4m4!3m3!8m2!3d25.8190029!4d-100.2329387?hl=es&amp;entry=ttu
</t>
        </r>
      </text>
    </comment>
    <comment ref="H807" authorId="0" shapeId="0" xr:uid="{00000000-0006-0000-0000-000007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808" authorId="0" shapeId="0" xr:uid="{00000000-0006-0000-0000-000008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809" authorId="0" shapeId="0" xr:uid="{00000000-0006-0000-0000-00000902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810" authorId="0" shapeId="0" xr:uid="{00000000-0006-0000-0000-00000A020000}">
      <text>
        <r>
          <rPr>
            <b/>
            <sz val="9"/>
            <color indexed="81"/>
            <rFont val="Tahoma"/>
            <family val="2"/>
          </rPr>
          <t>UBITEC:</t>
        </r>
        <r>
          <rPr>
            <sz val="9"/>
            <color indexed="81"/>
            <rFont val="Tahoma"/>
            <family val="2"/>
          </rPr>
          <t xml:space="preserve">
</t>
        </r>
        <r>
          <rPr>
            <b/>
            <sz val="10"/>
            <color indexed="81"/>
            <rFont val="Tahoma"/>
            <family val="2"/>
          </rPr>
          <t xml:space="preserve">Av. Anillo Eléctrico 120, Torres de Santo Domingo, 66449 San Nicolás de los Garza, N.L.
</t>
        </r>
        <r>
          <rPr>
            <sz val="9"/>
            <color indexed="81"/>
            <rFont val="Tahoma"/>
            <family val="2"/>
          </rPr>
          <t>https://www.google.com/maps/place/Av.+Anillo+El%C3%A9ctrico+120,+Torres+de+Santo+Domingo,+66449+San+Nicol%C3%A1s+de+los+Garza,+N.L./@25.7557177,-100.2506409,17z/data=!3m1!4b1!4m6!3m5!1s0x8662eb45e2b29b99:0x8e5331d72f59f52!8m2!3d25.7557177!4d-100.248066!16s%2Fg%2F11cs6pgx65?entry=ttu</t>
        </r>
      </text>
    </comment>
    <comment ref="H811" authorId="0" shapeId="0" xr:uid="{00000000-0006-0000-0000-00000B020000}">
      <text>
        <r>
          <rPr>
            <b/>
            <sz val="9"/>
            <color indexed="81"/>
            <rFont val="Tahoma"/>
            <family val="2"/>
          </rPr>
          <t>UBITEC:</t>
        </r>
        <r>
          <rPr>
            <sz val="9"/>
            <color indexed="81"/>
            <rFont val="Tahoma"/>
            <family val="2"/>
          </rPr>
          <t xml:space="preserve">
</t>
        </r>
        <r>
          <rPr>
            <b/>
            <sz val="9"/>
            <color indexed="81"/>
            <rFont val="Tahoma"/>
            <family val="2"/>
          </rPr>
          <t>Domicilio Ottawa 113, Fraccionamiento Terranova Elite, 66646 Cdad. Apodaca, N.L.</t>
        </r>
        <r>
          <rPr>
            <sz val="9"/>
            <color indexed="81"/>
            <rFont val="Tahoma"/>
            <family val="2"/>
          </rPr>
          <t xml:space="preserve">
https://www.google.com/maps/place/Ottawa+113/@25.7513347,-100.16065,17z/data=!3m1!4b1!4m6!3m5!1s0x8662e938011a7863:0xe774c42e4d2bc54d!8m2!3d25.7513347!4d-100.1580751!16s%2Fg%2F11rzdj3cjz?entry=ttu</t>
        </r>
      </text>
    </comment>
    <comment ref="H812" authorId="0" shapeId="0" xr:uid="{00000000-0006-0000-0000-00000C020000}">
      <text>
        <r>
          <rPr>
            <b/>
            <sz val="9"/>
            <color indexed="81"/>
            <rFont val="Tahoma"/>
            <family val="2"/>
          </rPr>
          <t>UBITEC:</t>
        </r>
        <r>
          <rPr>
            <sz val="9"/>
            <color indexed="81"/>
            <rFont val="Tahoma"/>
            <family val="2"/>
          </rPr>
          <t xml:space="preserve">
</t>
        </r>
        <r>
          <rPr>
            <b/>
            <sz val="10"/>
            <color indexed="81"/>
            <rFont val="Tahoma"/>
            <family val="2"/>
          </rPr>
          <t xml:space="preserve">Av. Anillo Eléctrico 120, Torres de Santo Domingo, 66449 San Nicolás de los Garza, N.L.
</t>
        </r>
        <r>
          <rPr>
            <sz val="9"/>
            <color indexed="81"/>
            <rFont val="Tahoma"/>
            <family val="2"/>
          </rPr>
          <t>https://www.google.com/maps/place/Av.+Anillo+El%C3%A9ctrico+120,+Torres+de+Santo+Domingo,+66449+San+Nicol%C3%A1s+de+los+Garza,+N.L./@25.7557177,-100.2506409,17z/data=!3m1!4b1!4m6!3m5!1s0x8662eb45e2b29b99:0x8e5331d72f59f52!8m2!3d25.7557177!4d-100.248066!16s%2Fg%2F11cs6pgx65?entry=ttu</t>
        </r>
      </text>
    </comment>
    <comment ref="H813" authorId="0" shapeId="0" xr:uid="{00000000-0006-0000-0000-00000D020000}">
      <text>
        <r>
          <rPr>
            <b/>
            <sz val="9"/>
            <color indexed="81"/>
            <rFont val="Tahoma"/>
            <family val="2"/>
          </rPr>
          <t>UBITEC:</t>
        </r>
        <r>
          <rPr>
            <sz val="9"/>
            <color indexed="81"/>
            <rFont val="Tahoma"/>
            <family val="2"/>
          </rPr>
          <t xml:space="preserve">
</t>
        </r>
        <r>
          <rPr>
            <b/>
            <sz val="9"/>
            <color indexed="81"/>
            <rFont val="Tahoma"/>
            <family val="2"/>
          </rPr>
          <t xml:space="preserve">Domicilio Prof. Rafael Garza Cantú 100, Solidaridad Soc, 66073 Cdad. Gral. Escobedo, N.L. </t>
        </r>
        <r>
          <rPr>
            <sz val="9"/>
            <color indexed="81"/>
            <rFont val="Tahoma"/>
            <family val="2"/>
          </rPr>
          <t xml:space="preserve">
https://www.google.com/maps/place/Prof.+Rafael+Garza+Cant%C3%BA+100,+Solidaridad+Soc,+66073+Cdad.+Gral.+Escobedo,+N.L./@25.7862215,-100.3309421,17z/data=!3m1!4b1!4m6!3m5!1s0x866293eb4408d527:0x517a40d50aa688d5!8m2!3d25.7862215!4d-100.3283672!16s%2Fg%2F11dxlfbdkj?entry=ttu</t>
        </r>
      </text>
    </comment>
    <comment ref="H814" authorId="0" shapeId="0" xr:uid="{00000000-0006-0000-0000-00000E02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815" authorId="0" shapeId="0" xr:uid="{00000000-0006-0000-0000-00000F02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816" authorId="0" shapeId="0" xr:uid="{00000000-0006-0000-0000-000010020000}">
      <text>
        <r>
          <rPr>
            <b/>
            <sz val="9"/>
            <color indexed="81"/>
            <rFont val="Tahoma"/>
            <family val="2"/>
          </rPr>
          <t>UBITEC:</t>
        </r>
        <r>
          <rPr>
            <sz val="9"/>
            <color indexed="81"/>
            <rFont val="Tahoma"/>
            <family val="2"/>
          </rPr>
          <t xml:space="preserve">
</t>
        </r>
        <r>
          <rPr>
            <b/>
            <sz val="10"/>
            <color indexed="81"/>
            <rFont val="Tahoma"/>
            <family val="2"/>
          </rPr>
          <t>Gral. José María Morelos y Pavón 845, Centro, 66400 San Nicolás de los Garza, N.L.</t>
        </r>
        <r>
          <rPr>
            <sz val="10"/>
            <color indexed="81"/>
            <rFont val="Tahoma"/>
            <family val="2"/>
          </rPr>
          <t xml:space="preserve">
https://www.google.com/maps/place/Gral.+Jos%C3%A9+Mar%C3%ADa+Morelos+y+Pav%C3%B3n+845,+Centro,+66400+San+Nicol%C3%A1s+de+los+Garza,+N.L./@25.7480715,-100.292237,17z/data=!3m1!4b1!4m6!3m5!1s0x8662949339297a25:0xf7c54b3787d041b4!8m2!3d25.7480715!4d-100.2896621!16s%2Fg%2F11hlfss8xb?entry=ttu</t>
        </r>
      </text>
    </comment>
    <comment ref="H817" authorId="0" shapeId="0" xr:uid="{00000000-0006-0000-0000-000011020000}">
      <text>
        <r>
          <rPr>
            <b/>
            <sz val="9"/>
            <color indexed="81"/>
            <rFont val="Tahoma"/>
            <family val="2"/>
          </rPr>
          <t>UBITEC:</t>
        </r>
        <r>
          <rPr>
            <sz val="9"/>
            <color indexed="81"/>
            <rFont val="Tahoma"/>
            <family val="2"/>
          </rPr>
          <t xml:space="preserve">
</t>
        </r>
        <r>
          <rPr>
            <b/>
            <sz val="9"/>
            <color indexed="81"/>
            <rFont val="Tahoma"/>
            <family val="2"/>
          </rPr>
          <t xml:space="preserve">Domicilio Oviedo 420, Nuevo Las Puentes ÌII, 66612 Cdad. Apodaca, N.L. </t>
        </r>
        <r>
          <rPr>
            <sz val="9"/>
            <color indexed="81"/>
            <rFont val="Tahoma"/>
            <family val="2"/>
          </rPr>
          <t xml:space="preserve">
https://www.google.com/maps/place/Oviedo+420,+Nuevo+Las+Puentes+%C3%8CII,+66612+Cdad.+Apodaca,+N.L./@25.7889024,-100.2644026,17z/data=!3m1!4b1!4m6!3m5!1s0x8662934c915d5ceb:0xd2a7ed0da76af5c6!8m2!3d25.7889024!4d-100.2618277!16s%2Fg%2F11t8h6dp9k?entry=ttu</t>
        </r>
      </text>
    </comment>
    <comment ref="H818" authorId="0" shapeId="0" xr:uid="{00000000-0006-0000-0000-000012020000}">
      <text>
        <r>
          <rPr>
            <b/>
            <sz val="9"/>
            <color indexed="81"/>
            <rFont val="Tahoma"/>
            <family val="2"/>
          </rPr>
          <t>UBITEC:</t>
        </r>
        <r>
          <rPr>
            <sz val="9"/>
            <color indexed="81"/>
            <rFont val="Tahoma"/>
            <family val="2"/>
          </rPr>
          <t xml:space="preserve">
</t>
        </r>
        <r>
          <rPr>
            <b/>
            <sz val="9"/>
            <color indexed="81"/>
            <rFont val="Tahoma"/>
            <family val="2"/>
          </rPr>
          <t>Domicilio Av. José Vasconcelos 1501, Zona Valle Poniente, 66240 San Pedro Garza García, N.L.</t>
        </r>
        <r>
          <rPr>
            <sz val="9"/>
            <color indexed="81"/>
            <rFont val="Tahoma"/>
            <family val="2"/>
          </rPr>
          <t xml:space="preserve">
https://www.google.com/maps/place/PLAZA+EXPRESS/@25.6573335,-100.3934606,17z/data=!3m1!4b1!4m6!3m5!1s0x8662bd9cc95eb025:0x194ca3ebe2ffffa9!8m2!3d25.6573335!4d-100.3908857!16s%2Fg%2F11cm_hq0m_?entry=ttu</t>
        </r>
      </text>
    </comment>
    <comment ref="H819" authorId="1" shapeId="0" xr:uid="{00000000-0006-0000-0000-000013020000}">
      <text>
        <r>
          <rPr>
            <b/>
            <sz val="9"/>
            <color indexed="81"/>
            <rFont val="Tahoma"/>
            <family val="2"/>
          </rPr>
          <t>Usuario de Windows:</t>
        </r>
        <r>
          <rPr>
            <sz val="9"/>
            <color indexed="81"/>
            <rFont val="Tahoma"/>
            <family val="2"/>
          </rPr>
          <t xml:space="preserve">
</t>
        </r>
        <r>
          <rPr>
            <b/>
            <sz val="10"/>
            <color indexed="81"/>
            <rFont val="Tahoma"/>
            <family val="2"/>
          </rPr>
          <t>Domicilio 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820" authorId="0" shapeId="0" xr:uid="{00000000-0006-0000-0000-000014020000}">
      <text>
        <r>
          <rPr>
            <b/>
            <sz val="9"/>
            <color indexed="81"/>
            <rFont val="Tahoma"/>
            <family val="2"/>
          </rPr>
          <t>UBITEC:</t>
        </r>
        <r>
          <rPr>
            <sz val="9"/>
            <color indexed="81"/>
            <rFont val="Tahoma"/>
            <family val="2"/>
          </rPr>
          <t xml:space="preserve">
</t>
        </r>
        <r>
          <rPr>
            <b/>
            <sz val="9"/>
            <color indexed="81"/>
            <rFont val="Tahoma"/>
            <family val="2"/>
          </rPr>
          <t>Domicilio Jardines Floridos 247, Jardines de Monterrey I, 66613 Cdad. Apodaca, N.L.</t>
        </r>
        <r>
          <rPr>
            <sz val="9"/>
            <color indexed="81"/>
            <rFont val="Tahoma"/>
            <family val="2"/>
          </rPr>
          <t xml:space="preserve">
https://www.google.com/maps/place/Jardines+Floridos+247,+Jardines+de+Monterrey+I,+66613+Cdad.+Apodaca,+N.L./@25.8147751,-100.2621383,17z/data=!3m1!4b1!4m6!3m5!1s0x8662ecd4b66f8357:0x2ceddd200723dd01!8m2!3d25.8147751!4d-100.2595634!16s%2Fg%2F11c2bllxxp?entry=ttu</t>
        </r>
      </text>
    </comment>
    <comment ref="H821" authorId="0" shapeId="0" xr:uid="{00000000-0006-0000-0000-000015020000}">
      <text>
        <r>
          <rPr>
            <b/>
            <sz val="9"/>
            <color indexed="81"/>
            <rFont val="Tahoma"/>
            <family val="2"/>
          </rPr>
          <t>UBITEC:</t>
        </r>
        <r>
          <rPr>
            <sz val="9"/>
            <color indexed="81"/>
            <rFont val="Tahoma"/>
            <family val="2"/>
          </rPr>
          <t xml:space="preserve">
</t>
        </r>
        <r>
          <rPr>
            <b/>
            <sz val="10"/>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822" authorId="0" shapeId="0" xr:uid="{00000000-0006-0000-0000-000016020000}">
      <text>
        <r>
          <rPr>
            <b/>
            <sz val="9"/>
            <color indexed="81"/>
            <rFont val="Tahoma"/>
            <family val="2"/>
          </rPr>
          <t>UBITEC:</t>
        </r>
        <r>
          <rPr>
            <sz val="9"/>
            <color indexed="81"/>
            <rFont val="Tahoma"/>
            <family val="2"/>
          </rPr>
          <t xml:space="preserve">
</t>
        </r>
        <r>
          <rPr>
            <b/>
            <sz val="10"/>
            <color indexed="81"/>
            <rFont val="Tahoma"/>
            <family val="2"/>
          </rPr>
          <t>Domicilio Av. Tolteca 2505-2305, Tolteca, 67175 Guadalupe, N.L.</t>
        </r>
        <r>
          <rPr>
            <sz val="10"/>
            <color indexed="81"/>
            <rFont val="Tahoma"/>
            <family val="2"/>
          </rPr>
          <t xml:space="preserve">
https://www.google.com/maps/place/Av.+Tolteca+2505-2305,+Tolteca,+67175+Guadalupe,+N.L./@25.6643037,-100.2418166,17z/data=!3m1!4b1!4m5!3m4!1s0x8662c016412064a5:0x5fd05e868f292647!8m2!3d25.6643037!4d-100.2392417?entry=ttu</t>
        </r>
      </text>
    </comment>
    <comment ref="H823" authorId="0" shapeId="0" xr:uid="{00000000-0006-0000-0000-000017020000}">
      <text>
        <r>
          <rPr>
            <b/>
            <sz val="9"/>
            <color indexed="81"/>
            <rFont val="Tahoma"/>
            <family val="2"/>
          </rPr>
          <t>UBITEC:</t>
        </r>
        <r>
          <rPr>
            <sz val="9"/>
            <color indexed="81"/>
            <rFont val="Tahoma"/>
            <family val="2"/>
          </rPr>
          <t xml:space="preserve">
</t>
        </r>
        <r>
          <rPr>
            <b/>
            <sz val="10"/>
            <color indexed="81"/>
            <rFont val="Tahoma"/>
            <family val="2"/>
          </rPr>
          <t>Domicilio Av. Tolteca 2505-2305, Tolteca, 67175 Guadalupe, N.L.</t>
        </r>
        <r>
          <rPr>
            <sz val="10"/>
            <color indexed="81"/>
            <rFont val="Tahoma"/>
            <family val="2"/>
          </rPr>
          <t xml:space="preserve">
https://www.google.com/maps/place/Av.+Tolteca+2505-2305,+Tolteca,+67175+Guadalupe,+N.L./@25.6643037,-100.2418166,17z/data=!3m1!4b1!4m5!3m4!1s0x8662c016412064a5:0x5fd05e868f292647!8m2!3d25.6643037!4d-100.2392417?entry=ttu</t>
        </r>
      </text>
    </comment>
    <comment ref="H824" authorId="0" shapeId="0" xr:uid="{00000000-0006-0000-0000-000018020000}">
      <text>
        <r>
          <rPr>
            <b/>
            <sz val="9"/>
            <color indexed="81"/>
            <rFont val="Tahoma"/>
            <family val="2"/>
          </rPr>
          <t>UBITEC:</t>
        </r>
        <r>
          <rPr>
            <sz val="9"/>
            <color indexed="81"/>
            <rFont val="Tahoma"/>
            <family val="2"/>
          </rPr>
          <t xml:space="preserve">
</t>
        </r>
        <r>
          <rPr>
            <b/>
            <sz val="10"/>
            <color indexed="81"/>
            <rFont val="Tahoma"/>
            <family val="2"/>
          </rPr>
          <t>Domicilio Av. Tolteca 2505-2305, Tolteca, 67175 Guadalupe, N.L.</t>
        </r>
        <r>
          <rPr>
            <sz val="10"/>
            <color indexed="81"/>
            <rFont val="Tahoma"/>
            <family val="2"/>
          </rPr>
          <t xml:space="preserve">
https://www.google.com/maps/place/Av.+Tolteca+2505-2305,+Tolteca,+67175+Guadalupe,+N.L./@25.6643037,-100.2418166,17z/data=!3m1!4b1!4m5!3m4!1s0x8662c016412064a5:0x5fd05e868f292647!8m2!3d25.6643037!4d-100.2392417?entry=ttu</t>
        </r>
      </text>
    </comment>
    <comment ref="H825" authorId="0" shapeId="0" xr:uid="{00000000-0006-0000-0000-000019020000}">
      <text>
        <r>
          <rPr>
            <b/>
            <sz val="9"/>
            <color indexed="81"/>
            <rFont val="Tahoma"/>
            <family val="2"/>
          </rPr>
          <t>UBITEC:</t>
        </r>
        <r>
          <rPr>
            <sz val="9"/>
            <color indexed="81"/>
            <rFont val="Tahoma"/>
            <family val="2"/>
          </rPr>
          <t xml:space="preserve">
</t>
        </r>
        <r>
          <rPr>
            <b/>
            <sz val="10"/>
            <color indexed="81"/>
            <rFont val="Tahoma"/>
            <family val="2"/>
          </rPr>
          <t>Domiclio C. Priv. Cantabria 714, Sin Nombre de Col 20, 66350 Cdad. Santa Catarina, N.L.</t>
        </r>
        <r>
          <rPr>
            <sz val="10"/>
            <color indexed="81"/>
            <rFont val="Tahoma"/>
            <family val="2"/>
          </rPr>
          <t xml:space="preserve">
https://www.google.com/maps/place/C.+Priv.+Cantabria+714,+Sin+Nombre+de+Col+20,+66350+Cdad.+Santa+Catarina,+N.L./@25.6739946,-100.4736854,17z/data=!3m1!4b1!4m5!3m4!1s0x8662987049c9f847:0xd453786b5ba1856!8m2!3d25.6739946!4d-100.4711105?entry=ttu</t>
        </r>
      </text>
    </comment>
    <comment ref="H826" authorId="0" shapeId="0" xr:uid="{00000000-0006-0000-0000-00001A020000}">
      <text>
        <r>
          <rPr>
            <b/>
            <sz val="9"/>
            <color indexed="81"/>
            <rFont val="Tahoma"/>
            <family val="2"/>
          </rPr>
          <t>UBITEC:</t>
        </r>
        <r>
          <rPr>
            <sz val="9"/>
            <color indexed="81"/>
            <rFont val="Tahoma"/>
            <family val="2"/>
          </rPr>
          <t xml:space="preserve">
</t>
        </r>
        <r>
          <rPr>
            <b/>
            <sz val="10"/>
            <color indexed="81"/>
            <rFont val="Tahoma"/>
            <family val="2"/>
          </rPr>
          <t>Domicilio San Sebastián 305, San Miguelito 1er Sector, 67266 Cdad. Benito Juárez, N.L.</t>
        </r>
        <r>
          <rPr>
            <sz val="9"/>
            <color indexed="81"/>
            <rFont val="Tahoma"/>
            <family val="2"/>
          </rPr>
          <t xml:space="preserve">
https://www.google.com/maps/place/San+Sebasti%C3%A1n+305,+San+Miguelito+1er+Sector,+67266+Cdad.+Benito+Ju%C3%A1rez,+N.L./@25.6346601,-100.1025665,18.92z/data=!4m9!1m2!2m1!1sSan+Sebasti%C3%A1n+304,+Fraccionamiento+san+Miguelito+67259,+Ju%C3%A1rez+NL!3m5!1s0x8662c32260f08c1d:0xcdbb768d793081b3!8m2!3d25.6345824!4d-100.1018176!16s%2Fg%2F11c27x55cs?entry=ttu</t>
        </r>
      </text>
    </comment>
    <comment ref="H827" authorId="0" shapeId="0" xr:uid="{00000000-0006-0000-0000-00001B020000}">
      <text>
        <r>
          <rPr>
            <b/>
            <sz val="9"/>
            <color indexed="81"/>
            <rFont val="Tahoma"/>
            <family val="2"/>
          </rPr>
          <t>UBITEC:</t>
        </r>
        <r>
          <rPr>
            <sz val="9"/>
            <color indexed="81"/>
            <rFont val="Tahoma"/>
            <family val="2"/>
          </rPr>
          <t xml:space="preserve">
</t>
        </r>
        <r>
          <rPr>
            <b/>
            <sz val="10"/>
            <color indexed="81"/>
            <rFont val="Tahoma"/>
            <family val="2"/>
          </rPr>
          <t xml:space="preserve">Av. Anillo Eléctrico 120, Torres de Santo Domingo, 66449 San Nicolás de los Garza, N.L.
</t>
        </r>
        <r>
          <rPr>
            <sz val="9"/>
            <color indexed="81"/>
            <rFont val="Tahoma"/>
            <family val="2"/>
          </rPr>
          <t>https://www.google.com/maps/place/Av.+Anillo+El%C3%A9ctrico+120,+Torres+de+Santo+Domingo,+66449+San+Nicol%C3%A1s+de+los+Garza,+N.L./@25.7557177,-100.2506409,17z/data=!3m1!4b1!4m6!3m5!1s0x8662eb45e2b29b99:0x8e5331d72f59f52!8m2!3d25.7557177!4d-100.248066!16s%2Fg%2F11cs6pgx65?entry=ttu</t>
        </r>
      </text>
    </comment>
    <comment ref="H828" authorId="0" shapeId="0" xr:uid="{00000000-0006-0000-0000-00001C020000}">
      <text>
        <r>
          <rPr>
            <b/>
            <sz val="9"/>
            <color indexed="81"/>
            <rFont val="Tahoma"/>
            <family val="2"/>
          </rPr>
          <t>UBITEC:</t>
        </r>
        <r>
          <rPr>
            <sz val="9"/>
            <color indexed="81"/>
            <rFont val="Tahoma"/>
            <family val="2"/>
          </rPr>
          <t xml:space="preserve">
</t>
        </r>
        <r>
          <rPr>
            <b/>
            <sz val="10"/>
            <color indexed="81"/>
            <rFont val="Tahoma"/>
            <family val="2"/>
          </rPr>
          <t xml:space="preserve">Domicilio Av. Churubusco 6459, Churubusco, 64590 Monterrey, N.L. </t>
        </r>
        <r>
          <rPr>
            <sz val="9"/>
            <color indexed="81"/>
            <rFont val="Tahoma"/>
            <family val="2"/>
          </rPr>
          <t xml:space="preserve">
https://www.google.com/maps/place/Av.+Churubusco+6459,+Churubusco,+64590+Monterrey,+N.L./@25.6853437,-100.2706565,17z/data=!3m1!4b1!4m6!3m5!1s0x8662955121426cd3:0x89d7c636d3ef96c7!8m2!3d25.6853437!4d-100.2680816!16s%2Fg%2F11csdbr_bn?entry=ttu</t>
        </r>
      </text>
    </comment>
    <comment ref="H829" authorId="0" shapeId="0" xr:uid="{00000000-0006-0000-0000-00001D020000}">
      <text>
        <r>
          <rPr>
            <b/>
            <sz val="9"/>
            <color indexed="81"/>
            <rFont val="Tahoma"/>
            <family val="2"/>
          </rPr>
          <t>UBITEC:</t>
        </r>
        <r>
          <rPr>
            <sz val="9"/>
            <color indexed="81"/>
            <rFont val="Tahoma"/>
            <family val="2"/>
          </rPr>
          <t xml:space="preserve">
</t>
        </r>
        <r>
          <rPr>
            <b/>
            <sz val="10"/>
            <color indexed="81"/>
            <rFont val="Tahoma"/>
            <family val="2"/>
          </rPr>
          <t>Domicilio Instituto de Control Vehicular
Carr. Libre Monterrey - Reynosa 101, Kalos, 65196 Guadalupe, N.L.</t>
        </r>
        <r>
          <rPr>
            <sz val="10"/>
            <color indexed="81"/>
            <rFont val="Tahoma"/>
            <family val="2"/>
          </rPr>
          <t xml:space="preserve">
https://www.google.com/maps/place/Instituto+de+Control+Vehicular/@25.6632055,-100.1517882,17z/data=!3m1!4b1!4m6!3m5!1s0x8662c21561bdf54d:0xff947c139bd7a25a!8m2!3d25.6632055!4d-100.1517882!16s%2Fg%2F11clszdkkw?entry=ttu</t>
        </r>
        <r>
          <rPr>
            <sz val="9"/>
            <color indexed="81"/>
            <rFont val="Tahoma"/>
            <family val="2"/>
          </rPr>
          <t xml:space="preserve">
</t>
        </r>
      </text>
    </comment>
    <comment ref="H830" authorId="1" shapeId="0" xr:uid="{00000000-0006-0000-0000-00001E020000}">
      <text>
        <r>
          <rPr>
            <b/>
            <sz val="9"/>
            <color indexed="81"/>
            <rFont val="Tahoma"/>
            <family val="2"/>
          </rPr>
          <t>Usuario de Windows:</t>
        </r>
        <r>
          <rPr>
            <sz val="9"/>
            <color indexed="81"/>
            <rFont val="Tahoma"/>
            <family val="2"/>
          </rPr>
          <t xml:space="preserve">
</t>
        </r>
        <r>
          <rPr>
            <b/>
            <sz val="10"/>
            <color indexed="81"/>
            <rFont val="Tahoma"/>
            <family val="2"/>
          </rPr>
          <t>Domicilio C. Cristobal Colon 401, Centro, 66400 San Nicolás de los Garza, N.L.</t>
        </r>
        <r>
          <rPr>
            <sz val="9"/>
            <color indexed="81"/>
            <rFont val="Tahoma"/>
            <family val="2"/>
          </rPr>
          <t xml:space="preserve">
https://www.google.com/maps/place/C.+Cristobal+Colon+401,+Centro,+66400+San+Nicol%C3%A1s+de+los+Garza,+N.L./@25.7526114,-100.2876793,17z/data=!4m15!1m8!3m7!1s0x866294940165d3ab:0xbcb0852e51b51a3c!2sC.+Cristobal+Colon+401,+Centro,+66400+San+Nicol%C3%A1s+de+los+Garza,+N.L.!3b1!8m2!3d25.7528239!4d-100.2877741!16s%2Fg%2F11c6wpzx0c!3m5!1s0x866294940165d3ab:0xbcb0852e51b51a3c!8m2!3d25.7528239!4d-100.2877741!16s%2Fg%2F11c6wpzx0c?entry=ttu</t>
        </r>
      </text>
    </comment>
    <comment ref="H831" authorId="0" shapeId="0" xr:uid="{00000000-0006-0000-0000-00001F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832" authorId="0" shapeId="0" xr:uid="{00000000-0006-0000-0000-000020020000}">
      <text>
        <r>
          <rPr>
            <b/>
            <sz val="9"/>
            <color indexed="81"/>
            <rFont val="Tahoma"/>
            <family val="2"/>
          </rPr>
          <t>UBITEC:</t>
        </r>
        <r>
          <rPr>
            <sz val="9"/>
            <color indexed="81"/>
            <rFont val="Tahoma"/>
            <family val="2"/>
          </rPr>
          <t xml:space="preserve">
</t>
        </r>
        <r>
          <rPr>
            <b/>
            <sz val="9"/>
            <color indexed="81"/>
            <rFont val="Tahoma"/>
            <family val="2"/>
          </rPr>
          <t>Domicilio Adán Hernández Rojas 104, El Obispo, 66216 San Pedro Garza García, N.L. 
Entre Bernardo Reyes y Adolfo de la Huerta, Casa de color Blanca y barandal Negro, hay un toldo azul en el porche</t>
        </r>
        <r>
          <rPr>
            <sz val="9"/>
            <color indexed="81"/>
            <rFont val="Tahoma"/>
            <family val="2"/>
          </rPr>
          <t xml:space="preserve">
https://www.google.com/maps/place/Ad%C3%A1n+Hern%C3%A1ndez+Rojas+104,+El+Obispo,+66216+San+Pedro+Garza+Garc%C3%ADa,+N.L./@25.6796527,-100.4080814,17z/data=!4m10!1m2!2m1!1sAd%C3%A1n+Hern%C3%A1ndez+rojas+104,+Colonia+El+Obisp%C3%B3+66214,+San+Pedro+Garza+Garc%C3%ADa+NL!3m6!1s0x866297d004f27f1d:0x9da6fe91d830c351!8m2!3d25.6796527!4d-100.4055065!15sClBBZMOhbiBIZXJuw6FuZGV6IHJvamFzIDEwNCwgQ29sb25pYSBFbCBPYmlzcMOzIDY2MjE0LCBTYW4gUGVkcm8gR2FyemEgR2FyY8OtYSBOTJIBEGdlb2NvZGVkX2FkZHJlc3PgAQA!16s%2Fg%2F11c2591_pb?entry=ttu</t>
        </r>
      </text>
    </comment>
    <comment ref="H833" authorId="0" shapeId="0" xr:uid="{00000000-0006-0000-0000-000021020000}">
      <text>
        <r>
          <rPr>
            <b/>
            <sz val="9"/>
            <color indexed="81"/>
            <rFont val="Tahoma"/>
            <family val="2"/>
          </rPr>
          <t>UBITEC:</t>
        </r>
        <r>
          <rPr>
            <sz val="9"/>
            <color indexed="81"/>
            <rFont val="Tahoma"/>
            <family val="2"/>
          </rPr>
          <t xml:space="preserve">
</t>
        </r>
        <r>
          <rPr>
            <b/>
            <sz val="9"/>
            <color indexed="81"/>
            <rFont val="Tahoma"/>
            <family val="2"/>
          </rPr>
          <t>Domicilio Adán Hernández Rojas 104, El Obispo, 66216 San Pedro Garza García, N.L. 
Entre Bernardo Reyes y Adolfo de la Huerta, Casa de color Blanca y barandal Negro, hay un toldo azul en el porche</t>
        </r>
        <r>
          <rPr>
            <sz val="9"/>
            <color indexed="81"/>
            <rFont val="Tahoma"/>
            <family val="2"/>
          </rPr>
          <t xml:space="preserve">
https://www.google.com/maps/place/Ad%C3%A1n+Hern%C3%A1ndez+Rojas+104,+El+Obispo,+66216+San+Pedro+Garza+Garc%C3%ADa,+N.L./@25.6796527,-100.4080814,17z/data=!4m10!1m2!2m1!1sAd%C3%A1n+Hern%C3%A1ndez+rojas+104,+Colonia+El+Obisp%C3%B3+66214,+San+Pedro+Garza+Garc%C3%ADa+NL!3m6!1s0x866297d004f27f1d:0x9da6fe91d830c351!8m2!3d25.6796527!4d-100.4055065!15sClBBZMOhbiBIZXJuw6FuZGV6IHJvamFzIDEwNCwgQ29sb25pYSBFbCBPYmlzcMOzIDY2MjE0LCBTYW4gUGVkcm8gR2FyemEgR2FyY8OtYSBOTJIBEGdlb2NvZGVkX2FkZHJlc3PgAQA!16s%2Fg%2F11c2591_pb?entry=ttu</t>
        </r>
      </text>
    </comment>
    <comment ref="H834" authorId="0" shapeId="0" xr:uid="{00000000-0006-0000-0000-000022020000}">
      <text>
        <r>
          <rPr>
            <b/>
            <sz val="9"/>
            <color indexed="81"/>
            <rFont val="Tahoma"/>
            <family val="2"/>
          </rPr>
          <t>UBITEC:</t>
        </r>
        <r>
          <rPr>
            <sz val="9"/>
            <color indexed="81"/>
            <rFont val="Tahoma"/>
            <family val="2"/>
          </rPr>
          <t xml:space="preserve">
</t>
        </r>
        <r>
          <rPr>
            <b/>
            <sz val="10"/>
            <color indexed="81"/>
            <rFont val="Tahoma"/>
            <family val="2"/>
          </rPr>
          <t xml:space="preserve">Domicilio Luis IX 5415, Valle de Los Reyes, 67180 Guadalupe, N.L. </t>
        </r>
        <r>
          <rPr>
            <sz val="9"/>
            <color indexed="81"/>
            <rFont val="Tahoma"/>
            <family val="2"/>
          </rPr>
          <t xml:space="preserve">
https://www.google.com/maps/place/25%C2%B039'28.3%22N+100%C2%B012'23.3%22W/@25.6578674,-100.2090416,17z/data=!3m1!4b1!4m4!3m3!8m2!3d25.6578674!4d-100.2064667?hl=es&amp;entry=ttu</t>
        </r>
      </text>
    </comment>
    <comment ref="H837" authorId="0" shapeId="0" xr:uid="{00000000-0006-0000-0000-000023020000}">
      <text>
        <r>
          <rPr>
            <b/>
            <sz val="9"/>
            <color indexed="81"/>
            <rFont val="Tahoma"/>
            <family val="2"/>
          </rPr>
          <t>UBITEC:</t>
        </r>
        <r>
          <rPr>
            <sz val="9"/>
            <color indexed="81"/>
            <rFont val="Tahoma"/>
            <family val="2"/>
          </rPr>
          <t xml:space="preserve">
</t>
        </r>
        <r>
          <rPr>
            <b/>
            <sz val="10"/>
            <color indexed="81"/>
            <rFont val="Tahoma"/>
            <family val="2"/>
          </rPr>
          <t>Domiclio C. Priv. Cantabria 714, Sin Nombre de Col 20, 66350 Cdad. Santa Catarina, N.L.</t>
        </r>
        <r>
          <rPr>
            <sz val="10"/>
            <color indexed="81"/>
            <rFont val="Tahoma"/>
            <family val="2"/>
          </rPr>
          <t xml:space="preserve">
https://www.google.com/maps/place/C.+Priv.+Cantabria+714,+Sin+Nombre+de+Col+20,+66350+Cdad.+Santa+Catarina,+N.L./@25.6739946,-100.4736854,17z/data=!3m1!4b1!4m5!3m4!1s0x8662987049c9f847:0xd453786b5ba1856!8m2!3d25.6739946!4d-100.4711105?entry=ttu</t>
        </r>
      </text>
    </comment>
    <comment ref="H838" authorId="0" shapeId="0" xr:uid="{00000000-0006-0000-0000-000024020000}">
      <text>
        <r>
          <rPr>
            <b/>
            <sz val="9"/>
            <color indexed="81"/>
            <rFont val="Tahoma"/>
            <family val="2"/>
          </rPr>
          <t>UBITEC:</t>
        </r>
        <r>
          <rPr>
            <sz val="9"/>
            <color indexed="81"/>
            <rFont val="Tahoma"/>
            <family val="2"/>
          </rPr>
          <t xml:space="preserve">
</t>
        </r>
        <r>
          <rPr>
            <b/>
            <sz val="10"/>
            <color indexed="81"/>
            <rFont val="Tahoma"/>
            <family val="2"/>
          </rPr>
          <t xml:space="preserve">Domicilio Río Juba 1022, 67485 Cadereyta Jiménez, N.L. </t>
        </r>
        <r>
          <rPr>
            <sz val="9"/>
            <color indexed="81"/>
            <rFont val="Tahoma"/>
            <family val="2"/>
          </rPr>
          <t xml:space="preserve">
https://www.google.com/maps/place/R%C3%ADo+Juba+1022,+67485+Cadereyta+Jim%C3%A9nez,+N.L./@25.5735117,-100.0251306,18z/data=!3m1!4b1!4m10!1m2!2m1!1sRio+Juba+1022,+Colonia+Bellavista+4to+sector,+Cadereyta!3m6!1s0x8662dbbc91990adf:0x37b3538a3709b6bc!8m2!3d25.5735093!4d-100.0228239!15sCjdSaW8gSnViYSAxMDIyLCBDb2xvbmlhIEJlbGxhdmlzdGEgNHRvIHNlY3RvciwgQ2FkZXJleXRhkgEQZ2VvY29kZWRfYWRkcmVzc-ABAA!16s%2Fg%2F11f61cxc24?entry=ttu</t>
        </r>
      </text>
    </comment>
    <comment ref="H839" authorId="0" shapeId="0" xr:uid="{00000000-0006-0000-0000-000025020000}">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840" authorId="0" shapeId="0" xr:uid="{00000000-0006-0000-0000-000026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841" authorId="0" shapeId="0" xr:uid="{00000000-0006-0000-0000-000027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887" authorId="0" shapeId="0" xr:uid="{00000000-0006-0000-0000-000028020000}">
      <text>
        <r>
          <rPr>
            <b/>
            <sz val="9"/>
            <color indexed="81"/>
            <rFont val="Tahoma"/>
            <family val="2"/>
          </rPr>
          <t>UBITEC:</t>
        </r>
        <r>
          <rPr>
            <sz val="9"/>
            <color indexed="81"/>
            <rFont val="Tahoma"/>
            <family val="2"/>
          </rPr>
          <t xml:space="preserve">
</t>
        </r>
        <r>
          <rPr>
            <b/>
            <sz val="10"/>
            <color indexed="81"/>
            <rFont val="Tahoma"/>
            <family val="2"/>
          </rPr>
          <t>Domicilio Gral Francisco Naranjo 115, Centro, 66400 San Nicolás de los Garza, N.L.</t>
        </r>
        <r>
          <rPr>
            <sz val="10"/>
            <color indexed="81"/>
            <rFont val="Tahoma"/>
            <family val="2"/>
          </rPr>
          <t xml:space="preserve">
https://www.google.com/maps/place/Gral+Francisco+Naranjo+115,+Centro,+66400+San+Nicol%C3%A1s+de+los+Garza,+N.L./@25.7561236,-100.2957975,17z/data=!3m1!4b1!4m6!3m5!1s0x8662948fa54eec13:0x797202541936a5a9!8m2!3d25.7561236!4d-100.2957975!16s%2Fg%2F11c17q6bnj?entry=ttu</t>
        </r>
      </text>
    </comment>
    <comment ref="H889" authorId="0" shapeId="0" xr:uid="{00000000-0006-0000-0000-00002902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890" authorId="0" shapeId="0" xr:uid="{00000000-0006-0000-0000-00002A02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891" authorId="0" shapeId="0" xr:uid="{00000000-0006-0000-0000-00002B020000}">
      <text>
        <r>
          <rPr>
            <b/>
            <sz val="9"/>
            <color indexed="81"/>
            <rFont val="Tahoma"/>
            <family val="2"/>
          </rPr>
          <t>UBITEC:</t>
        </r>
        <r>
          <rPr>
            <sz val="9"/>
            <color indexed="81"/>
            <rFont val="Tahoma"/>
            <family val="2"/>
          </rPr>
          <t xml:space="preserve">
</t>
        </r>
        <r>
          <rPr>
            <b/>
            <sz val="9"/>
            <color indexed="81"/>
            <rFont val="Tahoma"/>
            <family val="2"/>
          </rPr>
          <t>Domicilio Viñedo Mexicano 132, Los Viñedos Sector 1, Los Viñedos, 66367 Cdad. Santa Catarina, N.L.</t>
        </r>
        <r>
          <rPr>
            <sz val="9"/>
            <color indexed="81"/>
            <rFont val="Tahoma"/>
            <family val="2"/>
          </rPr>
          <t xml:space="preserve">
https://www.google.com/maps/place/Vi%C3%B1edo+Mexicano+132,+Los+Vi%C3%B1edos+Sector+1,+Los+Vi%C3%B1edos,+66367+Cdad.+Santa+Catarina,+N.L./@25.7030595,-100.5126405,19.21z/data=!4m10!1m2!2m1!1sCalle+Vi%C3%B1edo+Mexicano+132,+colonia+Los+Vi%C3%B1edos+en+Santa+Catarina!3m6!1s0x866298deb7a80ed3:0xd2e5f2d28db8eee6!8m2!3d25.7030692!4d-100.5121724!15sCkJDYWxsZSBWacOxZWRvIE1leGljYW5vIDEzMiwgY29sb25pYSBMb3MgVmnDsWVkb3MgZW4gU2FudGEgQ2F0YXJpbmGSARFjb21wb3VuZF9idWlsZGluZ-ABAA!16s%2Fg%2F11sbhd3g7s?entry=ttu</t>
        </r>
      </text>
    </comment>
    <comment ref="H892" authorId="0" shapeId="0" xr:uid="{00000000-0006-0000-0000-00002C020000}">
      <text>
        <r>
          <rPr>
            <b/>
            <sz val="9"/>
            <color indexed="81"/>
            <rFont val="Tahoma"/>
            <family val="2"/>
          </rPr>
          <t>UBITEC:</t>
        </r>
        <r>
          <rPr>
            <sz val="9"/>
            <color indexed="81"/>
            <rFont val="Tahoma"/>
            <family val="2"/>
          </rPr>
          <t xml:space="preserve">
</t>
        </r>
        <r>
          <rPr>
            <b/>
            <sz val="9"/>
            <color indexed="81"/>
            <rFont val="Tahoma"/>
            <family val="2"/>
          </rPr>
          <t>Domicilio 16A. Calle 229, Miguel Alemán, 66470 Monterrey, N.L.</t>
        </r>
        <r>
          <rPr>
            <sz val="9"/>
            <color indexed="81"/>
            <rFont val="Tahoma"/>
            <family val="2"/>
          </rPr>
          <t xml:space="preserve">
https://www.google.com/maps/place/16A.+Calle+229,+Miguel+Alem%C3%A1n,+66470+Monterrey,+N.L./@25.7165102,-100.2236721,21z/data=!4m14!1m8!3m7!1s0x8662eaf07e7c5515:0x4a266e555e0f5797!2s16A.+Calle+229,+Miguel+Alem%C3%A1n,+66470+Monterrey,+N.L.!3b1!8m2!3d25.7164831!4d-100.2236751!10e5!3m4!1s0x8662eaf07e7c5515:0x4a266e555e0f5797!8m2!3d25.7164831!4d-100.2236751?entry=ttu</t>
        </r>
      </text>
    </comment>
    <comment ref="H893" authorId="0" shapeId="0" xr:uid="{00000000-0006-0000-0000-00002D02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894" authorId="0" shapeId="0" xr:uid="{00000000-0006-0000-0000-00002E02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895" authorId="0" shapeId="0" xr:uid="{00000000-0006-0000-0000-00002F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896" authorId="0" shapeId="0" xr:uid="{00000000-0006-0000-0000-000030020000}">
      <text>
        <r>
          <rPr>
            <b/>
            <sz val="9"/>
            <color indexed="81"/>
            <rFont val="Tahoma"/>
            <family val="2"/>
          </rPr>
          <t>UBITEC:</t>
        </r>
        <r>
          <rPr>
            <sz val="9"/>
            <color indexed="81"/>
            <rFont val="Tahoma"/>
            <family val="2"/>
          </rPr>
          <t xml:space="preserve">
</t>
        </r>
        <r>
          <rPr>
            <b/>
            <sz val="9"/>
            <color indexed="81"/>
            <rFont val="Tahoma"/>
            <family val="2"/>
          </rPr>
          <t>Domicilio Francisco Villa 154, Centro de Gral Zuazua, 65750 Gral. Zuazua, N.L.</t>
        </r>
        <r>
          <rPr>
            <sz val="9"/>
            <color indexed="81"/>
            <rFont val="Tahoma"/>
            <family val="2"/>
          </rPr>
          <t xml:space="preserve">
https://www.google.com/maps/place/Francisco+Villa+154,+Centro+de+Gral+Zuazua,+65750+Gral.+Zuazua,+N.L./@25.8940046,-100.1135607,17z/data=!3m1!4b1!4m6!3m5!1s0x8662f03bd7ad1ba1:0x4f742c13123e34b!8m2!3d25.8940046!4d-100.1109858!16s%2Fg%2F11q58dj830?entry=ttu</t>
        </r>
      </text>
    </comment>
    <comment ref="H897" authorId="0" shapeId="0" xr:uid="{00000000-0006-0000-0000-000031020000}">
      <text>
        <r>
          <rPr>
            <b/>
            <sz val="9"/>
            <color indexed="81"/>
            <rFont val="Tahoma"/>
            <family val="2"/>
          </rPr>
          <t>UBITEC:</t>
        </r>
        <r>
          <rPr>
            <sz val="9"/>
            <color indexed="81"/>
            <rFont val="Tahoma"/>
            <family val="2"/>
          </rPr>
          <t xml:space="preserve">
</t>
        </r>
        <r>
          <rPr>
            <b/>
            <sz val="10"/>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898" authorId="0" shapeId="0" xr:uid="{00000000-0006-0000-0000-000032020000}">
      <text>
        <r>
          <rPr>
            <b/>
            <sz val="9"/>
            <color indexed="81"/>
            <rFont val="Tahoma"/>
            <family val="2"/>
          </rPr>
          <t>UBITEC:</t>
        </r>
        <r>
          <rPr>
            <sz val="9"/>
            <color indexed="81"/>
            <rFont val="Tahoma"/>
            <family val="2"/>
          </rPr>
          <t xml:space="preserve">
</t>
        </r>
        <r>
          <rPr>
            <b/>
            <sz val="10"/>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899" authorId="0" shapeId="0" xr:uid="{00000000-0006-0000-0000-000033020000}">
      <text>
        <r>
          <rPr>
            <b/>
            <sz val="9"/>
            <color indexed="81"/>
            <rFont val="Tahoma"/>
            <family val="2"/>
          </rPr>
          <t>UBITEC:</t>
        </r>
        <r>
          <rPr>
            <sz val="9"/>
            <color indexed="81"/>
            <rFont val="Tahoma"/>
            <family val="2"/>
          </rPr>
          <t xml:space="preserve">
</t>
        </r>
        <r>
          <rPr>
            <b/>
            <sz val="9"/>
            <color indexed="81"/>
            <rFont val="Tahoma"/>
            <family val="2"/>
          </rPr>
          <t>Domicilio C. Jiménez 309, Centro de Guadalupe, 67100 Guadalupe, N.L.</t>
        </r>
        <r>
          <rPr>
            <sz val="9"/>
            <color indexed="81"/>
            <rFont val="Tahoma"/>
            <family val="2"/>
          </rPr>
          <t xml:space="preserve">
https://www.google.com/maps/place/C.+Jim%C3%A9nez+309,+Centro+de+Guadalupe,+67100+Guadalupe,+N.L./@25.6758161,-100.2637151,17z/data=!3m1!4b1!4m6!3m5!1s0x8662bfff75ea68f3:0x8d9d4c8de789c71c!8m2!3d25.6758161!4d-100.2611402!16s%2Fg%2F11c6w0xj4n?entry=ttu</t>
        </r>
      </text>
    </comment>
    <comment ref="H900" authorId="0" shapeId="0" xr:uid="{00000000-0006-0000-0000-000034020000}">
      <text>
        <r>
          <rPr>
            <b/>
            <sz val="9"/>
            <color indexed="81"/>
            <rFont val="Tahoma"/>
            <family val="2"/>
          </rPr>
          <t>UBITEC:</t>
        </r>
        <r>
          <rPr>
            <sz val="9"/>
            <color indexed="81"/>
            <rFont val="Tahoma"/>
            <family val="2"/>
          </rPr>
          <t xml:space="preserve">
</t>
        </r>
        <r>
          <rPr>
            <b/>
            <sz val="9"/>
            <color indexed="81"/>
            <rFont val="Tahoma"/>
            <family val="2"/>
          </rPr>
          <t>Domicilio Villa Carlota 223, VILLAS REGINA, 66653 Pesquería, N.L.</t>
        </r>
        <r>
          <rPr>
            <sz val="9"/>
            <color indexed="81"/>
            <rFont val="Tahoma"/>
            <family val="2"/>
          </rPr>
          <t xml:space="preserve">
https://www.google.com/maps/place/Villa+Carlota+223,+VILLAS+REGINA,+66653+Pesquer%C3%ADa,+N.L./@25.7954489,-100.0582944,19.41z/data=!4m6!3m5!1s0x8662e5dd78bd0919:0x69bf5fd4728c2b36!8m2!3d25.7954764!4d-100.0578957!15sCi5CZWxsYSBjYXJsb3RhIDIyMywgVmlsbGFzIFJlZ2luYSwgcGVzcXVlcmlhIE5MkgEQZ2VvY29kZWRfYWRkcmVzc-ABAA?entry=ttu</t>
        </r>
      </text>
    </comment>
    <comment ref="H901" authorId="0" shapeId="0" xr:uid="{00000000-0006-0000-0000-000035020000}">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903" authorId="0" shapeId="0" xr:uid="{00000000-0006-0000-0000-000036020000}">
      <text>
        <r>
          <rPr>
            <b/>
            <sz val="9"/>
            <color indexed="81"/>
            <rFont val="Tahoma"/>
            <family val="2"/>
          </rPr>
          <t>UBITEC:</t>
        </r>
        <r>
          <rPr>
            <sz val="9"/>
            <color indexed="81"/>
            <rFont val="Tahoma"/>
            <family val="2"/>
          </rPr>
          <t xml:space="preserve">
</t>
        </r>
        <r>
          <rPr>
            <b/>
            <sz val="9"/>
            <color indexed="81"/>
            <rFont val="Tahoma"/>
            <family val="2"/>
          </rPr>
          <t>Domicilio Gral. Francisco Naranjo 66, Centro, 64000 Monterrey, N.L.</t>
        </r>
        <r>
          <rPr>
            <sz val="9"/>
            <color indexed="81"/>
            <rFont val="Tahoma"/>
            <family val="2"/>
          </rPr>
          <t xml:space="preserve">
https://www.google.com/maps/place/Gral.+Francisco+Naranjo+66,+Centro,+64000+Monterrey,+N.L./@25.6682394,-100.3049325,19.25z/data=!4m5!3m4!1s0x8662bfd3484450a7:0xbf4ce8f5a5183b91!8m2!3d25.6681658!4d-100.3044556?entry=ttu
</t>
        </r>
      </text>
    </comment>
    <comment ref="H904" authorId="0" shapeId="0" xr:uid="{00000000-0006-0000-0000-000037020000}">
      <text>
        <r>
          <rPr>
            <b/>
            <sz val="9"/>
            <color indexed="81"/>
            <rFont val="Tahoma"/>
            <family val="2"/>
          </rPr>
          <t>UBITEC:</t>
        </r>
        <r>
          <rPr>
            <sz val="9"/>
            <color indexed="81"/>
            <rFont val="Tahoma"/>
            <family val="2"/>
          </rPr>
          <t xml:space="preserve">
</t>
        </r>
        <r>
          <rPr>
            <b/>
            <sz val="9"/>
            <color indexed="81"/>
            <rFont val="Tahoma"/>
            <family val="2"/>
          </rPr>
          <t>Domicilio Terracota 101, Sin Nombre de Col 52, 64997 Monterrey, N.L</t>
        </r>
        <r>
          <rPr>
            <sz val="9"/>
            <color indexed="81"/>
            <rFont val="Tahoma"/>
            <family val="2"/>
          </rPr>
          <t>.
https://www.google.com/maps/place/Terracota+101,+Sin+Nombre+de+Col+52,+64997+Monterrey,+N.L./@25.5171799,-100.2111191,17z/data=!3m1!4b1!4m6!3m5!1s0x8662c636135040cb:0xf4a6142cae14f335!8m2!3d25.5171799!4d-100.2085442!16s%2Fg%2F11h8gq58py?entry=ttu</t>
        </r>
      </text>
    </comment>
    <comment ref="H905" authorId="0" shapeId="0" xr:uid="{00000000-0006-0000-0000-000038020000}">
      <text>
        <r>
          <rPr>
            <b/>
            <sz val="9"/>
            <color indexed="81"/>
            <rFont val="Tahoma"/>
            <family val="2"/>
          </rPr>
          <t>UBITEC:</t>
        </r>
        <r>
          <rPr>
            <sz val="9"/>
            <color indexed="81"/>
            <rFont val="Tahoma"/>
            <family val="2"/>
          </rPr>
          <t xml:space="preserve">
</t>
        </r>
        <r>
          <rPr>
            <b/>
            <sz val="9"/>
            <color indexed="81"/>
            <rFont val="Tahoma"/>
            <family val="2"/>
          </rPr>
          <t>Domicilio El Grullo 408, La Noria, 66633 test city, N.L.</t>
        </r>
        <r>
          <rPr>
            <sz val="9"/>
            <color indexed="81"/>
            <rFont val="Tahoma"/>
            <family val="2"/>
          </rPr>
          <t xml:space="preserve">
https://www.google.com/maps/place/El+Grullo+408,+La+Noria,+66633+test+city,+N.L./@25.7363922,-100.1912384,18.68z/data=!4m6!3m5!1s0x8662ebca284777a3:0x93b90fc9fa0858d8!8m2!3d25.7363602!4d-100.1905183!16s%2Fg%2F11c6yzzps9?entry=ttu</t>
        </r>
      </text>
    </comment>
    <comment ref="H906" authorId="0" shapeId="0" xr:uid="{00000000-0006-0000-0000-000039020000}">
      <text>
        <r>
          <rPr>
            <b/>
            <sz val="9"/>
            <color indexed="81"/>
            <rFont val="Tahoma"/>
            <family val="2"/>
          </rPr>
          <t>UBITEC:</t>
        </r>
        <r>
          <rPr>
            <sz val="9"/>
            <color indexed="81"/>
            <rFont val="Tahoma"/>
            <family val="2"/>
          </rPr>
          <t xml:space="preserve">
</t>
        </r>
        <r>
          <rPr>
            <b/>
            <sz val="9"/>
            <color indexed="81"/>
            <rFont val="Tahoma"/>
            <family val="2"/>
          </rPr>
          <t>Domicilio El Grullo 408, La Noria, 66633 test city, N.L.</t>
        </r>
        <r>
          <rPr>
            <sz val="9"/>
            <color indexed="81"/>
            <rFont val="Tahoma"/>
            <family val="2"/>
          </rPr>
          <t xml:space="preserve">
https://www.google.com/maps/place/El+Grullo+408,+La+Noria,+66633+test+city,+N.L./@25.7363922,-100.1912384,18.68z/data=!4m6!3m5!1s0x8662ebca284777a3:0x93b90fc9fa0858d8!8m2!3d25.7363602!4d-100.1905183!16s%2Fg%2F11c6yzzps9?entry=ttu</t>
        </r>
      </text>
    </comment>
    <comment ref="H907" authorId="0" shapeId="0" xr:uid="{00000000-0006-0000-0000-00003A020000}">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908" authorId="0" shapeId="0" xr:uid="{00000000-0006-0000-0000-00003B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909" authorId="0" shapeId="0" xr:uid="{00000000-0006-0000-0000-00003C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910" authorId="0" shapeId="0" xr:uid="{00000000-0006-0000-0000-00003D020000}">
      <text>
        <r>
          <rPr>
            <b/>
            <sz val="9"/>
            <color indexed="81"/>
            <rFont val="Tahoma"/>
            <family val="2"/>
          </rPr>
          <t>UBITEC:</t>
        </r>
        <r>
          <rPr>
            <sz val="9"/>
            <color indexed="81"/>
            <rFont val="Tahoma"/>
            <family val="2"/>
          </rPr>
          <t xml:space="preserve">
</t>
        </r>
        <r>
          <rPr>
            <b/>
            <sz val="9"/>
            <color indexed="81"/>
            <rFont val="Tahoma"/>
            <family val="2"/>
          </rPr>
          <t>Domicilio Libertadores 610, Valle de Huinala VI, 66634 Cdad. Apodaca, N.L.</t>
        </r>
        <r>
          <rPr>
            <sz val="9"/>
            <color indexed="81"/>
            <rFont val="Tahoma"/>
            <family val="2"/>
          </rPr>
          <t xml:space="preserve">
https://www.google.com/maps/place/Libertadores+610,+Valle+de+Huinala+VI,+66634+Cdad.+Apodaca,+N.L./@25.7431474,-100.1929063,17z/data=!3m1!4b1!4m6!3m5!1s0x8662ebb809cba837:0x340abf0d90a9a90c!8m2!3d25.7431474!4d-100.1929063!16s%2Fg%2F11c1ylqhgh?entry=ttu</t>
        </r>
      </text>
    </comment>
    <comment ref="H911" authorId="0" shapeId="0" xr:uid="{00000000-0006-0000-0000-00003E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913" authorId="0" shapeId="0" xr:uid="{00000000-0006-0000-0000-00003F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914" authorId="0" shapeId="0" xr:uid="{00000000-0006-0000-0000-000040020000}">
      <text>
        <r>
          <rPr>
            <b/>
            <sz val="9"/>
            <color indexed="81"/>
            <rFont val="Tahoma"/>
            <family val="2"/>
          </rPr>
          <t>UBITEC:</t>
        </r>
        <r>
          <rPr>
            <sz val="9"/>
            <color indexed="81"/>
            <rFont val="Tahoma"/>
            <family val="2"/>
          </rPr>
          <t xml:space="preserve">
</t>
        </r>
        <r>
          <rPr>
            <b/>
            <sz val="9"/>
            <color indexed="81"/>
            <rFont val="Tahoma"/>
            <family val="2"/>
          </rPr>
          <t>Domicilio Hacienda del Azabache 323, Hacienda del Moro, 66630 Cdad. Apodaca, N.L.</t>
        </r>
        <r>
          <rPr>
            <sz val="9"/>
            <color indexed="81"/>
            <rFont val="Tahoma"/>
            <family val="2"/>
          </rPr>
          <t xml:space="preserve"> 
https://www.google.com/maps/place/Hacienda+del+Azabache+323,+Hacienda+del+Moro,+66630+Cdad.+Apodaca,+N.L./@25.7634063,-100.2383374,17z/data=!3m1!4b1!4m6!3m5!1s0x8662eb67c4ed0fb1:0xea1eec6fa65855ae!8m2!3d25.7634063!4d-100.2357625!16s%2Fg%2F11c5q7b0_w?entry=ttu</t>
        </r>
      </text>
    </comment>
    <comment ref="H915" authorId="0" shapeId="0" xr:uid="{00000000-0006-0000-0000-000041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916" authorId="0" shapeId="0" xr:uid="{00000000-0006-0000-0000-000042020000}">
      <text>
        <r>
          <rPr>
            <b/>
            <sz val="9"/>
            <color indexed="81"/>
            <rFont val="Tahoma"/>
            <family val="2"/>
          </rPr>
          <t>UBITEC:</t>
        </r>
        <r>
          <rPr>
            <sz val="9"/>
            <color indexed="81"/>
            <rFont val="Tahoma"/>
            <family val="2"/>
          </rPr>
          <t xml:space="preserve">
</t>
        </r>
        <r>
          <rPr>
            <b/>
            <sz val="9"/>
            <color indexed="81"/>
            <rFont val="Tahoma"/>
            <family val="2"/>
          </rPr>
          <t>Domicilio Parque Pte. 136, Morelos, 64180 Monterrey, N.L.</t>
        </r>
        <r>
          <rPr>
            <sz val="9"/>
            <color indexed="81"/>
            <rFont val="Tahoma"/>
            <family val="2"/>
          </rPr>
          <t xml:space="preserve">
https://www.google.com/maps/place/Parque+Pte.+136,+Morelos,+64180+Monterrey,+N.L./@25.7198721,-100.3544929,17z/data=!3m1!4b1!4m6!3m5!1s0x866296807aae9db7:0x81520f6c465134a3!8m2!3d25.7198721!4d-100.351918!16s%2Fg%2F11c6vx2s58?entry=ttu</t>
        </r>
      </text>
    </comment>
    <comment ref="H917" authorId="0" shapeId="0" xr:uid="{00000000-0006-0000-0000-000043020000}">
      <text>
        <r>
          <rPr>
            <b/>
            <sz val="9"/>
            <color indexed="81"/>
            <rFont val="Tahoma"/>
            <family val="2"/>
          </rPr>
          <t>UBITEC:</t>
        </r>
        <r>
          <rPr>
            <sz val="9"/>
            <color indexed="81"/>
            <rFont val="Tahoma"/>
            <family val="2"/>
          </rPr>
          <t xml:space="preserve">
</t>
        </r>
        <r>
          <rPr>
            <b/>
            <sz val="9"/>
            <color indexed="81"/>
            <rFont val="Tahoma"/>
            <family val="2"/>
          </rPr>
          <t>Domicilio Tuya 6262, Los Ebanos, Cdad. Apodaca, N.L.</t>
        </r>
        <r>
          <rPr>
            <sz val="9"/>
            <color indexed="81"/>
            <rFont val="Tahoma"/>
            <family val="2"/>
          </rPr>
          <t xml:space="preserve">
https://www.google.com/maps/place/Calle+Tuya,+Los+Ebanos,+Cdad.+Apodaca,+N.L./@25.7800511,-100.2396054,17z/data=!3m1!4b1!4m6!3m5!1s0x8662ec98b203144d:0x45f6d569a0c239e8!8m2!3d25.7800511!4d-100.2370305!16s%2Fg%2F1tfntfly?entry=ttu</t>
        </r>
      </text>
    </comment>
    <comment ref="H918" authorId="0" shapeId="0" xr:uid="{00000000-0006-0000-0000-000044020000}">
      <text>
        <r>
          <rPr>
            <b/>
            <sz val="9"/>
            <color indexed="81"/>
            <rFont val="Tahoma"/>
            <family val="2"/>
          </rPr>
          <t>UBITEC:</t>
        </r>
        <r>
          <rPr>
            <sz val="9"/>
            <color indexed="81"/>
            <rFont val="Tahoma"/>
            <family val="2"/>
          </rPr>
          <t xml:space="preserve">
</t>
        </r>
        <r>
          <rPr>
            <b/>
            <sz val="9"/>
            <color indexed="81"/>
            <rFont val="Tahoma"/>
            <family val="2"/>
          </rPr>
          <t>Domicilio C. Jiménez 309, Centro de Guadalupe, 67100 Guadalupe, N.L.</t>
        </r>
        <r>
          <rPr>
            <sz val="9"/>
            <color indexed="81"/>
            <rFont val="Tahoma"/>
            <family val="2"/>
          </rPr>
          <t xml:space="preserve">
https://www.google.com/maps/place/G3+motors/@25.6757261,-100.261598,19.39z/data=!4m15!1m8!3m7!1s0x8662bfff75ea68f3:0x8d9d4c8de789c71c!2sC.+Jim%C3%A9nez+309,+Centro+de+Guadalupe,+67100+Guadalupe,+N.L.!3b1!8m2!3d25.6758161!4d-100.2611402!16s%2Fg%2F11c6w0xj4n!3m5!1s0x8662bf4b6e881285:0x4b8fd5b6355077d2!8m2!3d25.6756115!4d-100.2611839!16s%2Fg%2F11mwxf5dmf?entry=ttu</t>
        </r>
      </text>
    </comment>
    <comment ref="H919" authorId="0" shapeId="0" xr:uid="{00000000-0006-0000-0000-000045020000}">
      <text>
        <r>
          <rPr>
            <b/>
            <sz val="9"/>
            <color indexed="81"/>
            <rFont val="Tahoma"/>
            <family val="2"/>
          </rPr>
          <t>UBITEC:</t>
        </r>
        <r>
          <rPr>
            <sz val="9"/>
            <color indexed="81"/>
            <rFont val="Tahoma"/>
            <family val="2"/>
          </rPr>
          <t xml:space="preserve">
</t>
        </r>
        <r>
          <rPr>
            <b/>
            <sz val="9"/>
            <color indexed="81"/>
            <rFont val="Tahoma"/>
            <family val="2"/>
          </rPr>
          <t>Domicilio Río de La Plata 251, Villas del Río, 67114 Guadalupe, N.L.</t>
        </r>
        <r>
          <rPr>
            <sz val="9"/>
            <color indexed="81"/>
            <rFont val="Tahoma"/>
            <family val="2"/>
          </rPr>
          <t xml:space="preserve">
https://www.google.com/maps/place/R%C3%ADo+de+La+Plata+251,+Villas+del+R%C3%ADo,+67114+Guadalupe,+N.L./@25.6765742,-100.1844194,17z/data=!3m1!4b1!4m6!3m5!1s0x8662c1e4cc1e7fa9:0x1969509b10dc8173!8m2!3d25.6765742!4d-100.1818445!16s%2Fg%2F11hzxr7mjy?entry=ttu</t>
        </r>
      </text>
    </comment>
    <comment ref="H920" authorId="0" shapeId="0" xr:uid="{00000000-0006-0000-0000-000046020000}">
      <text>
        <r>
          <rPr>
            <b/>
            <sz val="9"/>
            <color indexed="81"/>
            <rFont val="Tahoma"/>
            <family val="2"/>
          </rPr>
          <t>UBITEC:</t>
        </r>
        <r>
          <rPr>
            <sz val="9"/>
            <color indexed="81"/>
            <rFont val="Tahoma"/>
            <family val="2"/>
          </rPr>
          <t xml:space="preserve">
</t>
        </r>
        <r>
          <rPr>
            <b/>
            <sz val="10"/>
            <color indexed="81"/>
            <rFont val="Tahoma"/>
            <family val="2"/>
          </rPr>
          <t>Domicilio Av. Tolteca 2505-2305, Tolteca, 67175 Guadalupe, N.L.</t>
        </r>
        <r>
          <rPr>
            <sz val="10"/>
            <color indexed="81"/>
            <rFont val="Tahoma"/>
            <family val="2"/>
          </rPr>
          <t xml:space="preserve">
https://www.google.com/maps/place/Av.+Tolteca+2505-2305,+Tolteca,+67175+Guadalupe,+N.L./@25.6643037,-100.2418166,17z/data=!3m1!4b1!4m5!3m4!1s0x8662c016412064a5:0x5fd05e868f292647!8m2!3d25.6643037!4d-100.2392417?entry=ttu</t>
        </r>
      </text>
    </comment>
    <comment ref="H921" authorId="0" shapeId="0" xr:uid="{00000000-0006-0000-0000-000047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922" authorId="0" shapeId="0" xr:uid="{00000000-0006-0000-0000-000048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923" authorId="0" shapeId="0" xr:uid="{00000000-0006-0000-0000-000049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924" authorId="0" shapeId="0" xr:uid="{00000000-0006-0000-0000-00004A020000}">
      <text>
        <r>
          <rPr>
            <b/>
            <sz val="9"/>
            <color indexed="81"/>
            <rFont val="Tahoma"/>
            <family val="2"/>
          </rPr>
          <t>UBITEC:</t>
        </r>
        <r>
          <rPr>
            <sz val="9"/>
            <color indexed="81"/>
            <rFont val="Tahoma"/>
            <family val="2"/>
          </rPr>
          <t xml:space="preserve">
</t>
        </r>
        <r>
          <rPr>
            <b/>
            <sz val="9"/>
            <color indexed="81"/>
            <rFont val="Tahoma"/>
            <family val="2"/>
          </rPr>
          <t>Domicilio Río de La Plata 251, Villas del Río, 67114 Guadalupe, N.L.</t>
        </r>
        <r>
          <rPr>
            <sz val="9"/>
            <color indexed="81"/>
            <rFont val="Tahoma"/>
            <family val="2"/>
          </rPr>
          <t xml:space="preserve">
https://www.google.com/maps/place/R%C3%ADo+de+La+Plata+251,+Villas+del+R%C3%ADo,+67114+Guadalupe,+N.L./@25.6765742,-100.1844194,17z/data=!3m1!4b1!4m6!3m5!1s0x8662c1e4cc1e7fa9:0x1969509b10dc8173!8m2!3d25.6765742!4d-100.1818445!16s%2Fg%2F11hzxr7mjy?entry=ttu</t>
        </r>
      </text>
    </comment>
    <comment ref="H925" authorId="0" shapeId="0" xr:uid="{00000000-0006-0000-0000-00004B02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926" authorId="0" shapeId="0" xr:uid="{00000000-0006-0000-0000-00004C020000}">
      <text>
        <r>
          <rPr>
            <b/>
            <sz val="9"/>
            <color indexed="81"/>
            <rFont val="Tahoma"/>
            <family val="2"/>
          </rPr>
          <t>UBITEC:</t>
        </r>
        <r>
          <rPr>
            <sz val="9"/>
            <color indexed="81"/>
            <rFont val="Tahoma"/>
            <family val="2"/>
          </rPr>
          <t xml:space="preserve">
</t>
        </r>
        <r>
          <rPr>
            <b/>
            <sz val="9"/>
            <color indexed="81"/>
            <rFont val="Tahoma"/>
            <family val="2"/>
          </rPr>
          <t>Domicilio C. Baron de Fuentes 1614, Real de Palmas, 65760 Real de Palmas, N.L.</t>
        </r>
        <r>
          <rPr>
            <sz val="9"/>
            <color indexed="81"/>
            <rFont val="Tahoma"/>
            <family val="2"/>
          </rPr>
          <t xml:space="preserve">
https://www.google.com/maps/place/C.+Baron+de+Fuentes+1614,+Real+de+Palmas,+65760+Real+de+Palmas,+N.L./@25.8975907,-100.1734044,17z/data=!3m1!4b1!4m6!3m5!1s0x8662f22073d3d7b7:0x12c295220ad62ab9!8m2!3d25.8975907!4d-100.1708295!16s%2Fg%2F11sh48p3v9?entry=ttu</t>
        </r>
      </text>
    </comment>
    <comment ref="H927" authorId="0" shapeId="0" xr:uid="{00000000-0006-0000-0000-00004D020000}">
      <text>
        <r>
          <rPr>
            <b/>
            <sz val="9"/>
            <color indexed="81"/>
            <rFont val="Tahoma"/>
            <family val="2"/>
          </rPr>
          <t>UBITEC:</t>
        </r>
        <r>
          <rPr>
            <sz val="9"/>
            <color indexed="81"/>
            <rFont val="Tahoma"/>
            <family val="2"/>
          </rPr>
          <t xml:space="preserve">
</t>
        </r>
        <r>
          <rPr>
            <b/>
            <sz val="10"/>
            <color indexed="81"/>
            <rFont val="Tahoma"/>
            <family val="2"/>
          </rPr>
          <t>Domicilio Gral Francisco Naranjo 115, Centro, 66400 San Nicolás de los Garza, N.L.</t>
        </r>
        <r>
          <rPr>
            <sz val="10"/>
            <color indexed="81"/>
            <rFont val="Tahoma"/>
            <family val="2"/>
          </rPr>
          <t xml:space="preserve">
https://www.google.com/maps/place/Gral+Francisco+Naranjo+115,+Centro,+66400+San+Nicol%C3%A1s+de+los+Garza,+N.L./@25.7561236,-100.2957975,17z/data=!3m1!4b1!4m6!3m5!1s0x8662948fa54eec13:0x797202541936a5a9!8m2!3d25.7561236!4d-100.2957975!16s%2Fg%2F11c17q6bnj?entry=ttu</t>
        </r>
      </text>
    </comment>
    <comment ref="H929" authorId="0" shapeId="0" xr:uid="{00000000-0006-0000-0000-00004E020000}">
      <text>
        <r>
          <rPr>
            <b/>
            <sz val="9"/>
            <color indexed="81"/>
            <rFont val="Tahoma"/>
            <family val="2"/>
          </rPr>
          <t>UBITEC:</t>
        </r>
        <r>
          <rPr>
            <sz val="9"/>
            <color indexed="81"/>
            <rFont val="Tahoma"/>
            <family val="2"/>
          </rPr>
          <t xml:space="preserve">
Domicilio </t>
        </r>
        <r>
          <rPr>
            <b/>
            <sz val="9"/>
            <color indexed="81"/>
            <rFont val="Tahoma"/>
            <family val="2"/>
          </rPr>
          <t>Control Vehicular Citadel  
Av. Rómulo Garza 410, Sin Nombre de Col 34, 66477 San Nicolás de los Garza, N.L.</t>
        </r>
        <r>
          <rPr>
            <sz val="9"/>
            <color indexed="81"/>
            <rFont val="Tahoma"/>
            <family val="2"/>
          </rPr>
          <t xml:space="preserve">
https://www.google.com/maps/place/Plaza+Citadel/@25.7261078,-100.2150007,17z/data=!4m7!3m6!1s0x8662ebd4816f1c29:0x3a565f52089822be!4b1!8m2!3d25.726016!4d-100.2155801!16s%2Fg%2F11rc2mp6n_?entry=ttu</t>
        </r>
      </text>
    </comment>
    <comment ref="H930" authorId="0" shapeId="0" xr:uid="{00000000-0006-0000-0000-00004F020000}">
      <text>
        <r>
          <rPr>
            <b/>
            <sz val="9"/>
            <color indexed="81"/>
            <rFont val="Tahoma"/>
            <family val="2"/>
          </rPr>
          <t>UBITEC:</t>
        </r>
        <r>
          <rPr>
            <sz val="9"/>
            <color indexed="81"/>
            <rFont val="Tahoma"/>
            <family val="2"/>
          </rPr>
          <t xml:space="preserve">
</t>
        </r>
        <r>
          <rPr>
            <b/>
            <sz val="9"/>
            <color indexed="81"/>
            <rFont val="Tahoma"/>
            <family val="2"/>
          </rPr>
          <t>Domicilio en el que se realizo el servicio 
Domicilio Parque Rio La Silla
Sin Nombre de Col 33, 67174 Guadalupe, N.L.</t>
        </r>
        <r>
          <rPr>
            <sz val="9"/>
            <color indexed="81"/>
            <rFont val="Tahoma"/>
            <family val="2"/>
          </rPr>
          <t xml:space="preserve">
https://www.google.com/maps/place/Parque+Rio+La+Silla/@25.6615149,-100.2542874,17z/data=!4m15!1m8!3m7!1s0x8662c00c463da20b:0x96d59e553c95c6f9!2sC.+Jos%C3%A9+Pe%C3%B3n+y+Contreras+2745,+Bosques+de+La+Pastora+1er+Sector,+67176+Guadalupe,+N.L.!3b1!8m2!3d25.6601465!4d-100.2523562!16s%2Fg%2F11v0yksphm!3m5!1s0x8662c174838007fd:0xec6ca2a1733ce253!8m2!3d25.661668!4d-100.254129!16s%2Fg%2F11gwmfk291?hl=es&amp;entry=ttu
</t>
        </r>
        <r>
          <rPr>
            <b/>
            <sz val="9"/>
            <color indexed="81"/>
            <rFont val="Tahoma"/>
            <family val="2"/>
          </rPr>
          <t>Domicilio proporcionado por Apfel 
Domicilio Lázaro Cárdenas 999, Monterrey, 64260 Monterrey, N.L.</t>
        </r>
        <r>
          <rPr>
            <sz val="9"/>
            <color indexed="81"/>
            <rFont val="Tahoma"/>
            <family val="2"/>
          </rPr>
          <t xml:space="preserve">
https://www.google.com/maps/place/L%C3%A1zaro+C%C3%A1rdenas+999,+Monterrey,+64260+Monterrey,+N.L./@25.721181,-100.3254586,17z/data=!3m1!4b1!4m6!3m5!1s0x866295b4b4ea3abd:0x7a3294f2065e41f2!8m2!3d25.721181!4d-100.3228837!16s%2Fg%2F11csf6_3sz?entry=ttu</t>
        </r>
      </text>
    </comment>
    <comment ref="H931" authorId="0" shapeId="0" xr:uid="{00000000-0006-0000-0000-000050020000}">
      <text>
        <r>
          <rPr>
            <b/>
            <sz val="9"/>
            <color indexed="81"/>
            <rFont val="Tahoma"/>
            <family val="2"/>
          </rPr>
          <t>UBITEC:</t>
        </r>
        <r>
          <rPr>
            <sz val="9"/>
            <color indexed="81"/>
            <rFont val="Tahoma"/>
            <family val="2"/>
          </rPr>
          <t xml:space="preserve">
</t>
        </r>
        <r>
          <rPr>
            <b/>
            <sz val="10"/>
            <color indexed="81"/>
            <rFont val="Tahoma"/>
            <family val="2"/>
          </rPr>
          <t>Av Eloy Cavazos 7307, Santa María Sector C, 67198 Guadalupe, N.L.</t>
        </r>
        <r>
          <rPr>
            <sz val="11"/>
            <color indexed="81"/>
            <rFont val="Tahoma"/>
            <family val="2"/>
          </rPr>
          <t xml:space="preserve">
</t>
        </r>
        <r>
          <rPr>
            <sz val="9"/>
            <color indexed="81"/>
            <rFont val="Tahoma"/>
            <family val="2"/>
          </rPr>
          <t>https://www.google.com/maps/place/Av+Eloy+Cavazos+7307,+Santa+Mar%C3%ADa+Sector+C,+67198+Guadalupe,+N.L./@25.6506866,-100.1933964,20.5z/data=!4m6!3m5!1s0x8662c1bd64d0fad1:0x9daf7dea3dda1740!8m2!3d25.6506781!4d-100.1932658!16s%2Fg%2F11lfbrj_4c?entry=ttu</t>
        </r>
      </text>
    </comment>
    <comment ref="H932" authorId="0" shapeId="0" xr:uid="{00000000-0006-0000-0000-000051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933" authorId="0" shapeId="0" xr:uid="{00000000-0006-0000-0000-000052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934" authorId="0" shapeId="0" xr:uid="{00000000-0006-0000-0000-000053020000}">
      <text>
        <r>
          <rPr>
            <b/>
            <sz val="9"/>
            <color indexed="81"/>
            <rFont val="Tahoma"/>
            <family val="2"/>
          </rPr>
          <t>UBITEC:</t>
        </r>
        <r>
          <rPr>
            <sz val="9"/>
            <color indexed="81"/>
            <rFont val="Tahoma"/>
            <family val="2"/>
          </rPr>
          <t xml:space="preserve">
</t>
        </r>
        <r>
          <rPr>
            <b/>
            <sz val="10"/>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935" authorId="0" shapeId="0" xr:uid="{00000000-0006-0000-0000-000054020000}">
      <text>
        <r>
          <rPr>
            <b/>
            <sz val="9"/>
            <color indexed="81"/>
            <rFont val="Tahoma"/>
            <family val="2"/>
          </rPr>
          <t>UBITEC:</t>
        </r>
        <r>
          <rPr>
            <sz val="9"/>
            <color indexed="81"/>
            <rFont val="Tahoma"/>
            <family val="2"/>
          </rPr>
          <t xml:space="preserve">
</t>
        </r>
        <r>
          <rPr>
            <b/>
            <sz val="10"/>
            <color indexed="81"/>
            <rFont val="Tahoma"/>
            <family val="2"/>
          </rPr>
          <t xml:space="preserve">Domicilio C. Tercera 418, Praderas de Girasoles, 66056 Cdad. Gral. Escobedo, N.L.
</t>
        </r>
        <r>
          <rPr>
            <sz val="10"/>
            <color indexed="81"/>
            <rFont val="Tahoma"/>
            <family val="2"/>
          </rPr>
          <t xml:space="preserve">
</t>
        </r>
        <r>
          <rPr>
            <sz val="9"/>
            <color indexed="81"/>
            <rFont val="Tahoma"/>
            <family val="2"/>
          </rPr>
          <t>https://www.google.com/maps/place/C.+Tercera+418,+Praderas+de+Girasoles,+66056+Cdad.+Gral.+Escobedo,+N.L./@25.7933573,-100.3225441,18.75z/data=!4m10!1m2!2m1!1sCalle+Tercera+418,+Colonia+Praderas+de+Girasoles,+C.P.+66056+General+Escobedo,+Nuevo+Le%C3%B3n!3m6!1s0x866293be7664c41d:0x8b99ab1c5a1a52b4!8m2!3d25.7933641!4d-100.3218698!15sClpDYWxsZSBUZXJjZXJhIDQxOCwgQ29sb25pYSBQcmFkZXJhcyBkZSBHaXJhc29sZXMsIEMuUC4gNjYwNTYgR2VuZXJhbCBFc2NvYmVkbywgTnVldm8gTGXDs26SARFjb21wb3VuZF9idWlsZGluZ-ABAA!16s%2Fg%2F11dxhzlw__?entry=ttu</t>
        </r>
      </text>
    </comment>
    <comment ref="H936" authorId="0" shapeId="0" xr:uid="{00000000-0006-0000-0000-000055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937" authorId="0" shapeId="0" xr:uid="{00000000-0006-0000-0000-000056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939" authorId="0" shapeId="0" xr:uid="{00000000-0006-0000-0000-000057020000}">
      <text>
        <r>
          <rPr>
            <b/>
            <sz val="9"/>
            <color indexed="81"/>
            <rFont val="Tahoma"/>
            <family val="2"/>
          </rPr>
          <t>UBITEC:</t>
        </r>
        <r>
          <rPr>
            <sz val="9"/>
            <color indexed="81"/>
            <rFont val="Tahoma"/>
            <family val="2"/>
          </rPr>
          <t xml:space="preserve">
</t>
        </r>
        <r>
          <rPr>
            <b/>
            <sz val="9"/>
            <color indexed="81"/>
            <rFont val="Tahoma"/>
            <family val="2"/>
          </rPr>
          <t>Calle San Rafael No. 1186 Colonia: Mitras Poniente C.P. 66023 Nuevo León. 
Mitras Poniente, 66023 Villas del Poniente, N.L.</t>
        </r>
        <r>
          <rPr>
            <sz val="9"/>
            <color indexed="81"/>
            <rFont val="Tahoma"/>
            <family val="2"/>
          </rPr>
          <t xml:space="preserve">
https://www.google.com/maps/place/25%C2%B047'11.6%22N+100%C2%B025'32.4%22W/@25.7865873,-100.4258257,19.25z/data=!4m4!3m3!8m2!3d25.7865542!4d-100.4256704?hl=es&amp;entry=ttu
</t>
        </r>
      </text>
    </comment>
    <comment ref="H940" authorId="0" shapeId="0" xr:uid="{00000000-0006-0000-0000-000058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942" authorId="0" shapeId="0" xr:uid="{00000000-0006-0000-0000-000059020000}">
      <text>
        <r>
          <rPr>
            <b/>
            <sz val="9"/>
            <color indexed="81"/>
            <rFont val="Tahoma"/>
            <family val="2"/>
          </rPr>
          <t>UBITEC:</t>
        </r>
        <r>
          <rPr>
            <sz val="9"/>
            <color indexed="81"/>
            <rFont val="Tahoma"/>
            <family val="2"/>
          </rPr>
          <t xml:space="preserve">
</t>
        </r>
        <r>
          <rPr>
            <b/>
            <sz val="9"/>
            <color indexed="81"/>
            <rFont val="Tahoma"/>
            <family val="2"/>
          </rPr>
          <t xml:space="preserve">Av. Concordia, Bosques Real I, 66612 Cdad. Apodaca, N.L.
</t>
        </r>
        <r>
          <rPr>
            <sz val="9"/>
            <color indexed="81"/>
            <rFont val="Tahoma"/>
            <family val="2"/>
          </rPr>
          <t>https://www.google.com/maps/place/25%C2%B047'05.0%22N+100%C2%B014'28.1%22W/@25.7845364,-100.2419127,18.75z/data=!4m4!3m3!8m2!3d25.78472!4d-100.24115?hl=es&amp;entry=ttu</t>
        </r>
      </text>
    </comment>
    <comment ref="H943" authorId="0" shapeId="0" xr:uid="{00000000-0006-0000-0000-00005A020000}">
      <text>
        <r>
          <rPr>
            <b/>
            <sz val="9"/>
            <color indexed="81"/>
            <rFont val="Tahoma"/>
            <family val="2"/>
          </rPr>
          <t>UBITEC:</t>
        </r>
        <r>
          <rPr>
            <sz val="9"/>
            <color indexed="81"/>
            <rFont val="Tahoma"/>
            <family val="2"/>
          </rPr>
          <t xml:space="preserve">
</t>
        </r>
        <r>
          <rPr>
            <b/>
            <sz val="9"/>
            <color indexed="81"/>
            <rFont val="Tahoma"/>
            <family val="2"/>
          </rPr>
          <t>Sabino 530, Bosques Real I, 66612 Cdad. Apodaca, N.L.</t>
        </r>
        <r>
          <rPr>
            <sz val="9"/>
            <color indexed="81"/>
            <rFont val="Tahoma"/>
            <family val="2"/>
          </rPr>
          <t xml:space="preserve">
https://www.google.com/maps/place/25%C2%B046'58.9%22N+100%C2%B014'33.1%22W/@25.7830353,-100.2450905,17z/data=!3m1!4b1!4m4!3m3!8m2!3d25.7830353!4d-100.2425156?hl=es&amp;entry=ttu</t>
        </r>
      </text>
    </comment>
    <comment ref="H944" authorId="0" shapeId="0" xr:uid="{00000000-0006-0000-0000-00005B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945" authorId="0" shapeId="0" xr:uid="{00000000-0006-0000-0000-00005C020000}">
      <text>
        <r>
          <rPr>
            <b/>
            <sz val="9"/>
            <color indexed="81"/>
            <rFont val="Tahoma"/>
            <family val="2"/>
          </rPr>
          <t>UBITEC:</t>
        </r>
        <r>
          <rPr>
            <b/>
            <sz val="9"/>
            <color indexed="81"/>
            <rFont val="Tahoma"/>
            <family val="2"/>
          </rPr>
          <t xml:space="preserve">
Domicilio Bugambilia 232, Villas de Santa Rosa, 66610 Santa Rosa, N.L.</t>
        </r>
        <r>
          <rPr>
            <sz val="9"/>
            <color indexed="81"/>
            <rFont val="Tahoma"/>
            <family val="2"/>
          </rPr>
          <t xml:space="preserve">
https://www.google.com/maps/place/Autos+Gero/@25.8062836,-100.2195174,17z/data=!3m1!4b1!4m6!3m5!1s0x8662ed8c84421ca7:0xe124d415606395c5!8m2!3d25.8062836!4d-100.2195174!16s%2Fg%2F11sn_3lslf?entry=ttu</t>
        </r>
      </text>
    </comment>
    <comment ref="H946" authorId="0" shapeId="0" xr:uid="{00000000-0006-0000-0000-00005D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948" authorId="0" shapeId="0" xr:uid="{00000000-0006-0000-0000-00005E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949" authorId="0" shapeId="0" xr:uid="{00000000-0006-0000-0000-00005F02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950" authorId="0" shapeId="0" xr:uid="{00000000-0006-0000-0000-000060020000}">
      <text>
        <r>
          <rPr>
            <b/>
            <sz val="9"/>
            <color indexed="81"/>
            <rFont val="Tahoma"/>
            <family val="2"/>
          </rPr>
          <t xml:space="preserve">UBITEC:
Av. José Vasconcelos 1501, Zona Valle Poniente, 66240 San Pedro Garza García, N.L.
</t>
        </r>
        <r>
          <rPr>
            <sz val="9"/>
            <color indexed="81"/>
            <rFont val="Tahoma"/>
            <family val="2"/>
          </rPr>
          <t>https://www.google.com/maps/place/PLAZA+EXPRESS/@25.6573335,-100.3934606,17z/data=!3m1!4b1!4m6!3m5!1s0x8662bd9cc95eb025:0x194ca3ebe2ffffa9!8m2!3d25.6573335!4d-100.3908857!16s%2Fg%2F11cm_hq0m_?entry=ttu</t>
        </r>
      </text>
    </comment>
    <comment ref="H951" authorId="0" shapeId="0" xr:uid="{00000000-0006-0000-0000-000061020000}">
      <text>
        <r>
          <rPr>
            <b/>
            <sz val="9"/>
            <color indexed="81"/>
            <rFont val="Tahoma"/>
            <family val="2"/>
          </rPr>
          <t>UBITEC:</t>
        </r>
        <r>
          <rPr>
            <sz val="9"/>
            <color indexed="81"/>
            <rFont val="Tahoma"/>
            <family val="2"/>
          </rPr>
          <t xml:space="preserve">
</t>
        </r>
        <r>
          <rPr>
            <b/>
            <sz val="9"/>
            <color indexed="81"/>
            <rFont val="Tahoma"/>
            <family val="2"/>
          </rPr>
          <t>Domicilio Luis IX 5411, Valle de Los Reyes, 67180 Guadalupe, N.L.</t>
        </r>
        <r>
          <rPr>
            <sz val="9"/>
            <color indexed="81"/>
            <rFont val="Tahoma"/>
            <family val="2"/>
          </rPr>
          <t xml:space="preserve">
https://www.google.com/maps/place/Luis+IX+5411,+Valle+de+Los+Reyes,+67180+Guadalupe,+N.L./@25.6579914,-100.2091046,17z/data=!3m1!4b1!4m6!3m5!1s0x8662c1b7ca5bfddd:0xb17f7308944418f7!8m2!3d25.6579914!4d-100.2065297!16s%2Fg%2F11c4pr5fr6?entry=ttu&amp;g_ep=EgoyMDI0MDgyMy4wIKXMDSoASAFQAw%3D%3D</t>
        </r>
      </text>
    </comment>
    <comment ref="H1045" authorId="0" shapeId="0" xr:uid="{00000000-0006-0000-0000-000062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46" authorId="0" shapeId="0" xr:uid="{00000000-0006-0000-0000-000063020000}">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1050" authorId="0" shapeId="0" xr:uid="{00000000-0006-0000-0000-000064020000}">
      <text>
        <r>
          <rPr>
            <b/>
            <sz val="9"/>
            <color indexed="81"/>
            <rFont val="Tahoma"/>
            <family val="2"/>
          </rPr>
          <t>UBITEC:</t>
        </r>
        <r>
          <rPr>
            <sz val="9"/>
            <color indexed="81"/>
            <rFont val="Tahoma"/>
            <family val="2"/>
          </rPr>
          <t xml:space="preserve">
</t>
        </r>
        <r>
          <rPr>
            <b/>
            <sz val="10"/>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1051" authorId="0" shapeId="0" xr:uid="{00000000-0006-0000-0000-000065020000}">
      <text>
        <r>
          <rPr>
            <b/>
            <sz val="9"/>
            <color indexed="81"/>
            <rFont val="Tahoma"/>
            <family val="2"/>
          </rPr>
          <t>UBITEC:</t>
        </r>
        <r>
          <rPr>
            <sz val="9"/>
            <color indexed="81"/>
            <rFont val="Tahoma"/>
            <family val="2"/>
          </rPr>
          <t xml:space="preserve">
</t>
        </r>
        <r>
          <rPr>
            <b/>
            <sz val="9"/>
            <color indexed="81"/>
            <rFont val="Tahoma"/>
            <family val="2"/>
          </rPr>
          <t>Domicilio Mayo Sur 213, Virginia Tafich, 66374 Cdad. Santa Catarina, N.L.</t>
        </r>
        <r>
          <rPr>
            <sz val="9"/>
            <color indexed="81"/>
            <rFont val="Tahoma"/>
            <family val="2"/>
          </rPr>
          <t xml:space="preserve">
https://www.google.com/maps/place/Mayo+Sur+213,+Virginia+Tafich,+66374+Cdad.+Santa+Catarina,+N.L./@25.6676772,-100.4576308,17z/data=!3m1!4b1!4m6!3m5!1s0x86629809a1cf17d5:0x102d49171bf4622f!8m2!3d25.6676772!4d-100.4550559!16s%2Fg%2F11lmp44f3s?entry=ttu&amp;g_ep=EgoyMDI0MDkxNi4wIKXMDSoASAFQAw%3D%3D</t>
        </r>
      </text>
    </comment>
    <comment ref="H1052" authorId="0" shapeId="0" xr:uid="{00000000-0006-0000-0000-000066020000}">
      <text>
        <r>
          <rPr>
            <b/>
            <sz val="9"/>
            <color indexed="81"/>
            <rFont val="Tahoma"/>
            <family val="2"/>
          </rPr>
          <t>UBITEC:</t>
        </r>
        <r>
          <rPr>
            <sz val="9"/>
            <color indexed="81"/>
            <rFont val="Tahoma"/>
            <family val="2"/>
          </rPr>
          <t xml:space="preserve">
</t>
        </r>
        <r>
          <rPr>
            <b/>
            <sz val="9"/>
            <color indexed="81"/>
            <rFont val="Tahoma"/>
            <family val="2"/>
          </rPr>
          <t>Domicilio Pesquería 703, Nueva Esperanza, 66064 Cdad. Gral. Escobedo, N.L.</t>
        </r>
        <r>
          <rPr>
            <sz val="9"/>
            <color indexed="81"/>
            <rFont val="Tahoma"/>
            <family val="2"/>
          </rPr>
          <t xml:space="preserve"> 
https://www.google.com/maps/place/Pesquer%C3%ADa+703,+Nueva+Esperanza,+66064+Cdad.+Gral.+Escobedo,+N.L./@25.7977883,-100.3961028,17z/data=!3m1!4b1!4m6!3m5!1s0x8662911d4bbced83:0xb0cd17b1a75e55cd!8m2!3d25.7977883!4d-100.3935279!16s%2Fg%2F11cs6g_jrr?entry=ttu&amp;g_ep=EgoyMDI0MDkxNi4wIKXMDSoASAFQAw%3D%3D</t>
        </r>
      </text>
    </comment>
    <comment ref="H1053" authorId="0" shapeId="0" xr:uid="{00000000-0006-0000-0000-000067020000}">
      <text>
        <r>
          <rPr>
            <b/>
            <sz val="9"/>
            <color indexed="81"/>
            <rFont val="Tahoma"/>
            <family val="2"/>
          </rPr>
          <t>UBITEC:</t>
        </r>
        <r>
          <rPr>
            <sz val="9"/>
            <color indexed="81"/>
            <rFont val="Tahoma"/>
            <family val="2"/>
          </rPr>
          <t xml:space="preserve">
</t>
        </r>
        <r>
          <rPr>
            <b/>
            <sz val="10"/>
            <color indexed="81"/>
            <rFont val="Tahoma"/>
            <family val="2"/>
          </rPr>
          <t>Domicilio C. Gonzalitos 540, Centro, 66400 San Nicolás de los Garza, N.L.</t>
        </r>
        <r>
          <rPr>
            <sz val="11"/>
            <color indexed="81"/>
            <rFont val="Tahoma"/>
            <family val="2"/>
          </rPr>
          <t xml:space="preserve">
</t>
        </r>
        <r>
          <rPr>
            <sz val="10"/>
            <color indexed="81"/>
            <rFont val="Tahoma"/>
            <family val="2"/>
          </rPr>
          <t>https://www.google.com/maps/place/C.+Gonzalitos+540,+Centro,+66400+San+Nicol%C3%A1s+de+los+Garza,+N.L./@25.7487557,-100.2853194,18.54z/data=!4m6!3m5!1s0x8662949518fecebb:0x26650d394caa8b7a!8m2!3d25.7489739!4d-100.2847534!16s%2Fg%2F11g6s5ll_2?entry=ttu</t>
        </r>
      </text>
    </comment>
    <comment ref="H1054" authorId="0" shapeId="0" xr:uid="{00000000-0006-0000-0000-000068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55" authorId="0" shapeId="0" xr:uid="{00000000-0006-0000-0000-000069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56" authorId="0" shapeId="0" xr:uid="{00000000-0006-0000-0000-00006A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57" authorId="0" shapeId="0" xr:uid="{00000000-0006-0000-0000-00006B020000}">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1058" authorId="0" shapeId="0" xr:uid="{E0D63F88-5801-46CF-8369-78715BC590AE}">
      <text>
        <r>
          <rPr>
            <b/>
            <sz val="9"/>
            <color indexed="81"/>
            <rFont val="Tahoma"/>
            <family val="2"/>
          </rPr>
          <t>UBITEC:</t>
        </r>
        <r>
          <rPr>
            <sz val="9"/>
            <color indexed="81"/>
            <rFont val="Tahoma"/>
            <family val="2"/>
          </rPr>
          <t xml:space="preserve">
</t>
        </r>
        <r>
          <rPr>
            <sz val="11"/>
            <color indexed="81"/>
            <rFont val="Tahoma"/>
            <family val="2"/>
          </rPr>
          <t>Domicilio Capela 513, San Miguel 3ER Sector Golondrinas, 66640 Cd Apodaca, N.L.</t>
        </r>
      </text>
    </comment>
    <comment ref="H1059" authorId="0" shapeId="0" xr:uid="{00000000-0006-0000-0000-00006C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60" authorId="0" shapeId="0" xr:uid="{00000000-0006-0000-0000-00006D020000}">
      <text>
        <r>
          <rPr>
            <b/>
            <sz val="9"/>
            <color indexed="81"/>
            <rFont val="Tahoma"/>
            <family val="2"/>
          </rPr>
          <t>UBITEC:</t>
        </r>
        <r>
          <rPr>
            <sz val="9"/>
            <color indexed="81"/>
            <rFont val="Tahoma"/>
            <family val="2"/>
          </rPr>
          <t xml:space="preserve">
</t>
        </r>
        <r>
          <rPr>
            <b/>
            <sz val="10"/>
            <color indexed="81"/>
            <rFont val="Tahoma"/>
            <family val="2"/>
          </rPr>
          <t>Domicilio</t>
        </r>
        <r>
          <rPr>
            <sz val="10"/>
            <color indexed="81"/>
            <rFont val="Tahoma"/>
            <family val="2"/>
          </rPr>
          <t xml:space="preserve"> Calle JGLeal 1814 colonia terminal - MPQ3+V4X Monterrey, Nuevo León
https://www.google.com/maps/place/25%C2%B041'23.0%22N+100%C2%B017'49.7%22W/@25.6906692,-100.3031059,15.75z/data=!4m4!3m3!8m2!3d25.6897335!4d-100.2971268?hl=es&amp;entry=ttu&amp;g_ep=EgoyMDI0MDkyOS4wIKXMDSoASAFQAw%3D%3D</t>
        </r>
      </text>
    </comment>
    <comment ref="H1061" authorId="0" shapeId="0" xr:uid="{00000000-0006-0000-0000-00006E020000}">
      <text>
        <r>
          <rPr>
            <b/>
            <sz val="9"/>
            <color indexed="81"/>
            <rFont val="Tahoma"/>
            <family val="2"/>
          </rPr>
          <t>UBITEC:
Domicilio</t>
        </r>
        <r>
          <rPr>
            <sz val="9"/>
            <color indexed="81"/>
            <rFont val="Tahoma"/>
            <family val="2"/>
          </rPr>
          <t xml:space="preserve"> Pedro Maíz 567 / Edificio multiusos
Pedro Maíz 567, La Nogalera 1er Sector, 66417 San Nicolás de los Garza, N.L.
https://www.google.com/maps/place/Pedro+Ma%C3%ADz+567,+La+Nogalera+1er+Sector,+66417+San+Nicol%C3%A1s+de+los+Garza,+N.L./@25.7629849,-100.2744523,20.5z/data=!4m10!1m2!2m1!1sPedro+Maiz+567,+Nogalera+San+Nicolas+de+los+Garza,Cp.66417!3m6!1s0x866294a4546c7ae3:0x3ae1c30fa3b2fbf5!8m2!3d25.7630267!4d-100.2742858!15sCjpQZWRybyBNYWl6IDU2NywgTm9nYWxlcmEgU2FuIE5pY29sYXMgZGUgbG9zIEdhcnphLENwLjY2NDE3kgERY29tcG91bmRfYnVpbGRpbmfgAQA!16s%2Fg%2F11g6_3zhhm?entry=ttu&amp;g_ep=EgoyMDI0MDkyNS4wIKXMDSoASAFQAw%3D%3D</t>
        </r>
      </text>
    </comment>
    <comment ref="H1062" authorId="0" shapeId="0" xr:uid="{00000000-0006-0000-0000-00006F020000}">
      <text>
        <r>
          <rPr>
            <b/>
            <sz val="9"/>
            <color indexed="81"/>
            <rFont val="Tahoma"/>
            <family val="2"/>
          </rPr>
          <t>UBITEC:</t>
        </r>
        <r>
          <rPr>
            <sz val="9"/>
            <color indexed="81"/>
            <rFont val="Tahoma"/>
            <family val="2"/>
          </rPr>
          <t xml:space="preserve">
Domicilio Pedro Maíz 567 / Edificio multiusos
Pedro Maíz 567, La Nogalera 1er Sector, 66417 San Nicolás de los Garza, N.L.
https://www.google.com/maps/place/Pedro+Ma%C3%ADz+567,+La+Nogalera+1er+Sector,+66417+San+Nicol%C3%A1s+de+los+Garza,+N.L./@25.7629849,-100.2744523,20.5z/data=!4m10!1m2!2m1!1sPedro+Maiz+567,+Nogalera+San+Nicolas+de+los+Garza,Cp.66417!3m6!1s0x866294a4546c7ae3:0x3ae1c30fa3b2fbf5!8m2!3d25.7630267!4d-100.2742858!15sCjpQZWRybyBNYWl6IDU2NywgTm9nYWxlcmEgU2FuIE5pY29sYXMgZGUgbG9zIEdhcnphLENwLjY2NDE3kgERY29tcG91bmRfYnVpbGRpbmfgAQA!16s%2Fg%2F11g6_3zhhm?entry=ttu&amp;g_ep=EgoyMDI0MDkyNS4wIKXMDSoASAFQAw%3D%3D</t>
        </r>
      </text>
    </comment>
    <comment ref="H1064" authorId="0" shapeId="0" xr:uid="{00000000-0006-0000-0000-000070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65" authorId="0" shapeId="0" xr:uid="{00000000-0006-0000-0000-000071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66" authorId="0" shapeId="0" xr:uid="{00000000-0006-0000-0000-000072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67" authorId="0" shapeId="0" xr:uid="{00000000-0006-0000-0000-000073020000}">
      <text>
        <r>
          <rPr>
            <b/>
            <sz val="9"/>
            <color indexed="81"/>
            <rFont val="Tahoma"/>
            <family val="2"/>
          </rPr>
          <t>UBITEC:</t>
        </r>
        <r>
          <rPr>
            <sz val="9"/>
            <color indexed="81"/>
            <rFont val="Tahoma"/>
            <family val="2"/>
          </rPr>
          <t xml:space="preserve">
</t>
        </r>
        <r>
          <rPr>
            <b/>
            <sz val="10"/>
            <color indexed="81"/>
            <rFont val="Tahoma"/>
            <family val="2"/>
          </rPr>
          <t>Domicilio</t>
        </r>
        <r>
          <rPr>
            <sz val="10"/>
            <color indexed="81"/>
            <rFont val="Tahoma"/>
            <family val="2"/>
          </rPr>
          <t xml:space="preserve"> 2a. de S. Francisco 1540, Cantú, 64550 Monterrey, N.L. </t>
        </r>
        <r>
          <rPr>
            <sz val="9"/>
            <color indexed="81"/>
            <rFont val="Tahoma"/>
            <family val="2"/>
          </rPr>
          <t xml:space="preserve">
https://www.google.com/maps/place/2a.+de+S.+Francisco+1540,+Cant%C3%BA,+64550+Monterrey,+N.L./@25.6932932,-100.298713,19.25z/data=!4m6!3m5!1s0x866295715bef7ff9:0x6f7b1bdb4b2d0007!8m2!3d25.6933175!4d-100.2982654!16s%2Fg%2F11c1h7qtg6?entry=ttu&amp;g_ep=EgoyMDI0MTAxMy4wIKXMDSoASAFQAw%3D%3D</t>
        </r>
      </text>
    </comment>
    <comment ref="H1068" authorId="0" shapeId="0" xr:uid="{00000000-0006-0000-0000-000074020000}">
      <text>
        <r>
          <rPr>
            <b/>
            <sz val="9"/>
            <color indexed="81"/>
            <rFont val="Tahoma"/>
            <family val="2"/>
          </rPr>
          <t>UBITEC:</t>
        </r>
        <r>
          <rPr>
            <sz val="9"/>
            <color indexed="81"/>
            <rFont val="Tahoma"/>
            <family val="2"/>
          </rPr>
          <t xml:space="preserve">
</t>
        </r>
        <r>
          <rPr>
            <b/>
            <sz val="10"/>
            <color indexed="81"/>
            <rFont val="Tahoma"/>
            <family val="2"/>
          </rPr>
          <t>Domicilio</t>
        </r>
        <r>
          <rPr>
            <sz val="10"/>
            <color indexed="81"/>
            <rFont val="Tahoma"/>
            <family val="2"/>
          </rPr>
          <t xml:space="preserve"> Hda. La Silla 336, Hacienda La Silla, 67199 Guadalupe, N.L. </t>
        </r>
        <r>
          <rPr>
            <sz val="9"/>
            <color indexed="81"/>
            <rFont val="Tahoma"/>
            <family val="2"/>
          </rPr>
          <t xml:space="preserve">
https://www.google.com/maps/place/Hda.+La+Silla+336,+Hacienda+La+Silla,+67199+Guadalupe,+N.L./@25.6484806,-100.1745705,17z/data=!3m1!4b1!4m6!3m5!1s0x8662c187bf579ff9:0xa055c9c8936e3c63!8m2!3d25.6484806!4d-100.1719956!16s%2Fg%2F11dxlbldc8?entry=ttu&amp;g_ep=EgoyMDI0MTAxNC4wIKXMDSoASAFQAw%3D%3D</t>
        </r>
      </text>
    </comment>
    <comment ref="H1069" authorId="0" shapeId="0" xr:uid="{00000000-0006-0000-0000-000075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71" authorId="0" shapeId="0" xr:uid="{00000000-0006-0000-0000-000076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72" authorId="0" shapeId="0" xr:uid="{00000000-0006-0000-0000-000077020000}">
      <text>
        <r>
          <rPr>
            <b/>
            <sz val="9"/>
            <color indexed="81"/>
            <rFont val="Tahoma"/>
            <family val="2"/>
          </rPr>
          <t>UBITEC:</t>
        </r>
        <r>
          <rPr>
            <sz val="9"/>
            <color indexed="81"/>
            <rFont val="Tahoma"/>
            <family val="2"/>
          </rPr>
          <t xml:space="preserve">
</t>
        </r>
        <r>
          <rPr>
            <b/>
            <sz val="10"/>
            <color indexed="81"/>
            <rFont val="Tahoma"/>
            <family val="2"/>
          </rPr>
          <t xml:space="preserve">Domicilio ARio Jamapa 342, 67134 Guadalupe, N.L. 
</t>
        </r>
        <r>
          <rPr>
            <sz val="10"/>
            <color indexed="81"/>
            <rFont val="Tahoma"/>
            <family val="2"/>
          </rPr>
          <t xml:space="preserve">
https://www.google.com/maps/place/Rio+Jamapa+342,+67134+Guadalupe,+N.L./@25.685279,-100.1810751,17z/data=!3m1!4b1!4m6!3m5!1s0x8662ea0779c6f0f3:0xb9f8c1bb6bd576cf!8m2!3d25.685279!4d-100.1785002!16s%2Fg%2F11c74d39r5?entry=ttu&amp;g_ep=EgoyMDI0MTAyMy4wIKXMDSoASAFQAw%3D%3D</t>
        </r>
      </text>
    </comment>
    <comment ref="H1075" authorId="0" shapeId="0" xr:uid="{00000000-0006-0000-0000-000078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76" authorId="0" shapeId="0" xr:uid="{00000000-0006-0000-0000-000079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77" authorId="0" shapeId="0" xr:uid="{00000000-0006-0000-0000-00007A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78" authorId="0" shapeId="0" xr:uid="{00000000-0006-0000-0000-00007B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79" authorId="0" shapeId="0" xr:uid="{00000000-0006-0000-0000-00007C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80" authorId="0" shapeId="0" xr:uid="{00000000-0006-0000-0000-00007D020000}">
      <text>
        <r>
          <rPr>
            <b/>
            <sz val="9"/>
            <color indexed="81"/>
            <rFont val="Tahoma"/>
            <family val="2"/>
          </rPr>
          <t>UBITEC:</t>
        </r>
        <r>
          <rPr>
            <sz val="9"/>
            <color indexed="81"/>
            <rFont val="Tahoma"/>
            <family val="2"/>
          </rPr>
          <t xml:space="preserve">
</t>
        </r>
        <r>
          <rPr>
            <b/>
            <sz val="9"/>
            <color indexed="81"/>
            <rFont val="Tahoma"/>
            <family val="2"/>
          </rPr>
          <t>Domicilio España 1122, Vivienda Digna, 66647 Cdad. Apodaca, N.L.</t>
        </r>
        <r>
          <rPr>
            <sz val="9"/>
            <color indexed="81"/>
            <rFont val="Tahoma"/>
            <family val="2"/>
          </rPr>
          <t xml:space="preserve">
https://www.google.com/maps/place/Espa%C3%B1a+1122,+Vivienda+Digna,+66647+Cdad.+Apodaca,+N.L./@25.7078551,-100.1490771,17z/data=!3m1!4b1!4m6!3m5!1s0x8662e9c049d28deb:0x9ed7596c28cb743f!8m2!3d25.7078551!4d-100.1465022!16s%2Fg%2F11c2d190zw!5m1!1e2?entry=ttu&amp;g_ep=EgoyMDI0MTExMy4xIKXMDSoASAFQAw%3D%3D</t>
        </r>
      </text>
    </comment>
    <comment ref="H1081" authorId="0" shapeId="0" xr:uid="{00000000-0006-0000-0000-00007E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83" authorId="0" shapeId="0" xr:uid="{00000000-0006-0000-0000-00007F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84" authorId="0" shapeId="0" xr:uid="{00000000-0006-0000-0000-000080020000}">
      <text>
        <r>
          <rPr>
            <b/>
            <sz val="9"/>
            <color indexed="81"/>
            <rFont val="Tahoma"/>
            <family val="2"/>
          </rPr>
          <t>UBITEC:</t>
        </r>
        <r>
          <rPr>
            <sz val="9"/>
            <color indexed="81"/>
            <rFont val="Tahoma"/>
            <family val="2"/>
          </rPr>
          <t xml:space="preserve">
</t>
        </r>
        <r>
          <rPr>
            <b/>
            <sz val="10"/>
            <color indexed="81"/>
            <rFont val="Tahoma"/>
            <family val="2"/>
          </rPr>
          <t>Domicilio</t>
        </r>
        <r>
          <rPr>
            <sz val="10"/>
            <color indexed="81"/>
            <rFont val="Tahoma"/>
            <family val="2"/>
          </rPr>
          <t xml:space="preserve"> - Monte Fuji 110, 66024 Mitras Poniente, N.L.</t>
        </r>
        <r>
          <rPr>
            <sz val="9"/>
            <color indexed="81"/>
            <rFont val="Tahoma"/>
            <family val="2"/>
          </rPr>
          <t xml:space="preserve">
https://www.google.com/maps/place/Monte+Fuji+110,+66024+Mitras+Poniente,+N.L./@25.7733502,-100.4410872,17z/data=!3m1!4b1!4m5!3m4!1s0x866290a7bdc7d75f:0xececbc3edd1666a1!8m2!3d25.7733502!4d-100.4385123!5m1!1e2?entry=ttu&amp;g_ep=EgoyMDI0MTExOS4yIKXMDSoASAFQAw%3D%3D</t>
        </r>
      </text>
    </comment>
    <comment ref="H1085" authorId="0" shapeId="0" xr:uid="{00000000-0006-0000-0000-000081020000}">
      <text>
        <r>
          <rPr>
            <b/>
            <sz val="9"/>
            <color indexed="81"/>
            <rFont val="Tahoma"/>
            <family val="2"/>
          </rPr>
          <t>UBITEC:</t>
        </r>
        <r>
          <rPr>
            <sz val="9"/>
            <color indexed="81"/>
            <rFont val="Tahoma"/>
            <family val="2"/>
          </rPr>
          <t xml:space="preserve">
</t>
        </r>
        <r>
          <rPr>
            <b/>
            <sz val="10"/>
            <color indexed="81"/>
            <rFont val="Tahoma"/>
            <family val="2"/>
          </rPr>
          <t>Domicilio Av. Tolteca 2505-2305, Tolteca, 67175 Guadalupe, N.L.</t>
        </r>
        <r>
          <rPr>
            <sz val="10"/>
            <color indexed="81"/>
            <rFont val="Tahoma"/>
            <family val="2"/>
          </rPr>
          <t xml:space="preserve">
https://www.google.com/maps/place/Av.+Tolteca+2505-2305,+Tolteca,+67175+Guadalupe,+N.L./@25.6643037,-100.2418166,17z/data=!3m1!4b1!4m5!3m4!1s0x8662c016412064a5:0x5fd05e868f292647!8m2!3d25.6643037!4d-100.2392417?entry=ttu</t>
        </r>
      </text>
    </comment>
    <comment ref="H1087" authorId="0" shapeId="0" xr:uid="{00000000-0006-0000-0000-000082020000}">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1088" authorId="0" shapeId="0" xr:uid="{00000000-0006-0000-0000-000083020000}">
      <text>
        <r>
          <rPr>
            <b/>
            <sz val="9"/>
            <color indexed="81"/>
            <rFont val="Tahoma"/>
            <family val="2"/>
          </rPr>
          <t>UBITEC:
Domicilio C. Washington 2000, Obrera, 64010 Monterrey, N.L.</t>
        </r>
        <r>
          <rPr>
            <sz val="9"/>
            <color indexed="81"/>
            <rFont val="Tahoma"/>
            <family val="2"/>
          </rPr>
          <t xml:space="preserve">
</t>
        </r>
        <r>
          <rPr>
            <sz val="8"/>
            <color indexed="81"/>
            <rFont val="Tahoma"/>
            <family val="2"/>
          </rPr>
          <t>https://www.google.com/maps/place/Pabell%C3%B3n+Ciudadano/@25.6759904,-100.2918351,15z/data=!4m6!3m5!1s0x8662bfd86cdf6d0b:0x7d930941e57f3d7f!8m2!3d25.6759904!4d-100.2918351!16s%2Fg%2F11b77pykhv?entry=ttu&amp;g_ep=EgoyMDI0MTEyNC4xIKXMDSoASAFQAw%3D%3D</t>
        </r>
      </text>
    </comment>
    <comment ref="H1089" authorId="0" shapeId="0" xr:uid="{00000000-0006-0000-0000-000084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90" authorId="0" shapeId="0" xr:uid="{00000000-0006-0000-0000-000085020000}">
      <text>
        <r>
          <rPr>
            <b/>
            <sz val="9"/>
            <color indexed="81"/>
            <rFont val="Tahoma"/>
            <family val="2"/>
          </rPr>
          <t>UBITEC:</t>
        </r>
        <r>
          <rPr>
            <sz val="9"/>
            <color indexed="81"/>
            <rFont val="Tahoma"/>
            <family val="2"/>
          </rPr>
          <t xml:space="preserve">
</t>
        </r>
        <r>
          <rPr>
            <b/>
            <sz val="9"/>
            <color indexed="81"/>
            <rFont val="Tahoma"/>
            <family val="2"/>
          </rPr>
          <t>Domicilio Los Cactus 222, 66649 Cdad. Apodaca, N.L.</t>
        </r>
        <r>
          <rPr>
            <sz val="9"/>
            <color indexed="81"/>
            <rFont val="Tahoma"/>
            <family val="2"/>
          </rPr>
          <t xml:space="preserve">
</t>
        </r>
        <r>
          <rPr>
            <sz val="8"/>
            <color indexed="81"/>
            <rFont val="Tahoma"/>
            <family val="2"/>
          </rPr>
          <t>https://www.google.com/maps/place/Los+Cactus+222,+66649+Cdad.+Apodaca,+N.L./@25.7142414,-100.1845363,17z/data=!3m1!4b1!4m10!1m2!2m1!1sLOS+CACTUS+222,+Golondrinas,+C.P.+66649+Ciudad+Apodaca+Nuevo+Le%C3%B3n!3m6!1s0x8662ea2499231c57:0x40d31ce7d6c21370!8m2!3d25.7142366!4d-100.1799229!15sCkJMT1MgQ0FDVFVTIDIyMiwgR29sb25kcmluYXMsIEMuUC4gNjY2NDkgQ2l1ZGFkIEFwb2RhY2EgTnVldm8gTGXDs26SARFjb21wb3VuZF9idWlsZGluZ-ABAA!16s%2Fg%2F11w7q53556!5m1!1e2?entry=ttu&amp;g_ep=EgoyMDI0MTIwNC4wIKXMDSoASAFQAw%3D%3D</t>
        </r>
      </text>
    </comment>
    <comment ref="H1091" authorId="0" shapeId="0" xr:uid="{00000000-0006-0000-0000-000086020000}">
      <text>
        <r>
          <rPr>
            <b/>
            <sz val="9"/>
            <color indexed="81"/>
            <rFont val="Tahoma"/>
            <family val="2"/>
          </rPr>
          <t>UBITEC:</t>
        </r>
        <r>
          <rPr>
            <sz val="9"/>
            <color indexed="81"/>
            <rFont val="Tahoma"/>
            <family val="2"/>
          </rPr>
          <t xml:space="preserve">
</t>
        </r>
        <r>
          <rPr>
            <b/>
            <sz val="9"/>
            <color indexed="81"/>
            <rFont val="Tahoma"/>
            <family val="2"/>
          </rPr>
          <t>Domicilio - Golondrina 242, 67266 Cdad. Benito Juárez, N.L.</t>
        </r>
        <r>
          <rPr>
            <sz val="9"/>
            <color indexed="81"/>
            <rFont val="Tahoma"/>
            <family val="2"/>
          </rPr>
          <t xml:space="preserve">
</t>
        </r>
        <r>
          <rPr>
            <sz val="8"/>
            <color indexed="81"/>
            <rFont val="Tahoma"/>
            <family val="2"/>
          </rPr>
          <t>https://www.google.com/maps/place/Golondrina+242,+67266+Cdad.+Benito+Ju%C3%A1rez,+N.L./@25.6275402,-100.1159192,17z/data=!3m1!4b1!4m6!3m5!1s0x8662c311cc8b437d:0x9a382fd8d2c1df93!8m2!3d25.6275402!4d-100.1133443!16s%2Fg%2F11tb2wpg2q!5m1!1e2?entry=ttu&amp;g_ep=EgoyMDI0MTIwNC4wIKXMDSoASAFQAw%3D%3D</t>
        </r>
        <r>
          <rPr>
            <sz val="9"/>
            <color indexed="81"/>
            <rFont val="Tahoma"/>
            <family val="2"/>
          </rPr>
          <t xml:space="preserve">
</t>
        </r>
      </text>
    </comment>
    <comment ref="H1092" authorId="0" shapeId="0" xr:uid="{00000000-0006-0000-0000-000087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93" authorId="0" shapeId="0" xr:uid="{00000000-0006-0000-0000-000088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95" authorId="0" shapeId="0" xr:uid="{00000000-0006-0000-0000-000089020000}">
      <text>
        <r>
          <rPr>
            <b/>
            <sz val="9"/>
            <color indexed="81"/>
            <rFont val="Tahoma"/>
            <family val="2"/>
          </rPr>
          <t>UBITEC:</t>
        </r>
        <r>
          <rPr>
            <sz val="9"/>
            <color indexed="81"/>
            <rFont val="Tahoma"/>
            <family val="2"/>
          </rPr>
          <t xml:space="preserve">
</t>
        </r>
        <r>
          <rPr>
            <b/>
            <sz val="10"/>
            <color indexed="81"/>
            <rFont val="Tahoma"/>
            <family val="2"/>
          </rPr>
          <t>Domicilio - Av. José Vasconcelos 1501, Zona Valle Poniente, 66240 San Pedro Garza García, N.L.</t>
        </r>
        <r>
          <rPr>
            <sz val="9"/>
            <color indexed="81"/>
            <rFont val="Tahoma"/>
            <family val="2"/>
          </rPr>
          <t xml:space="preserve">
https://www.google.com/maps/place/PLAZA+EXPRESS/@25.6573335,-100.3934606,17z/data=!3m1!4b1!4m6!3m5!1s0x8662bd9cc95eb025:0x194ca3ebe2ffffa9!8m2!3d25.6573335!4d-100.3908857!16s%2Fg%2F11cm_hq0m_?entry=ttu</t>
        </r>
      </text>
    </comment>
    <comment ref="H1096" authorId="0" shapeId="0" xr:uid="{00000000-0006-0000-0000-00008A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97" authorId="0" shapeId="0" xr:uid="{00000000-0006-0000-0000-00008B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98" authorId="0" shapeId="0" xr:uid="{00000000-0006-0000-0000-00008C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099" authorId="0" shapeId="0" xr:uid="{00000000-0006-0000-0000-00008D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100" authorId="0" shapeId="0" xr:uid="{00000000-0006-0000-0000-00008E020000}">
      <text>
        <r>
          <rPr>
            <b/>
            <sz val="9"/>
            <color indexed="81"/>
            <rFont val="Tahoma"/>
            <family val="2"/>
          </rPr>
          <t>UBITEC:</t>
        </r>
        <r>
          <rPr>
            <sz val="9"/>
            <color indexed="81"/>
            <rFont val="Tahoma"/>
            <family val="2"/>
          </rPr>
          <t xml:space="preserve">
</t>
        </r>
        <r>
          <rPr>
            <b/>
            <sz val="9"/>
            <color indexed="81"/>
            <rFont val="Tahoma"/>
            <family val="2"/>
          </rPr>
          <t>Domicilio</t>
        </r>
        <r>
          <rPr>
            <sz val="9"/>
            <color indexed="81"/>
            <rFont val="Tahoma"/>
            <family val="2"/>
          </rPr>
          <t xml:space="preserve"> </t>
        </r>
        <r>
          <rPr>
            <b/>
            <sz val="9"/>
            <color indexed="81"/>
            <rFont val="Tahoma"/>
            <family val="2"/>
          </rPr>
          <t>Luis IX 5411, Valle de Los Reyes, 67180 Guadalupe, N.L.</t>
        </r>
        <r>
          <rPr>
            <sz val="8"/>
            <color indexed="81"/>
            <rFont val="Tahoma"/>
            <family val="2"/>
          </rPr>
          <t xml:space="preserve">
</t>
        </r>
        <r>
          <rPr>
            <sz val="9"/>
            <color indexed="81"/>
            <rFont val="Tahoma"/>
            <family val="2"/>
          </rPr>
          <t xml:space="preserve">
https://www.google.com/maps/place/Luis+IX+5411,+Valle+de+Los+Reyes,+67180+Guadalupe,+N.L./@25.6579914,-100.2091046,17z/data=!3m1!4b1!4m6!3m5!1s0x8662c1b7ca5bfddd:0xb17f7308944418f7!8m2!3d25.6579914!4d-100.2065297!16s%2Fg%2F11c4pr5fr6!5m1!1e2?entry=ttu&amp;g_ep=EgoyMDI1MDEwMS4wIKXMDSoASAFQAw%3D%3D</t>
        </r>
      </text>
    </comment>
    <comment ref="H1101" authorId="0" shapeId="0" xr:uid="{00000000-0006-0000-0000-00008F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102" authorId="0" shapeId="0" xr:uid="{00000000-0006-0000-0000-000090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J1104" authorId="0" shapeId="0" xr:uid="{00000000-0006-0000-0000-000091020000}">
      <text>
        <r>
          <rPr>
            <b/>
            <sz val="9"/>
            <color indexed="81"/>
            <rFont val="Tahoma"/>
            <family val="2"/>
          </rPr>
          <t>UBITEC:</t>
        </r>
        <r>
          <rPr>
            <sz val="9"/>
            <color indexed="81"/>
            <rFont val="Tahoma"/>
            <family val="2"/>
          </rPr>
          <t xml:space="preserve">
</t>
        </r>
        <r>
          <rPr>
            <b/>
            <sz val="10"/>
            <color indexed="81"/>
            <rFont val="Tahoma"/>
            <family val="2"/>
          </rPr>
          <t>Domicilio</t>
        </r>
        <r>
          <rPr>
            <sz val="10"/>
            <color indexed="81"/>
            <rFont val="Tahoma"/>
            <family val="2"/>
          </rPr>
          <t xml:space="preserve"> Hacienda de San Pastor 307, Villas de la Hacienda, 67288 Jardines de la Silla, N.L.</t>
        </r>
        <r>
          <rPr>
            <sz val="9"/>
            <color indexed="81"/>
            <rFont val="Tahoma"/>
            <family val="2"/>
          </rPr>
          <t xml:space="preserve">
https://www.google.com/maps/place/Hacienda+de+San+Pastor+307,+Villas+de+la+Hacienda,+67288+Jardines+de+la+Silla,+N.L./@25.6341717,-100.1668856,17z/data=!3m1!4b1!4m6!3m5!1s0x8662c3d3f390a5b3:0xff4c78c85aa93c73!8m2!3d25.6341717!4d-100.1643107!16s%2Fg%2F11y7ffn2qf!5m1!1e2?entry=ttu&amp;g_ep=EgoyMDI1MDExMC4wIKXMDSoASAFQAw%3D%3D</t>
        </r>
      </text>
    </comment>
    <comment ref="H1105" authorId="2" shapeId="0" xr:uid="{A7FAC765-9DC9-492D-B61E-25524E7192B9}">
      <text>
        <r>
          <rPr>
            <b/>
            <sz val="9"/>
            <color indexed="81"/>
            <rFont val="Tahoma"/>
            <family val="2"/>
          </rPr>
          <t>LENOVO:</t>
        </r>
        <r>
          <rPr>
            <sz val="9"/>
            <color indexed="81"/>
            <rFont val="Tahoma"/>
            <family val="2"/>
          </rPr>
          <t xml:space="preserve">
</t>
        </r>
        <r>
          <rPr>
            <sz val="10"/>
            <color indexed="81"/>
            <rFont val="Tahoma"/>
            <family val="2"/>
          </rPr>
          <t>Domicilio C. Gardenia 105-135, 66648 Cdad. Apodaca, N.L.</t>
        </r>
        <r>
          <rPr>
            <sz val="9"/>
            <color indexed="81"/>
            <rFont val="Tahoma"/>
            <family val="2"/>
          </rPr>
          <t xml:space="preserve">
https://www.google.com/maps/place/C.+Gardenia+105-135,+66648+Cdad.+Apodaca,+N.L./@25.7213182,-100.1742878,18z/data=!3m1!4b1!4m6!3m5!1s0x8662ea2861936655:0x2c11c74701bc6b13!8m2!3d25.7213158!4d-100.1730003!16s%2Fg%2F11g63dbjkh!5m1!1e2?entry=ttu&amp;g_ep=EgoyMDI1MDExMC4wIKXMDSoASAFQAw%3D%3D</t>
        </r>
      </text>
    </comment>
    <comment ref="H1107" authorId="0" shapeId="0" xr:uid="{00000000-0006-0000-0000-000093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108" authorId="0" shapeId="0" xr:uid="{00000000-0006-0000-0000-000094020000}">
      <text>
        <r>
          <rPr>
            <b/>
            <sz val="9"/>
            <color indexed="81"/>
            <rFont val="Tahoma"/>
            <family val="2"/>
          </rPr>
          <t>UBITEC:</t>
        </r>
        <r>
          <rPr>
            <sz val="9"/>
            <color indexed="81"/>
            <rFont val="Tahoma"/>
            <family val="2"/>
          </rPr>
          <t xml:space="preserve">
</t>
        </r>
        <r>
          <rPr>
            <b/>
            <sz val="9"/>
            <color indexed="81"/>
            <rFont val="Tahoma"/>
            <family val="2"/>
          </rPr>
          <t>Domicilio Coorporativo Apfel - Plaza Express
Plaza Express, local 7 C. Vasconcelos 1501 7C Pte., 66226 San Pedro Garza García, Nuevo León, México</t>
        </r>
        <r>
          <rPr>
            <sz val="9"/>
            <color indexed="81"/>
            <rFont val="Tahoma"/>
            <family val="2"/>
          </rPr>
          <t xml:space="preserve">
https://www.google.com/maps/place/25%C2%B039'26.3%22N+100%C2%B023'26.8%22W/@25.6573029,-100.3933525,17z/data=!3m1!4b1!4m4!3m3!8m2!3d25.6573029!4d-100.3907776!5m1!1e2?hl=es&amp;entry=ttu&amp;g_ep=EgoyMDI1MDEyMC4wIKXMDSoASAFQAw%3D%3D</t>
        </r>
      </text>
    </comment>
    <comment ref="H1109" authorId="0" shapeId="0" xr:uid="{00000000-0006-0000-0000-000095020000}">
      <text>
        <r>
          <rPr>
            <b/>
            <sz val="9"/>
            <color indexed="81"/>
            <rFont val="Tahoma"/>
            <family val="2"/>
          </rPr>
          <t>UBITEC:</t>
        </r>
        <r>
          <rPr>
            <sz val="9"/>
            <color indexed="81"/>
            <rFont val="Tahoma"/>
            <family val="2"/>
          </rPr>
          <t xml:space="preserve">
</t>
        </r>
        <r>
          <rPr>
            <b/>
            <sz val="9"/>
            <color indexed="81"/>
            <rFont val="Tahoma"/>
            <family val="2"/>
          </rPr>
          <t>Domicilio Prolongacion Melchor Ocampo 109, Revolución, Hidalgo Centro, 65600 Hidalgo, N.L.</t>
        </r>
        <r>
          <rPr>
            <sz val="9"/>
            <color indexed="81"/>
            <rFont val="Tahoma"/>
            <family val="2"/>
          </rPr>
          <t xml:space="preserve">
https://www.google.com/maps/place/Prolongacion+Melchor+Ocampo+109,+Revoluci%C3%B3n,+Hidalgo+Centro,+65600+Hidalgo,+N.L./@25.9931776,-100.4534503,14z/data=!4m6!3m5!1s0x86628622e70bf6bb:0x43e968eec6ef7515!8m2!3d25.9717982!4d-100.4493837!16s%2Fg%2F11hbqcjf14!5m1!1e2?entry=ttu&amp;g_ep=EgoyMDI1MDEyMC4wIKXMDSoASAFQAw%3D%3D</t>
        </r>
      </text>
    </comment>
    <comment ref="H1110" authorId="0" shapeId="0" xr:uid="{00000000-0006-0000-0000-000096020000}">
      <text>
        <r>
          <rPr>
            <b/>
            <sz val="9"/>
            <color indexed="81"/>
            <rFont val="Tahoma"/>
            <family val="2"/>
          </rPr>
          <t>UBITEC:</t>
        </r>
        <r>
          <rPr>
            <sz val="9"/>
            <color indexed="81"/>
            <rFont val="Tahoma"/>
            <family val="2"/>
          </rPr>
          <t xml:space="preserve">
</t>
        </r>
        <r>
          <rPr>
            <b/>
            <sz val="9"/>
            <color indexed="81"/>
            <rFont val="Tahoma"/>
            <family val="2"/>
          </rPr>
          <t>Domicilio Honduras 134, Centro América, 67117 Guadalupe, N.L.</t>
        </r>
        <r>
          <rPr>
            <sz val="9"/>
            <color indexed="81"/>
            <rFont val="Tahoma"/>
            <family val="2"/>
          </rPr>
          <t xml:space="preserve">
https://www.google.com/maps/place/Honduras+134,+Centro+Am%C3%A9rica,+67117+Guadalupe,+N.L./@25.7293305,-100.1913615,17z/data=!3m1!4b1!4m6!3m5!1s0x8662ea34c73249ab:0x88606a6e11dcaf1e!8m2!3d25.7293305!4d-100.1887866!16s%2Fg%2F11c23hjjgb!5m1!1e2?entry=ttu&amp;g_ep=EgoyMDI1MDEyMC4wIKXMDSoASAFQAw%3D%3D</t>
        </r>
      </text>
    </comment>
    <comment ref="H1111" authorId="0" shapeId="0" xr:uid="{00000000-0006-0000-0000-000097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112" authorId="0" shapeId="0" xr:uid="{00000000-0006-0000-0000-000098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113" authorId="0" shapeId="0" xr:uid="{00000000-0006-0000-0000-000099020000}">
      <text>
        <r>
          <rPr>
            <b/>
            <sz val="9"/>
            <color indexed="81"/>
            <rFont val="Tahoma"/>
            <family val="2"/>
          </rPr>
          <t>UBITEC:</t>
        </r>
        <r>
          <rPr>
            <sz val="9"/>
            <color indexed="81"/>
            <rFont val="Tahoma"/>
            <family val="2"/>
          </rPr>
          <t xml:space="preserve">
Domicilio Belfort 138, Benito Juárez, 67277 Cdad. Benito Juárez, N.L.
https://www.google.com/maps/place/Belfort+138,+Benito+Ju%C3%A1rez,+67277+Cdad.+Benito+Ju%C3%A1rez,+N.L./@25.6537735,-100.1366885,17z/data=!3m1!4b1!4m6!3m5!1s0x8662c25a8bc94df7:0xc5bb6871c995457e!8m2!3d25.6537735!4d-100.1341136!16s%2Fg%2F11w7q45lph!5m1!1e2?entry=ttu&amp;g_ep=EgoyMDI1MDEyMS4wIKXMDSoASAFQAw%3D%3D</t>
        </r>
      </text>
    </comment>
    <comment ref="H1114" authorId="0" shapeId="0" xr:uid="{00000000-0006-0000-0000-00009A020000}">
      <text>
        <r>
          <rPr>
            <b/>
            <sz val="9"/>
            <color indexed="81"/>
            <rFont val="Tahoma"/>
            <family val="2"/>
          </rPr>
          <t>UBITEC:</t>
        </r>
        <r>
          <rPr>
            <sz val="9"/>
            <color indexed="81"/>
            <rFont val="Tahoma"/>
            <family val="2"/>
          </rPr>
          <t xml:space="preserve">
</t>
        </r>
        <r>
          <rPr>
            <b/>
            <sz val="9"/>
            <color indexed="81"/>
            <rFont val="Tahoma"/>
            <family val="2"/>
          </rPr>
          <t xml:space="preserve">Domicilio Diana Laura Riojas de Colosio 618, Popular, 66550 Carmen, N.L. </t>
        </r>
        <r>
          <rPr>
            <sz val="9"/>
            <color indexed="81"/>
            <rFont val="Tahoma"/>
            <family val="2"/>
          </rPr>
          <t xml:space="preserve">
https://www.google.com/maps/place/Diana+Laura+Riojas+de+Colosio+618,+Popular,+66550+Carmen,+N.L./@25.9376933,-100.3585596,17z/data=!3m1!4b1!4m6!3m5!1s0x86628ea42e43b74f:0x85693369f888e204!8m2!3d25.9376933!4d-100.3559847!16s%2Fg%2F11wb1sl49k!5m1!1e2?entry=ttu&amp;g_ep=EgoyMDI1MDEyMS4wIKXMDSoASAFQAw%3D%3D</t>
        </r>
      </text>
    </comment>
    <comment ref="H1115" authorId="0" shapeId="0" xr:uid="{00000000-0006-0000-0000-00009B020000}">
      <text>
        <r>
          <rPr>
            <b/>
            <sz val="9"/>
            <color indexed="81"/>
            <rFont val="Tahoma"/>
            <family val="2"/>
          </rPr>
          <t>UBITEC:</t>
        </r>
        <r>
          <rPr>
            <sz val="9"/>
            <color indexed="81"/>
            <rFont val="Tahoma"/>
            <family val="2"/>
          </rPr>
          <t xml:space="preserve">
Domicilio Belfort 138, Benito Juárez, 67277 Cdad. Benito Juárez, N.L.
https://www.google.com/maps/place/Belfort+138,+Benito+Ju%C3%A1rez,+67277+Cdad.+Benito+Ju%C3%A1rez,+N.L./@25.6537735,-100.1366885,17z/data=!3m1!4b1!4m6!3m5!1s0x8662c25a8bc94df7:0xc5bb6871c995457e!8m2!3d25.6537735!4d-100.1341136!16s%2Fg%2F11w7q45lph!5m1!1e2?entry=ttu&amp;g_ep=EgoyMDI1MDEyMS4wIKXMDSoASAFQAw%3D%3D</t>
        </r>
      </text>
    </comment>
    <comment ref="H1116" authorId="0" shapeId="0" xr:uid="{00000000-0006-0000-0000-00009C020000}">
      <text>
        <r>
          <rPr>
            <b/>
            <sz val="9"/>
            <color indexed="81"/>
            <rFont val="Tahoma"/>
            <family val="2"/>
          </rPr>
          <t>UBITEC:</t>
        </r>
        <r>
          <rPr>
            <sz val="9"/>
            <color indexed="81"/>
            <rFont val="Tahoma"/>
            <family val="2"/>
          </rPr>
          <t xml:space="preserve">
</t>
        </r>
        <r>
          <rPr>
            <b/>
            <sz val="9"/>
            <color indexed="81"/>
            <rFont val="Tahoma"/>
            <family val="2"/>
          </rPr>
          <t>Domicilio C. Alcala 113a, Col Paseo de Guadalupe, 67199 Guadalupe, N.L.</t>
        </r>
        <r>
          <rPr>
            <sz val="9"/>
            <color indexed="81"/>
            <rFont val="Tahoma"/>
            <family val="2"/>
          </rPr>
          <t xml:space="preserve">
https://www.google.com/maps/place/C.+Alcala+113a,+Col+Paseo+de+Guadalupe,+67199+Guadalupe,+N.L./@25.6563407,-100.1654636,17z/data=!3m1!4b1!4m6!3m5!1s0x8662c22475df525f:0x56b2fc2f3412d1bc!8m2!3d25.6563407!4d-100.1628887!16s%2Fg%2F11h554p3bc!5m1!1e2?entry=ttu&amp;g_ep=EgoyMDI1MDEyMS4wIKXMDSoASAFQAw%3D%3D
</t>
        </r>
      </text>
    </comment>
    <comment ref="H1117" authorId="0" shapeId="0" xr:uid="{00000000-0006-0000-0000-00009D020000}">
      <text>
        <r>
          <rPr>
            <b/>
            <sz val="9"/>
            <color indexed="81"/>
            <rFont val="Tahoma"/>
            <family val="2"/>
          </rPr>
          <t>UBITEC:</t>
        </r>
        <r>
          <rPr>
            <sz val="9"/>
            <color indexed="81"/>
            <rFont val="Tahoma"/>
            <family val="2"/>
          </rPr>
          <t xml:space="preserve">
</t>
        </r>
        <r>
          <rPr>
            <b/>
            <sz val="9"/>
            <color indexed="81"/>
            <rFont val="Tahoma"/>
            <family val="2"/>
          </rPr>
          <t>Domicilio Flamingos 203, 66640 Cdad. Apodaca, N.L.</t>
        </r>
        <r>
          <rPr>
            <sz val="9"/>
            <color indexed="81"/>
            <rFont val="Tahoma"/>
            <family val="2"/>
          </rPr>
          <t xml:space="preserve">
https://www.google.com/maps/place/Flamingos+203,+66640+Cdad.+Apodaca,+N.L./@25.7276533,-100.1808647,17z/data=!3m1!4b1!4m6!3m5!1s0x8662ea2c45c2f547:0xb5de5b93b17024da!8m2!3d25.7276533!4d-100.1782898!16s%2Fg%2F11c6_jjw47!5m1!1e2?entry=ttu&amp;g_ep=EgoyMDI1MDEyMi4wIKXMDSoASAFQAw%3D%3D</t>
        </r>
      </text>
    </comment>
    <comment ref="H1118" authorId="0" shapeId="0" xr:uid="{00000000-0006-0000-0000-00009E020000}">
      <text>
        <r>
          <rPr>
            <b/>
            <sz val="9"/>
            <color indexed="81"/>
            <rFont val="Tahoma"/>
            <family val="2"/>
          </rPr>
          <t>UBITEC:</t>
        </r>
        <r>
          <rPr>
            <sz val="9"/>
            <color indexed="81"/>
            <rFont val="Tahoma"/>
            <family val="2"/>
          </rPr>
          <t xml:space="preserve">
</t>
        </r>
        <r>
          <rPr>
            <b/>
            <sz val="9"/>
            <color indexed="81"/>
            <rFont val="Tahoma"/>
            <family val="2"/>
          </rPr>
          <t>Domicilio Autos Villarreal - Compra y venta de autos
Centro, 66400 San Nicolás de los Garza, N.L.</t>
        </r>
        <r>
          <rPr>
            <sz val="9"/>
            <color indexed="81"/>
            <rFont val="Tahoma"/>
            <family val="2"/>
          </rPr>
          <t xml:space="preserve">
https://www.google.com/maps/place/Compra+y+venta+de+autos/@25.7561693,-100.2958786,21z/data=!4m14!1m7!3m6!1s0x866295003ea79c2f:0x37340bfc10f5d99b!2sCompra+y+venta+de+autos!8m2!3d25.7561607!4d-100.295776!16s%2Fg%2F11lnnbj08k!3m5!1s0x866295003ea79c2f:0x37340bfc10f5d99b!8m2!3d25.7561607!4d-100.295776!16s%2Fg%2F11lnnbj08k?entry=ttu&amp;g_ep=EgoyMDI1MDEyMi4wIKXMDSoASAFQAw%3D%3D</t>
        </r>
      </text>
    </comment>
    <comment ref="H1119" authorId="0" shapeId="0" xr:uid="{00000000-0006-0000-0000-00009F020000}">
      <text>
        <r>
          <rPr>
            <b/>
            <sz val="9"/>
            <color indexed="81"/>
            <rFont val="Tahoma"/>
            <family val="2"/>
          </rPr>
          <t>UBITEC:</t>
        </r>
        <r>
          <rPr>
            <sz val="9"/>
            <color indexed="81"/>
            <rFont val="Tahoma"/>
            <family val="2"/>
          </rPr>
          <t xml:space="preserve">
</t>
        </r>
        <r>
          <rPr>
            <b/>
            <sz val="9"/>
            <color indexed="81"/>
            <rFont val="Tahoma"/>
            <family val="2"/>
          </rPr>
          <t>C. 11 Pte. 521, Adolfo Lopez Mateos INFONAVIT, 66360 Cdad. Santa Catarina, N.L.</t>
        </r>
        <r>
          <rPr>
            <sz val="9"/>
            <color indexed="81"/>
            <rFont val="Tahoma"/>
            <family val="2"/>
          </rPr>
          <t xml:space="preserve">
https://www.google.com/maps/place/C.+11+Pte.+521,+Adolfo+Lopez+Mateos+INFONAVIT,+66360+Cdad.+Santa+Catarina,+N.L./@25.691694,-100.4559762,18.5z/data=!4m6!3m5!1s0x8662983c4861dfbb:0x19e761cf9bfca70!8m2!3d25.6919616!4d-100.4549394!16s%2Fg%2F11cp9bs9xr?entry=ttu&amp;g_ep=EgoyMDI1MDEyMi4wIKXMDSoASAFQAw%3D%3D</t>
        </r>
      </text>
    </comment>
    <comment ref="H1120" authorId="0" shapeId="0" xr:uid="{00000000-0006-0000-0000-0000A0020000}">
      <text>
        <r>
          <rPr>
            <b/>
            <sz val="9"/>
            <color indexed="81"/>
            <rFont val="Tahoma"/>
            <family val="2"/>
          </rPr>
          <t>UBITEC:</t>
        </r>
        <r>
          <rPr>
            <sz val="9"/>
            <color indexed="81"/>
            <rFont val="Tahoma"/>
            <family val="2"/>
          </rPr>
          <t xml:space="preserve">
</t>
        </r>
        <r>
          <rPr>
            <b/>
            <sz val="9"/>
            <color indexed="81"/>
            <rFont val="Tahoma"/>
            <family val="2"/>
          </rPr>
          <t>C. 11 Pte. 521, Adolfo Lopez Mateos INFONAVIT, 66360 Cdad. Santa Catarina, N.L.</t>
        </r>
        <r>
          <rPr>
            <sz val="9"/>
            <color indexed="81"/>
            <rFont val="Tahoma"/>
            <family val="2"/>
          </rPr>
          <t xml:space="preserve">
https://www.google.com/maps/place/C.+11+Pte.+521,+Adolfo+Lopez+Mateos+INFONAVIT,+66360+Cdad.+Santa+Catarina,+N.L./@25.691694,-100.4559762,18.5z/data=!4m6!3m5!1s0x8662983c4861dfbb:0x19e761cf9bfca70!8m2!3d25.6919616!4d-100.4549394!16s%2Fg%2F11cp9bs9xr?entry=ttu&amp;g_ep=EgoyMDI1MDEyMi4wIKXMDSoASAFQAw%3D%3D</t>
        </r>
      </text>
    </comment>
    <comment ref="H1122" authorId="0" shapeId="0" xr:uid="{00000000-0006-0000-0000-0000A1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123" authorId="0" shapeId="0" xr:uid="{00000000-0006-0000-0000-0000A2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124" authorId="0" shapeId="0" xr:uid="{00000000-0006-0000-0000-0000A3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125" authorId="0" shapeId="0" xr:uid="{00000000-0006-0000-0000-0000A4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126" authorId="0" shapeId="0" xr:uid="{00000000-0006-0000-0000-0000A5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149" authorId="0" shapeId="0" xr:uid="{00000000-0006-0000-0000-0000A6020000}">
      <text>
        <r>
          <rPr>
            <b/>
            <sz val="9"/>
            <color indexed="81"/>
            <rFont val="Tahoma"/>
            <family val="2"/>
          </rPr>
          <t>UBITEC:</t>
        </r>
        <r>
          <rPr>
            <sz val="9"/>
            <color indexed="81"/>
            <rFont val="Tahoma"/>
            <family val="2"/>
          </rPr>
          <t xml:space="preserve">
</t>
        </r>
        <r>
          <rPr>
            <b/>
            <sz val="10"/>
            <color indexed="81"/>
            <rFont val="Tahoma"/>
            <family val="2"/>
          </rPr>
          <t>Domicilio Canon del Pajonal 222, Las Sombrillas, 66369 Cdad. Santa Catarina, N.L.</t>
        </r>
        <r>
          <rPr>
            <sz val="9"/>
            <color indexed="81"/>
            <rFont val="Tahoma"/>
            <family val="2"/>
          </rPr>
          <t xml:space="preserve">
https://www.google.com/maps/place/Canon+del+Pajonal+222,+Las+Sombrillas,+66369+Cdad.+Santa+Catarina,+N.L./@25.7028351,-100.4578598,17z/data=!3m1!4b1!4m6!3m5!1s0x86629830df0e734f:0x30d65ec457f5686d!8m2!3d25.7028351!4d-100.4552849!16s%2Fg%2F11g6xqxgx6?entry=ttu&amp;g_ep=EgoyMDI1MDIxMi4wIKXMDSoASAFQAw%3D%3D</t>
        </r>
      </text>
    </comment>
    <comment ref="H1150" authorId="0" shapeId="0" xr:uid="{00000000-0006-0000-0000-0000A7020000}">
      <text>
        <r>
          <rPr>
            <b/>
            <sz val="9"/>
            <color indexed="81"/>
            <rFont val="Tahoma"/>
            <family val="2"/>
          </rPr>
          <t>UBITEC:</t>
        </r>
        <r>
          <rPr>
            <sz val="9"/>
            <color indexed="81"/>
            <rFont val="Tahoma"/>
            <family val="2"/>
          </rPr>
          <t xml:space="preserve">
</t>
        </r>
        <r>
          <rPr>
            <b/>
            <sz val="10"/>
            <color indexed="81"/>
            <rFont val="Tahoma"/>
            <family val="2"/>
          </rPr>
          <t>Domicilio Celestino Negrete 405, Ignacio Zaragoza, 67163 Monterrey, N.L.</t>
        </r>
        <r>
          <rPr>
            <sz val="9"/>
            <color indexed="81"/>
            <rFont val="Tahoma"/>
            <family val="2"/>
          </rPr>
          <t xml:space="preserve">
https://www.google.com/maps/place/Celestino+Negrete+405,+Ignacio+Zaragoza,+67163+Monterrey,+N.L./@25.6857172,-100.229303,17z/data=!3m1!4b1!4m6!3m5!1s0x8662ea9cb67ff939:0x2e3d4197d365f978!8m2!3d25.6857172!4d-100.2267281!16s%2Fg%2F11c70bzpxv?entry=ttu&amp;g_ep=EgoyMDI1MDIwOS4wIKXMDSoASAFQAw%3D%3D</t>
        </r>
      </text>
    </comment>
    <comment ref="H1151" authorId="0" shapeId="0" xr:uid="{00000000-0006-0000-0000-0000A8020000}">
      <text>
        <r>
          <rPr>
            <b/>
            <sz val="9"/>
            <color indexed="81"/>
            <rFont val="Tahoma"/>
            <family val="2"/>
          </rPr>
          <t>UBITEC:</t>
        </r>
        <r>
          <rPr>
            <sz val="9"/>
            <color indexed="81"/>
            <rFont val="Tahoma"/>
            <family val="2"/>
          </rPr>
          <t xml:space="preserve">
</t>
        </r>
        <r>
          <rPr>
            <b/>
            <sz val="10"/>
            <color indexed="81"/>
            <rFont val="Tahoma"/>
            <family val="2"/>
          </rPr>
          <t>Av Afganistán 109, Prados de La Cieneguita, 66636 Cdad. Apodaca, N.L.</t>
        </r>
        <r>
          <rPr>
            <sz val="9"/>
            <color indexed="81"/>
            <rFont val="Tahoma"/>
            <family val="2"/>
          </rPr>
          <t xml:space="preserve">
https://www.google.com/maps/place/Av+Afganist%C3%A1n+109,+Prados+de+La+Cieneguita,+66636+Cdad.+Apodaca,+N.L./@25.7786295,-100.2558134,21z/data=!4m6!3m5!1s0x8662ecac0a975a19:0x35addc23b7a7dbb0!8m2!3d25.7786958!4d-100.2556859!16s%2Fg%2F11c5p4sl4k?entry=ttu&amp;g_ep=EgoyMDI1MDIxMS4wIKXMDSoASAFQAw%3D%3D</t>
        </r>
      </text>
    </comment>
    <comment ref="H1152" authorId="0" shapeId="0" xr:uid="{00000000-0006-0000-0000-0000A9020000}">
      <text>
        <r>
          <rPr>
            <b/>
            <sz val="9"/>
            <color indexed="81"/>
            <rFont val="Tahoma"/>
            <family val="2"/>
          </rPr>
          <t>UBITEC:</t>
        </r>
        <r>
          <rPr>
            <sz val="9"/>
            <color indexed="81"/>
            <rFont val="Tahoma"/>
            <family val="2"/>
          </rPr>
          <t xml:space="preserve">
</t>
        </r>
        <r>
          <rPr>
            <b/>
            <sz val="10"/>
            <color indexed="81"/>
            <rFont val="Tahoma"/>
            <family val="2"/>
          </rPr>
          <t>Av Afganistán 109, Prados de La Cieneguita, 66636 Cdad. Apodaca, N.L.</t>
        </r>
        <r>
          <rPr>
            <sz val="9"/>
            <color indexed="81"/>
            <rFont val="Tahoma"/>
            <family val="2"/>
          </rPr>
          <t xml:space="preserve">
https://www.google.com/maps/place/Av+Afganist%C3%A1n+109,+Prados+de+La+Cieneguita,+66636+Cdad.+Apodaca,+N.L./@25.7786295,-100.2558134,21z/data=!4m6!3m5!1s0x8662ecac0a975a19:0x35addc23b7a7dbb0!8m2!3d25.7786958!4d-100.2556859!16s%2Fg%2F11c5p4sl4k?entry=ttu&amp;g_ep=EgoyMDI1MDIxMS4wIKXMDSoASAFQAw%3D%3D</t>
        </r>
      </text>
    </comment>
    <comment ref="H1153" authorId="0" shapeId="0" xr:uid="{00000000-0006-0000-0000-0000AA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154" authorId="0" shapeId="0" xr:uid="{00000000-0006-0000-0000-0000AB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155" authorId="0" shapeId="0" xr:uid="{00000000-0006-0000-0000-0000AC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156" authorId="0" shapeId="0" xr:uid="{00000000-0006-0000-0000-0000AD020000}">
      <text>
        <r>
          <rPr>
            <b/>
            <sz val="9"/>
            <color indexed="81"/>
            <rFont val="Tahoma"/>
            <family val="2"/>
          </rPr>
          <t>UBITEC:</t>
        </r>
        <r>
          <rPr>
            <sz val="9"/>
            <color indexed="81"/>
            <rFont val="Tahoma"/>
            <family val="2"/>
          </rPr>
          <t xml:space="preserve">
</t>
        </r>
        <r>
          <rPr>
            <b/>
            <sz val="9"/>
            <color indexed="81"/>
            <rFont val="Tahoma"/>
            <family val="2"/>
          </rPr>
          <t>Domicilio Vía Rhin 713, Nexxus Platino IV Sector, Joyas de Anahuac, 66055 Cdad. Gral. Escobedo, N.L.</t>
        </r>
        <r>
          <rPr>
            <sz val="9"/>
            <color indexed="81"/>
            <rFont val="Tahoma"/>
            <family val="2"/>
          </rPr>
          <t xml:space="preserve">
https://www.google.com/maps/place/V%C3%ADa+Rhin+713,+Nexxus+Platino+IV+Sector,+Joyas+de+Anahuac,+66055+Cdad.+Gral.+Escobedo,+N.L./@25.7737065,-100.3124087,17z/data=!3m1!4b1!4m6!3m5!1s0x8662938148b31fed:0xfaf20fc38186054b!8m2!3d25.7737065!4d-100.3098338!16s%2Fg%2F11c6w0n6c3?entry=ttu&amp;g_ep=EgoyMDI1MDIxOS4xIKXMDSoASAFQAw%3D%3D
</t>
        </r>
      </text>
    </comment>
    <comment ref="H1157" authorId="0" shapeId="0" xr:uid="{00000000-0006-0000-0000-0000AE020000}">
      <text>
        <r>
          <rPr>
            <b/>
            <sz val="9"/>
            <color indexed="81"/>
            <rFont val="Tahoma"/>
            <family val="2"/>
          </rPr>
          <t>UBITEC:</t>
        </r>
        <r>
          <rPr>
            <sz val="9"/>
            <color indexed="81"/>
            <rFont val="Tahoma"/>
            <family val="2"/>
          </rPr>
          <t xml:space="preserve">
</t>
        </r>
        <r>
          <rPr>
            <b/>
            <sz val="9"/>
            <color indexed="81"/>
            <rFont val="Tahoma"/>
            <family val="2"/>
          </rPr>
          <t>Domicilio Portal de Leganes 454, Portal de Huinala, 66646 Cdad. Apodaca, N.L.</t>
        </r>
        <r>
          <rPr>
            <sz val="9"/>
            <color indexed="81"/>
            <rFont val="Tahoma"/>
            <family val="2"/>
          </rPr>
          <t xml:space="preserve">
https://www.google.com/maps/place/Portal+de+Leganes+454,+Portal+de+Huinala,+66646+Cdad.+Apodaca,+N.L./@25.7542964,-100.1549581,17z/data=!3m1!4b1!4m6!3m5!1s0x8662e96a36de192b:0xc906a37e9bbfb81a!8m2!3d25.7542916!4d-100.1523832!16s%2Fg%2F11c6vby6wh?entry=ttu&amp;g_ep=EgoyMDI1MDIxOS4xIKXMDSoASAFQAw%3D%3D</t>
        </r>
      </text>
    </comment>
    <comment ref="H1225" authorId="0" shapeId="0" xr:uid="{00000000-0006-0000-0000-0000AF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279" authorId="0" shapeId="0" xr:uid="{00000000-0006-0000-0000-0000B0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477" authorId="0" shapeId="0" xr:uid="{00000000-0006-0000-0000-0000B1020000}">
      <text>
        <r>
          <rPr>
            <b/>
            <sz val="9"/>
            <color indexed="81"/>
            <rFont val="Tahoma"/>
            <family val="2"/>
          </rPr>
          <t>UBITEC:</t>
        </r>
        <r>
          <rPr>
            <sz val="9"/>
            <color indexed="81"/>
            <rFont val="Tahoma"/>
            <family val="2"/>
          </rPr>
          <t xml:space="preserve">
</t>
        </r>
        <r>
          <rPr>
            <b/>
            <sz val="9"/>
            <color indexed="81"/>
            <rFont val="Tahoma"/>
            <family val="2"/>
          </rPr>
          <t>Domicilio 1a Avenida 213, México 86, 67194 Guadalupe, N.L.</t>
        </r>
        <r>
          <rPr>
            <sz val="9"/>
            <color indexed="81"/>
            <rFont val="Tahoma"/>
            <family val="2"/>
          </rPr>
          <t xml:space="preserve">
https://www.google.com/maps/place/Seminuevos+MG1/@25.6506012,-100.1975845,19.75z/data=!4m15!1m8!3m7!1s0x8662c1bc8eeb1341:0x57e435a042be429d!2s1a+Avenida+211,+M%C3%A9xico+86,+67194+Guadalupe,+N.L.!3b1!8m2!3d25.650583!4d-100.1974018!16s%2Fg%2F11c133rv0d!3m5!1s0x8662c12edf752e5d:0x6fba453c41aec75d!8m2!3d25.6506384!4d-100.1976835!16s%2Fg%2F11jb33c6n8?entry=ttu</t>
        </r>
      </text>
    </comment>
    <comment ref="H1478" authorId="0" shapeId="0" xr:uid="{00000000-0006-0000-0000-0000B2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479" authorId="0" shapeId="0" xr:uid="{00000000-0006-0000-0000-0000B3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480" authorId="0" shapeId="0" xr:uid="{00000000-0006-0000-0000-0000B4020000}">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1482" authorId="0" shapeId="0" xr:uid="{00000000-0006-0000-0000-0000B5020000}">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1483" authorId="0" shapeId="0" xr:uid="{00000000-0006-0000-0000-0000B6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484" authorId="0" shapeId="0" xr:uid="{00000000-0006-0000-0000-0000B7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485" authorId="0" shapeId="0" xr:uid="{00000000-0006-0000-0000-0000B8020000}">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1486" authorId="0" shapeId="0" xr:uid="{00000000-0006-0000-0000-0000B9020000}">
      <text>
        <r>
          <rPr>
            <b/>
            <sz val="9"/>
            <color indexed="81"/>
            <rFont val="Tahoma"/>
            <family val="2"/>
          </rPr>
          <t>UBITEC:</t>
        </r>
        <r>
          <rPr>
            <sz val="9"/>
            <color indexed="81"/>
            <rFont val="Tahoma"/>
            <family val="2"/>
          </rPr>
          <t xml:space="preserve">
</t>
        </r>
        <r>
          <rPr>
            <b/>
            <sz val="10"/>
            <color indexed="81"/>
            <rFont val="Tahoma"/>
            <family val="2"/>
          </rPr>
          <t>Domicilio Gral Francisco Naranjo 115, Centro, 66400 San Nicolás de los Garza, N.L.</t>
        </r>
        <r>
          <rPr>
            <sz val="10"/>
            <color indexed="81"/>
            <rFont val="Tahoma"/>
            <family val="2"/>
          </rPr>
          <t xml:space="preserve">
https://www.google.com/maps/place/Gral+Francisco+Naranjo+115,+Centro,+66400+San+Nicol%C3%A1s+de+los+Garza,+N.L./@25.7561236,-100.2957975,17z/data=!3m1!4b1!4m6!3m5!1s0x8662948fa54eec13:0x797202541936a5a9!8m2!3d25.7561236!4d-100.2957975!16s%2Fg%2F11c17q6bnj?entry=ttu</t>
        </r>
      </text>
    </comment>
    <comment ref="H1487" authorId="0" shapeId="0" xr:uid="{00000000-0006-0000-0000-0000BA020000}">
      <text>
        <r>
          <rPr>
            <b/>
            <sz val="9"/>
            <color indexed="81"/>
            <rFont val="Tahoma"/>
            <family val="2"/>
          </rPr>
          <t>UBITEC:</t>
        </r>
        <r>
          <rPr>
            <sz val="9"/>
            <color indexed="81"/>
            <rFont val="Tahoma"/>
            <family val="2"/>
          </rPr>
          <t xml:space="preserve">
</t>
        </r>
        <r>
          <rPr>
            <b/>
            <sz val="10"/>
            <color indexed="81"/>
            <rFont val="Tahoma"/>
            <family val="2"/>
          </rPr>
          <t>Domicilio Gral Francisco Naranjo 115, Centro, 66400 San Nicolás de los Garza, N.L.</t>
        </r>
        <r>
          <rPr>
            <sz val="10"/>
            <color indexed="81"/>
            <rFont val="Tahoma"/>
            <family val="2"/>
          </rPr>
          <t xml:space="preserve">
https://www.google.com/maps/place/Gral+Francisco+Naranjo+115,+Centro,+66400+San+Nicol%C3%A1s+de+los+Garza,+N.L./@25.7561236,-100.2957975,17z/data=!3m1!4b1!4m6!3m5!1s0x8662948fa54eec13:0x797202541936a5a9!8m2!3d25.7561236!4d-100.2957975!16s%2Fg%2F11c17q6bnj?entry=ttu</t>
        </r>
      </text>
    </comment>
    <comment ref="H1500" authorId="0" shapeId="0" xr:uid="{00000000-0006-0000-0000-0000BB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01" authorId="0" shapeId="0" xr:uid="{00000000-0006-0000-0000-0000BC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02" authorId="0" shapeId="0" xr:uid="{00000000-0006-0000-0000-0000BD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08" authorId="0" shapeId="0" xr:uid="{00000000-0006-0000-0000-0000BE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09" authorId="0" shapeId="0" xr:uid="{00000000-0006-0000-0000-0000BF02000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11" authorId="0" shapeId="0" xr:uid="{95D21531-5966-414A-975E-BC616D6D5F7D}">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12" authorId="0" shapeId="0" xr:uid="{4A0E422D-8EAE-41EA-B88A-117C43637DAC}">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1514" authorId="0" shapeId="0" xr:uid="{4A917E01-0FD6-41F6-86EE-B0EF7E702775}">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15" authorId="0" shapeId="0" xr:uid="{1DD5A33A-A06E-493A-A7C6-EF35FE882E4F}">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16" authorId="0" shapeId="0" xr:uid="{167EEE53-F49D-40AA-AE0E-412FE9F346C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17" authorId="0" shapeId="0" xr:uid="{86735D31-86BE-417E-80B3-3E1AEBA122CA}">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19" authorId="0" shapeId="0" xr:uid="{F07114DE-DD60-4EB2-B21A-9D0201D823EE}">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1520" authorId="0" shapeId="0" xr:uid="{E3A3D440-C14E-497C-8A54-2D384CF5918E}">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1521" authorId="0" shapeId="0" xr:uid="{E8877240-E68B-441A-BAE0-ED95B8C06E89}">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1523" authorId="0" shapeId="0" xr:uid="{76E378E0-5B73-4655-BD27-3C78368DECE5}">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24" authorId="0" shapeId="0" xr:uid="{04C9DED2-B22E-4DAD-A646-DD1E038EB2A3}">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26" authorId="0" shapeId="0" xr:uid="{2BB537E8-2D43-49CB-A6EA-6AF16D836F28}">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27" authorId="0" shapeId="0" xr:uid="{6C55BCBF-D9EE-4556-A7F5-DCC390F42730}">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1528" authorId="0" shapeId="0" xr:uid="{EE076A87-418E-45A7-A612-6BEA6F1E5E69}">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29" authorId="0" shapeId="0" xr:uid="{D38D7EB6-D9E8-4B07-B92D-3EC1CE21F74B}">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30" authorId="0" shapeId="0" xr:uid="{04E7975F-4C31-4ADA-BEE8-70BCAAF18B60}">
      <text>
        <r>
          <rPr>
            <b/>
            <sz val="9"/>
            <color indexed="81"/>
            <rFont val="Tahoma"/>
            <family val="2"/>
          </rPr>
          <t>UBITEC:</t>
        </r>
        <r>
          <rPr>
            <sz val="9"/>
            <color indexed="81"/>
            <rFont val="Tahoma"/>
            <family val="2"/>
          </rPr>
          <t xml:space="preserve">
</t>
        </r>
        <r>
          <rPr>
            <b/>
            <sz val="10"/>
            <color indexed="81"/>
            <rFont val="Tahoma"/>
            <family val="2"/>
          </rPr>
          <t xml:space="preserve">Av. Anillo Eléctrico 120, Torres de Santo Domingo, 66449 San Nicolás de los Garza, N.L.
</t>
        </r>
        <r>
          <rPr>
            <sz val="9"/>
            <color indexed="81"/>
            <rFont val="Tahoma"/>
            <family val="2"/>
          </rPr>
          <t>https://www.google.com/maps/place/Av.+Anillo+El%C3%A9ctrico+120,+Torres+de+Santo+Domingo,+66449+San+Nicol%C3%A1s+de+los+Garza,+N.L./@25.7557177,-100.2506409,17z/data=!3m1!4b1!4m6!3m5!1s0x8662eb45e2b29b99:0x8e5331d72f59f52!8m2!3d25.7557177!4d-100.248066!16s%2Fg%2F11cs6pgx65?entry=ttu</t>
        </r>
      </text>
    </comment>
    <comment ref="H1537" authorId="0" shapeId="0" xr:uid="{1384E6AE-A477-4BF1-9866-E0C9B4398336}">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38" authorId="0" shapeId="0" xr:uid="{4650B1F7-A345-42F0-A875-DFCD3F181929}">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39" authorId="2" shapeId="0" xr:uid="{EAEA023C-B67C-4783-9769-AEA5E48095DD}">
      <text>
        <r>
          <rPr>
            <b/>
            <sz val="9"/>
            <color indexed="81"/>
            <rFont val="Tahoma"/>
            <family val="2"/>
          </rPr>
          <t>LENOVO:</t>
        </r>
        <r>
          <rPr>
            <sz val="9"/>
            <color indexed="81"/>
            <rFont val="Tahoma"/>
            <family val="2"/>
          </rPr>
          <t xml:space="preserve">
</t>
        </r>
        <r>
          <rPr>
            <sz val="11"/>
            <color indexed="81"/>
            <rFont val="Tahoma"/>
            <family val="2"/>
          </rPr>
          <t>Colonial S. Sebastián 321, Colonial San Miguel, 67113 test city, N.L.
https://www.google.com/maps/place/Colonial+S.+Sebasti%C3%A1n+321,+Colonial+San+Miguel,+67113+test+city,+N.L./@25.7134058,-100.1906065,19z/data=!3m1!4b1!4m12!1m5!3m4!2zMjXCsDQyJzQ4LjAiTiAxMDDCsDExJzIzLjUiVw!8m2!3d25.7133333!4d-100.1898611!3m5!1s0x8662ea392a795039:0xd7be462f0c031089!8m2!3d25.7134046!4d-100.1899628!16s%2Fg%2F11c27bvkdk?hl=es&amp;entry=ttu&amp;g_ep=EgoyMDI1MDcyMy4wIKXMDSoASAFQAw%3D%3D</t>
        </r>
      </text>
    </comment>
    <comment ref="H1540" authorId="2" shapeId="0" xr:uid="{B57F82C8-884E-4A76-BD70-D9AA36BBB511}">
      <text>
        <r>
          <rPr>
            <b/>
            <sz val="9"/>
            <color indexed="81"/>
            <rFont val="Tahoma"/>
            <family val="2"/>
          </rPr>
          <t>LENOVO:</t>
        </r>
        <r>
          <rPr>
            <sz val="9"/>
            <color indexed="81"/>
            <rFont val="Tahoma"/>
            <family val="2"/>
          </rPr>
          <t xml:space="preserve">
</t>
        </r>
        <r>
          <rPr>
            <sz val="10"/>
            <color indexed="81"/>
            <rFont val="Tahoma"/>
            <family val="2"/>
          </rPr>
          <t>MPQ3+R35 Monterrey, Nuevo León
Calle Joaquín G. Leal Nte. 1801, Terminal, 64580 Monterrey, N.L.
https://www.google.com/maps/place/Av.+Revoluci%C3%B3n+300,+Buenos+Aires,+64800+Monterrey,+N.L./@25.6674207,-100.2836991,20z/data=!4m6!3m5!1s0x8662bfdd6ec75305:0x584f1630ad62d6af!8m2!3d25.6674274!4d-100.2833906!16s%2Fg%2F11c29svz3j?entry=ttu&amp;g_ep=EgoyMDI1MDcyOC4wIKXMDSoASAFQAw%3D%3D</t>
        </r>
      </text>
    </comment>
    <comment ref="H1541" authorId="2" shapeId="0" xr:uid="{47939153-3BD4-4489-9F2C-F580F5AE50F5}">
      <text>
        <r>
          <rPr>
            <b/>
            <sz val="11"/>
            <color indexed="81"/>
            <rFont val="Tahoma"/>
            <family val="2"/>
          </rPr>
          <t>LENOVO:</t>
        </r>
        <r>
          <rPr>
            <sz val="11"/>
            <color indexed="81"/>
            <rFont val="Tahoma"/>
            <family val="2"/>
          </rPr>
          <t xml:space="preserve">
</t>
        </r>
        <r>
          <rPr>
            <sz val="10"/>
            <color indexed="81"/>
            <rFont val="Tahoma"/>
            <family val="2"/>
          </rPr>
          <t>Camino A San Roque, Benito Juárez, Juárez, Nuevo León, 67255
MV58+MJ6 Cdad. Benito Juárez, Nuevo León
https://www.google.com/maps/place/25%C2%B039'33.0%22N+100%C2%B008'00.6%22W/@25.6590815,-100.1341955,19z/data=!4m4!3m3!8m2!3d25.6591643!4d-100.1334954?hl=es&amp;entry=ttu&amp;g_ep=EgoyMDI1MDczMC4wIKXMDSoASAFQAw%3D%3D</t>
        </r>
      </text>
    </comment>
    <comment ref="H1542" authorId="2" shapeId="0" xr:uid="{E26BF05E-7440-41C5-8587-FB5C8E089086}">
      <text>
        <r>
          <rPr>
            <b/>
            <sz val="9"/>
            <color indexed="81"/>
            <rFont val="Tahoma"/>
            <family val="2"/>
          </rPr>
          <t>LENOVO:</t>
        </r>
        <r>
          <rPr>
            <sz val="9"/>
            <color indexed="81"/>
            <rFont val="Tahoma"/>
            <family val="2"/>
          </rPr>
          <t xml:space="preserve">
</t>
        </r>
        <r>
          <rPr>
            <b/>
            <sz val="10"/>
            <color indexed="81"/>
            <rFont val="Tahoma"/>
            <family val="2"/>
          </rPr>
          <t>Vista de la Montaña 345, Vistas del Rio, 67267 Cdad. Benito Juárez, N.L.</t>
        </r>
        <r>
          <rPr>
            <sz val="10"/>
            <color indexed="81"/>
            <rFont val="Tahoma"/>
            <family val="2"/>
          </rPr>
          <t xml:space="preserve">
https://www.google.com/maps/place/Vista+de+la+Monta%C3%B1a+345,+Vistas+del+Rio,+67267+Cdad.+Benito+Ju%C3%A1rez,+N.L./@25.6667879,-100.0998233,17z/data=!3m1!4b1!4m6!3m5!1s0x8662c2c755c1b495:0xb8c13adfd372b3eb!8m2!3d25.6667879!4d-100.0972484!16s%2Fg%2F11rp37lv0l?entry=ttu&amp;g_ep=EgoyMDI1MDgwNS4wIKXMDSoASAFQAw%3D%3D</t>
        </r>
      </text>
    </comment>
    <comment ref="H1543" authorId="2" shapeId="0" xr:uid="{CA148E49-5976-4D95-819D-FCCA0F4634CD}">
      <text>
        <r>
          <rPr>
            <b/>
            <sz val="9"/>
            <color indexed="81"/>
            <rFont val="Tahoma"/>
            <family val="2"/>
          </rPr>
          <t>LENOVO:</t>
        </r>
        <r>
          <rPr>
            <sz val="9"/>
            <color indexed="81"/>
            <rFont val="Tahoma"/>
            <family val="2"/>
          </rPr>
          <t xml:space="preserve">
</t>
        </r>
        <r>
          <rPr>
            <b/>
            <sz val="10"/>
            <color indexed="81"/>
            <rFont val="Tahoma"/>
            <family val="2"/>
          </rPr>
          <t>Vista de la Montaña 345, Vistas del Rio, 67267 Cdad. Benito Juárez, N.L.</t>
        </r>
        <r>
          <rPr>
            <sz val="10"/>
            <color indexed="81"/>
            <rFont val="Tahoma"/>
            <family val="2"/>
          </rPr>
          <t xml:space="preserve">
https://www.google.com/maps/place/Vista+de+la+Monta%C3%B1a+345,+Vistas+del+Rio,+67267+Cdad.+Benito+Ju%C3%A1rez,+N.L./@25.6667879,-100.0998233,17z/data=!3m1!4b1!4m6!3m5!1s0x8662c2c755c1b495:0xb8c13adfd372b3eb!8m2!3d25.6667879!4d-100.0972484!16s%2Fg%2F11rp37lv0l?entry=ttu&amp;g_ep=EgoyMDI1MDgwNS4wIKXMDSoASAFQAw%3D%3D</t>
        </r>
      </text>
    </comment>
    <comment ref="H1545" authorId="2" shapeId="0" xr:uid="{0272FC2F-5D13-4F1B-B5B9-477E8405E4FD}">
      <text>
        <r>
          <rPr>
            <b/>
            <sz val="9"/>
            <color indexed="81"/>
            <rFont val="Tahoma"/>
            <family val="2"/>
          </rPr>
          <t>LENOVO:</t>
        </r>
        <r>
          <rPr>
            <sz val="9"/>
            <color indexed="81"/>
            <rFont val="Tahoma"/>
            <family val="2"/>
          </rPr>
          <t xml:space="preserve">
</t>
        </r>
        <r>
          <rPr>
            <b/>
            <sz val="10"/>
            <color indexed="81"/>
            <rFont val="Tahoma"/>
            <family val="2"/>
          </rPr>
          <t>Autos prados
Av Afganistán 109, norte, 66636 Cdad. Apodaca, N.L.</t>
        </r>
        <r>
          <rPr>
            <sz val="9"/>
            <color indexed="81"/>
            <rFont val="Tahoma"/>
            <family val="2"/>
          </rPr>
          <t xml:space="preserve">
https://www.google.com/maps/place/Autos+prados/@25.7793808,-100.2550434,17z/data=!3m1!4b1!4m6!3m5!1s0x8662edbdcf580229:0x51c3955f69eb31fb!8m2!3d25.7793808!4d-100.2550434!16s%2Fg%2F11l33r6rtd!5m1!1e2?entry=ttu&amp;g_ep=EgoyMDI1MDgxMy4wIKXMDSoASAFQAw%3D%3D</t>
        </r>
      </text>
    </comment>
    <comment ref="H1546" authorId="0" shapeId="0" xr:uid="{3BACB8B2-0047-402F-9681-CD98AF8A79F8}">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47" authorId="0" shapeId="0" xr:uid="{34465C54-0D6F-4BCD-B2C2-B929A33ADE77}">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1548" authorId="2" shapeId="0" xr:uid="{A4B50B10-8219-43C3-A58E-F74D6847CC10}">
      <text>
        <r>
          <rPr>
            <b/>
            <sz val="9"/>
            <color indexed="81"/>
            <rFont val="Tahoma"/>
            <family val="2"/>
          </rPr>
          <t>LENOVO:</t>
        </r>
        <r>
          <rPr>
            <sz val="9"/>
            <color indexed="81"/>
            <rFont val="Tahoma"/>
            <family val="2"/>
          </rPr>
          <t xml:space="preserve">
</t>
        </r>
        <r>
          <rPr>
            <b/>
            <sz val="10"/>
            <color indexed="81"/>
            <rFont val="Tahoma"/>
            <family val="2"/>
          </rPr>
          <t>San Benito 135, Col. Ventura de Asis II, 66633 Cdad. Apodaca, N.L.</t>
        </r>
        <r>
          <rPr>
            <sz val="9"/>
            <color indexed="81"/>
            <rFont val="Tahoma"/>
            <family val="2"/>
          </rPr>
          <t xml:space="preserve">
https://www.google.com/maps/place/San+Benito+135,+Col.+Ventura+de+Asis+II,+66633+Cdad.+Apodaca,+N.L./@25.7389676,-100.2006313,15z/data=!3m1!4b1!4m10!1m2!2m1!1sSan+benito+135,+Ventura+de+asis+2do+sector,+Apodaca!3m6!1s0x8662ebce24b882af:0x18bf14df38c5fdf3!8m2!3d25.7389494!4d-100.1821773!15sCjNTYW4gYmVuaXRvIDEzNSwgVmVudHVyYSBkZSBhc2lzIDJkbyBzZWN0b3IsIEFwb2RhY2GSAQpzdWJwcmVtaXNl4AEA!16s%2Fg%2F11w7q5y5sk!5m1!1e2?entry=ttu&amp;g_ep=EgoyMDI1MDgxMy4wIKXMDSoASAFQAw%3D%3D</t>
        </r>
      </text>
    </comment>
    <comment ref="H1554" authorId="2" shapeId="0" xr:uid="{06C2F854-1FBE-4402-A7FB-E92E65547522}">
      <text>
        <r>
          <rPr>
            <b/>
            <sz val="9"/>
            <color indexed="81"/>
            <rFont val="Tahoma"/>
            <family val="2"/>
          </rPr>
          <t>LENOVO:</t>
        </r>
        <r>
          <rPr>
            <sz val="9"/>
            <color indexed="81"/>
            <rFont val="Tahoma"/>
            <family val="2"/>
          </rPr>
          <t xml:space="preserve">
</t>
        </r>
        <r>
          <rPr>
            <b/>
            <sz val="10"/>
            <color indexed="81"/>
            <rFont val="Tahoma"/>
            <family val="2"/>
          </rPr>
          <t>Autos prados
Av Afganistán 109, norte, 66636 Cdad. Apodaca, N.L.</t>
        </r>
        <r>
          <rPr>
            <sz val="9"/>
            <color indexed="81"/>
            <rFont val="Tahoma"/>
            <family val="2"/>
          </rPr>
          <t xml:space="preserve">
https://www.google.com/maps/place/Autos+prados/@25.7793808,-100.2550434,17z/data=!3m1!4b1!4m6!3m5!1s0x8662edbdcf580229:0x51c3955f69eb31fb!8m2!3d25.7793808!4d-100.2550434!16s%2Fg%2F11l33r6rtd!5m1!1e2?entry=ttu&amp;g_ep=EgoyMDI1MDgxMy4wIKXMDSoASAFQAw%3D%3D</t>
        </r>
      </text>
    </comment>
    <comment ref="H1555" authorId="2" shapeId="0" xr:uid="{75760216-802F-48E6-9FDD-267835558FAD}">
      <text>
        <r>
          <rPr>
            <b/>
            <sz val="9"/>
            <color indexed="81"/>
            <rFont val="Tahoma"/>
            <family val="2"/>
          </rPr>
          <t>LENOVO:</t>
        </r>
        <r>
          <rPr>
            <sz val="9"/>
            <color indexed="81"/>
            <rFont val="Tahoma"/>
            <family val="2"/>
          </rPr>
          <t xml:space="preserve">
</t>
        </r>
        <r>
          <rPr>
            <b/>
            <sz val="10"/>
            <color indexed="81"/>
            <rFont val="Tahoma"/>
            <family val="2"/>
          </rPr>
          <t>Autos prados
Av Afganistán 109, norte, 66636 Cdad. Apodaca, N.L.</t>
        </r>
        <r>
          <rPr>
            <sz val="9"/>
            <color indexed="81"/>
            <rFont val="Tahoma"/>
            <family val="2"/>
          </rPr>
          <t xml:space="preserve">
https://www.google.com/maps/place/Autos+prados/@25.7793808,-100.2550434,17z/data=!3m1!4b1!4m6!3m5!1s0x8662edbdcf580229:0x51c3955f69eb31fb!8m2!3d25.7793808!4d-100.2550434!16s%2Fg%2F11l33r6rtd!5m1!1e2?entry=ttu&amp;g_ep=EgoyMDI1MDgxMy4wIKXMDSoASAFQAw%3D%3D</t>
        </r>
      </text>
    </comment>
    <comment ref="H1556" authorId="2" shapeId="0" xr:uid="{A8231B5B-6E16-41A1-A92C-F04546E3CF1E}">
      <text>
        <r>
          <rPr>
            <b/>
            <sz val="9"/>
            <color indexed="81"/>
            <rFont val="Tahoma"/>
            <family val="2"/>
          </rPr>
          <t>LENOVO:</t>
        </r>
        <r>
          <rPr>
            <sz val="9"/>
            <color indexed="81"/>
            <rFont val="Tahoma"/>
            <family val="2"/>
          </rPr>
          <t xml:space="preserve">
</t>
        </r>
        <r>
          <rPr>
            <b/>
            <sz val="10"/>
            <color indexed="81"/>
            <rFont val="Tahoma"/>
            <family val="2"/>
          </rPr>
          <t>Av. Pablo Livas 5505, S.C.O.P., 67190 Guadalupe, N.L.</t>
        </r>
        <r>
          <rPr>
            <sz val="10"/>
            <color indexed="81"/>
            <rFont val="Tahoma"/>
            <family val="2"/>
          </rPr>
          <t xml:space="preserve">
https://www.google.com/maps/place/Av.+Pablo+Livas+5505,+S.C.O.P.,+67190+Guadalupe,+N.L./@25.6616169,-100.2001144,17z/data=!3m1!4b1!4m6!3m5!1s0x8662c1c0c641d803:0xe7da5c2ce0a7bc57!8m2!3d25.6616169!4d-100.1975395!16s%2Fg%2F11wb1sv2tr?entry=ttu&amp;g_ep=EgoyMDI1MDgxOS4wIKXMDSoASAFQAw%3D%3D</t>
        </r>
      </text>
    </comment>
    <comment ref="H1557" authorId="2" shapeId="0" xr:uid="{929FF7E3-F289-4659-9D3D-6524C0941B75}">
      <text>
        <r>
          <rPr>
            <b/>
            <sz val="9"/>
            <color indexed="81"/>
            <rFont val="Tahoma"/>
            <family val="2"/>
          </rPr>
          <t>LENOVO:</t>
        </r>
        <r>
          <rPr>
            <sz val="9"/>
            <color indexed="81"/>
            <rFont val="Tahoma"/>
            <family val="2"/>
          </rPr>
          <t xml:space="preserve">
</t>
        </r>
        <r>
          <rPr>
            <b/>
            <sz val="10"/>
            <color indexed="81"/>
            <rFont val="Tahoma"/>
            <family val="2"/>
          </rPr>
          <t>Cam. de la Pradera 1548, Barrio Acero, 64102 Monterrey, N.L.</t>
        </r>
        <r>
          <rPr>
            <sz val="9"/>
            <color indexed="81"/>
            <rFont val="Tahoma"/>
            <family val="2"/>
          </rPr>
          <t xml:space="preserve">
https://www.google.com/maps/place/Cam.+de+la+Pradera+1548,+Barrio+Acero,+64102+Monterrey,+N.L./@25.7810266,-100.3917395,20.75z/data=!4m6!3m5!1s0x866291212c01745b:0x372c117a4c7dc985!8m2!3d25.7810222!4d-100.3915413!16s%2Fg%2F11lmp6wbpz?entry=ttu&amp;g_ep=EgoyMDI1MDgyNC4wIKXMDSoASAFQAw%3D%3D</t>
        </r>
      </text>
    </comment>
    <comment ref="H1558" authorId="0" shapeId="0" xr:uid="{FB100F7B-1963-4663-AF30-F0EECA0E212E}">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1559" authorId="2" shapeId="0" xr:uid="{91EA08FD-B7D6-4CF8-9DDB-D8CEFEB8989F}">
      <text>
        <r>
          <rPr>
            <b/>
            <sz val="9"/>
            <color indexed="81"/>
            <rFont val="Tahoma"/>
            <family val="2"/>
          </rPr>
          <t>LENOVO:</t>
        </r>
        <r>
          <rPr>
            <sz val="9"/>
            <color indexed="81"/>
            <rFont val="Tahoma"/>
            <family val="2"/>
          </rPr>
          <t xml:space="preserve">
</t>
        </r>
        <r>
          <rPr>
            <b/>
            <sz val="10"/>
            <color indexed="81"/>
            <rFont val="Tahoma"/>
            <family val="2"/>
          </rPr>
          <t>Av. Pablo Livas 5505, S.C.O.P., 67190 Guadalupe, N.L.</t>
        </r>
        <r>
          <rPr>
            <sz val="10"/>
            <color indexed="81"/>
            <rFont val="Tahoma"/>
            <family val="2"/>
          </rPr>
          <t xml:space="preserve">
https://www.google.com/maps/place/Av.+Pablo+Livas+5505,+S.C.O.P.,+67190+Guadalupe,+N.L./@25.6616169,-100.2001144,17z/data=!3m1!4b1!4m6!3m5!1s0x8662c1c0c641d803:0xe7da5c2ce0a7bc57!8m2!3d25.6616169!4d-100.1975395!16s%2Fg%2F11wb1sv2tr?entry=ttu&amp;g_ep=EgoyMDI1MDgxOS4wIKXMDSoASAFQAw%3D%3D</t>
        </r>
      </text>
    </comment>
    <comment ref="H1560" authorId="2" shapeId="0" xr:uid="{50F62985-F980-439D-BD5A-5E1DE24168C4}">
      <text>
        <r>
          <rPr>
            <b/>
            <sz val="9"/>
            <color indexed="81"/>
            <rFont val="Tahoma"/>
            <family val="2"/>
          </rPr>
          <t>LENOVO:</t>
        </r>
        <r>
          <rPr>
            <sz val="9"/>
            <color indexed="81"/>
            <rFont val="Tahoma"/>
            <family val="2"/>
          </rPr>
          <t xml:space="preserve">
</t>
        </r>
        <r>
          <rPr>
            <b/>
            <sz val="10"/>
            <color indexed="81"/>
            <rFont val="Tahoma"/>
            <family val="2"/>
          </rPr>
          <t xml:space="preserve">Av. Pablo Livas 4304, Guadalupe Victoria, 67185 Guadalupe, N.L.
</t>
        </r>
        <r>
          <rPr>
            <sz val="10"/>
            <color indexed="81"/>
            <rFont val="Tahoma"/>
            <family val="2"/>
          </rPr>
          <t xml:space="preserve">
https://www.google.com/maps/place/Av.+Pablo+Livas+4304,+Guadalupe+Victoria,+67185+Guadalupe,+N.L./@25.6661174,-100.2182443,17z/data=!3m1!4b1!4m6!3m5!1s0x8662c03337cc6acb:0x975bbb64c4ee290f!8m2!3d25.6661174!4d-100.2156694!16s%2Fg%2F11c1z1wzy6!5m2!1e4!1e2?entry=ttu&amp;g_ep=EgoyMDI1MDkwMi4wIKXMDSoASAFQAw%3D%3D</t>
        </r>
        <r>
          <rPr>
            <sz val="9"/>
            <color indexed="81"/>
            <rFont val="Tahoma"/>
            <family val="2"/>
          </rPr>
          <t xml:space="preserve">
</t>
        </r>
      </text>
    </comment>
    <comment ref="H1561" authorId="0" shapeId="0" xr:uid="{2EF26B18-E23E-45E9-86B5-BDE56212B3E7}">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62" authorId="0" shapeId="0" xr:uid="{0F3E9BED-BA01-4C0B-BDB2-0EED804A8603}">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63" authorId="0" shapeId="0" xr:uid="{E5944DA6-170A-4142-9801-F9455F303B57}">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64" authorId="0" shapeId="0" xr:uid="{5C5B27C5-964C-4F56-ACAB-CD327BF48A1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67" authorId="2" shapeId="0" xr:uid="{1A83CAF9-563C-4AEC-B781-FDB11264A334}">
      <text>
        <r>
          <rPr>
            <b/>
            <sz val="9"/>
            <color indexed="81"/>
            <rFont val="Tahoma"/>
            <family val="2"/>
          </rPr>
          <t>LENOVO:</t>
        </r>
        <r>
          <rPr>
            <sz val="9"/>
            <color indexed="81"/>
            <rFont val="Tahoma"/>
            <family val="2"/>
          </rPr>
          <t xml:space="preserve">
</t>
        </r>
        <r>
          <rPr>
            <b/>
            <sz val="10"/>
            <color indexed="81"/>
            <rFont val="Tahoma"/>
            <family val="2"/>
          </rPr>
          <t>Misión Santa Cruz 160, 66612 Cdad. Apodaca, N.L.</t>
        </r>
        <r>
          <rPr>
            <sz val="9"/>
            <color indexed="81"/>
            <rFont val="Tahoma"/>
            <family val="2"/>
          </rPr>
          <t xml:space="preserve">
https://www.google.com/maps/place/Misi%C3%B3n+Santa+Cruz+160,+66612+Cdad.+Apodaca,+N.L./@25.7875003,-100.2342768,17z/data=!3m1!4b1!4m6!3m5!1s0x8662ec90b5b5f03b:0xab3c6ee64dc97f16!8m2!3d25.7875003!4d-100.2317019!16s%2Fg%2F11dxm55f5q?entry=ttu&amp;g_ep=EgoyMDI1MDkxNi4wIKXMDSoASAFQAw%3D%3D</t>
        </r>
      </text>
    </comment>
    <comment ref="H1568" authorId="2" shapeId="0" xr:uid="{C0AEE98C-19DD-4632-9EB5-CF0A3AB863FB}">
      <text>
        <r>
          <rPr>
            <b/>
            <sz val="9"/>
            <color indexed="81"/>
            <rFont val="Tahoma"/>
            <family val="2"/>
          </rPr>
          <t>LENOVO:</t>
        </r>
        <r>
          <rPr>
            <sz val="9"/>
            <color indexed="81"/>
            <rFont val="Tahoma"/>
            <family val="2"/>
          </rPr>
          <t xml:space="preserve">
</t>
        </r>
        <r>
          <rPr>
            <b/>
            <sz val="10"/>
            <color indexed="81"/>
            <rFont val="Tahoma"/>
            <family val="2"/>
          </rPr>
          <t>Misión Santa Cruz 160, 66612 Cdad. Apodaca, N.L.</t>
        </r>
        <r>
          <rPr>
            <sz val="9"/>
            <color indexed="81"/>
            <rFont val="Tahoma"/>
            <family val="2"/>
          </rPr>
          <t xml:space="preserve">
https://www.google.com/maps/place/Misi%C3%B3n+Santa+Cruz+160,+66612+Cdad.+Apodaca,+N.L./@25.7875003,-100.2342768,17z/data=!3m1!4b1!4m6!3m5!1s0x8662ec90b5b5f03b:0xab3c6ee64dc97f16!8m2!3d25.7875003!4d-100.2317019!16s%2Fg%2F11dxm55f5q?entry=ttu&amp;g_ep=EgoyMDI1MDkxNi4wIKXMDSoASAFQAw%3D%3D</t>
        </r>
      </text>
    </comment>
    <comment ref="H1569" authorId="0" shapeId="0" xr:uid="{43868504-A0DC-46B1-9CA0-21EED951D7FC}">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72" authorId="0" shapeId="0" xr:uid="{68E83ACE-6315-4730-A98B-D5D12E2A28A5}">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73" authorId="0" shapeId="0" xr:uid="{35CBF02F-A8A4-4175-9283-56AE5024F434}">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74" authorId="0" shapeId="0" xr:uid="{D0F7AF24-C9E7-495E-BC0F-FA6CB9865332}">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75" authorId="2" shapeId="0" xr:uid="{156F21B1-A1CB-4966-A44F-4D563FFFA7DE}">
      <text>
        <r>
          <rPr>
            <b/>
            <sz val="9"/>
            <color indexed="81"/>
            <rFont val="Tahoma"/>
            <family val="2"/>
          </rPr>
          <t>LENOVO:</t>
        </r>
        <r>
          <rPr>
            <sz val="9"/>
            <color indexed="81"/>
            <rFont val="Tahoma"/>
            <family val="2"/>
          </rPr>
          <t xml:space="preserve">
Domicilio Barredoras Industriales en Monterrey Bagarza
Av. Anillo Eléctrico 122, Torres de Santo Domingo, 66440 San Nicolás de los Garza, N.L.
https://www.google.com/maps/place/Barredoras+Industriales+en+Monterrey+Bagarza/@25.7555913,-100.2482158,21z/data=!4m12!1m5!3m4!2zMjXCsDQ1JzIwLjMiTiAxMDDCsDE0JzUzLjAiVw!8m2!3d25.755631!4d-100.248046!3m5!1s0x866295ad2d7d1f4b:0x998c380fc207117!8m2!3d25.7555875!4d-100.2481615!16s%2Fg%2F11j6t4tp8w?hl=es&amp;entry=ttu&amp;g_ep=EgoyMDI1MTAxNC4wIKXMDSoASAFQAw%3D%3D</t>
        </r>
      </text>
    </comment>
    <comment ref="H1576" authorId="0" shapeId="0" xr:uid="{4B8B77C7-C865-4E85-BDD1-FBBFC4B6B9D9}">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77" authorId="0" shapeId="0" xr:uid="{FABE8ABE-7BFA-4853-938D-7BC55849AF86}">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1579" authorId="0" shapeId="0" xr:uid="{E3E76ACA-63E8-427C-9D61-3436DCF4711C}">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80" authorId="2" shapeId="0" xr:uid="{24624671-21F6-4C1E-8DEF-E35B70EFF5CF}">
      <text>
        <r>
          <rPr>
            <b/>
            <sz val="9"/>
            <color indexed="81"/>
            <rFont val="Tahoma"/>
            <family val="2"/>
          </rPr>
          <t>LENOVO:</t>
        </r>
        <r>
          <rPr>
            <sz val="9"/>
            <color indexed="81"/>
            <rFont val="Tahoma"/>
            <family val="2"/>
          </rPr>
          <t xml:space="preserve">
</t>
        </r>
        <r>
          <rPr>
            <sz val="10"/>
            <color indexed="81"/>
            <rFont val="Tahoma"/>
            <family val="2"/>
          </rPr>
          <t>Domicilio P.º Pesquería 614, Centro de Pesquería, 66650 Pesquería, N.L.
QXQ2+FM2 Pesquería, Nuevo León</t>
        </r>
        <r>
          <rPr>
            <sz val="9"/>
            <color indexed="81"/>
            <rFont val="Tahoma"/>
            <family val="2"/>
          </rPr>
          <t xml:space="preserve">
https://www.google.com/maps/place/25%C2%B047'19.1%22N+100%C2%B002'54.1%22W/@25.7885233,-100.0486189,21z/data=!4m5!3m4!4b1!8m2!3d25.7886389!4d-100.0483611?hl=es&amp;entry=ttu&amp;g_ep=EgoyMDI1MTAyMi4wIKXMDSoASAFQAw%3D%3D</t>
        </r>
      </text>
    </comment>
    <comment ref="H1581" authorId="0" shapeId="0" xr:uid="{19548AA9-118E-4C05-AB7E-177EFA87DDC2}">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82" authorId="0" shapeId="0" xr:uid="{4E95C15D-4180-4EDF-A8CB-AC016208C86E}">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1583" authorId="0" shapeId="0" xr:uid="{DF584682-BEEA-4C5E-9DE3-50DBA401BA52}">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84" authorId="0" shapeId="0" xr:uid="{0A0F2E08-CDA6-40E7-BB98-12C8C54DEBE7}">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85" authorId="2" shapeId="0" xr:uid="{F35BF880-A1CB-4BAF-B632-EA2AC5CBD907}">
      <text>
        <r>
          <rPr>
            <b/>
            <sz val="9"/>
            <color indexed="81"/>
            <rFont val="Tahoma"/>
            <family val="2"/>
          </rPr>
          <t>LENOVO:</t>
        </r>
        <r>
          <rPr>
            <sz val="9"/>
            <color indexed="81"/>
            <rFont val="Tahoma"/>
            <family val="2"/>
          </rPr>
          <t xml:space="preserve">
</t>
        </r>
        <r>
          <rPr>
            <b/>
            <sz val="10"/>
            <color indexed="81"/>
            <rFont val="Tahoma"/>
            <family val="2"/>
          </rPr>
          <t>Autos prados
Av Afganistán 109, norte, 66636 Cdad. Apodaca, N.L.</t>
        </r>
        <r>
          <rPr>
            <sz val="9"/>
            <color indexed="81"/>
            <rFont val="Tahoma"/>
            <family val="2"/>
          </rPr>
          <t xml:space="preserve">
https://www.google.com/maps/place/Autos+prados/@25.7793808,-100.2550434,17z/data=!3m1!4b1!4m6!3m5!1s0x8662edbdcf580229:0x51c3955f69eb31fb!8m2!3d25.7793808!4d-100.2550434!16s%2Fg%2F11l33r6rtd!5m1!1e2?entry=ttu&amp;g_ep=EgoyMDI1MDgxMy4wIKXMDSoASAFQAw%3D%3D</t>
        </r>
      </text>
    </comment>
    <comment ref="H1586" authorId="2" shapeId="0" xr:uid="{710CE96C-E650-4285-8060-447B883C4B6C}">
      <text>
        <r>
          <rPr>
            <b/>
            <sz val="9"/>
            <color indexed="81"/>
            <rFont val="Tahoma"/>
            <family val="2"/>
          </rPr>
          <t>LENOVO:</t>
        </r>
        <r>
          <rPr>
            <sz val="9"/>
            <color indexed="81"/>
            <rFont val="Tahoma"/>
            <family val="2"/>
          </rPr>
          <t xml:space="preserve">
Calle Joaquín G. Leal Nte. 1814, Terminal, 64580 Monterrey, N.L.
https://www.google.com/maps/place/Calle+Joaqu%C3%ADn+G.+Leal+Nte.+1814,+Terminal,+64580+Monterrey,+N.L./@25.689657,-100.2997224,17z/data=!3m1!4b1!4m6!3m5!1s0x86629570f2bc3409:0xb947be9e23428160!8m2!3d25.689657!4d-100.2971475!16s%2Fg%2F11c5plt1h2!5m1!1e2?entry=ttu&amp;g_ep=EgoyMDI1MTEwOS4wIKXMDSoASAFQAw%3D%3D</t>
        </r>
      </text>
    </comment>
    <comment ref="H1587" authorId="2" shapeId="0" xr:uid="{D7ECFD57-F66F-4D80-8BB0-E9E121346002}">
      <text>
        <r>
          <rPr>
            <b/>
            <sz val="9"/>
            <color indexed="81"/>
            <rFont val="Tahoma"/>
            <family val="2"/>
          </rPr>
          <t>LENOVO:</t>
        </r>
        <r>
          <rPr>
            <sz val="9"/>
            <color indexed="81"/>
            <rFont val="Tahoma"/>
            <family val="2"/>
          </rPr>
          <t xml:space="preserve">
Calle Joaquín G. Leal Nte. 1814, Terminal, 64580 Monterrey, N.L.
https://www.google.com/maps/place/Calle+Joaqu%C3%ADn+G.+Leal+Nte.+1814,+Terminal,+64580+Monterrey,+N.L./@25.689657,-100.2997224,17z/data=!3m1!4b1!4m6!3m5!1s0x86629570f2bc3409:0xb947be9e23428160!8m2!3d25.689657!4d-100.2971475!16s%2Fg%2F11c5plt1h2!5m1!1e2?entry=ttu&amp;g_ep=EgoyMDI1MTEwOS4wIKXMDSoASAFQAw%3D%3D</t>
        </r>
      </text>
    </comment>
    <comment ref="H1588" authorId="0" shapeId="0" xr:uid="{FC0B4EE7-C9B3-436B-93AC-212928DBC143}">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89" authorId="0" shapeId="0" xr:uid="{BE2F3DD7-52C7-418C-84CD-00DCC506D920}">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90" authorId="2" shapeId="0" xr:uid="{14585CFC-9683-4512-A32F-9C47EC716105}">
      <text>
        <r>
          <rPr>
            <b/>
            <sz val="9"/>
            <color indexed="81"/>
            <rFont val="Tahoma"/>
            <family val="2"/>
          </rPr>
          <t>LENOVO:</t>
        </r>
        <r>
          <rPr>
            <sz val="9"/>
            <color indexed="81"/>
            <rFont val="Tahoma"/>
            <family val="2"/>
          </rPr>
          <t xml:space="preserve">
Chichimeca 557, Azteca, 67150 Guadalupe, N.L.
https://www.google.com/maps/place/Chichimeca+557,+Azteca,+67150+Guadalupe,+N.L./@25.6833292,-100.2356189,17z/data=!3m1!4b1!4m6!3m5!1s0x8662ea9e66a95f09:0xfe751a30627c27c4!8m2!3d25.6833292!4d-100.233044!16s%2Fg%2F11fjz9nyzq!5m1!1e2?entry=ttu&amp;g_ep=EgoyMDI1MTExNy4wIKXMDSoASAFQAw%3D%3D</t>
        </r>
      </text>
    </comment>
    <comment ref="H1591" authorId="0" shapeId="0" xr:uid="{8DE60FD2-DF84-40F4-96A5-ADAD91A6DA2A}">
      <text>
        <r>
          <rPr>
            <b/>
            <sz val="9"/>
            <color indexed="81"/>
            <rFont val="Tahoma"/>
            <family val="2"/>
          </rPr>
          <t>UBITEC:</t>
        </r>
        <r>
          <rPr>
            <sz val="9"/>
            <color indexed="81"/>
            <rFont val="Tahoma"/>
            <family val="2"/>
          </rPr>
          <t xml:space="preserve">
</t>
        </r>
        <r>
          <rPr>
            <b/>
            <sz val="10"/>
            <color indexed="81"/>
            <rFont val="Tahoma"/>
            <family val="2"/>
          </rPr>
          <t xml:space="preserve">Lote Autos Margon (Bodega)
Av. Chopo 506, Bosques Real II, 66612 Cdad. Apodaca, N.L.
</t>
        </r>
        <r>
          <rPr>
            <sz val="9"/>
            <color indexed="81"/>
            <rFont val="Tahoma"/>
            <family val="2"/>
          </rPr>
          <t>https://www.google.com/maps/place/Av.+Chopo+506,+Bosques+Real+II,+66612+Cdad.+Apodaca,+N.L./@25.7810756,-100.245349,19z/data=!3m1!4b1!4m12!1m5!3m4!2zMjXCsDQ2JzUxLjciTiAxMDDCsDE0JzQyLjMiVw!8m2!3d25.7810278!4d-100.2450833!3m5!1s0x8662eca4405c2bdd:0x396b8b9cfae34cc!8m2!3d25.7810744!4d-100.2447053!16s%2Fg%2F11c2b88xzd!5m1!1e2?hl=es&amp;entry=ttu&amp;g_ep=EgoyMDI1MTExMi4wIKXMDSoASAFQAw%3D%3D</t>
        </r>
      </text>
    </comment>
    <comment ref="H1592" authorId="2" shapeId="0" xr:uid="{F3D29B91-C59A-4B8C-8556-2F0834669DC8}">
      <text>
        <r>
          <rPr>
            <b/>
            <sz val="9"/>
            <color indexed="81"/>
            <rFont val="Tahoma"/>
            <family val="2"/>
          </rPr>
          <t>LENOVO:</t>
        </r>
        <r>
          <rPr>
            <sz val="9"/>
            <color indexed="81"/>
            <rFont val="Tahoma"/>
            <family val="2"/>
          </rPr>
          <t xml:space="preserve">
</t>
        </r>
        <r>
          <rPr>
            <b/>
            <sz val="9"/>
            <color indexed="81"/>
            <rFont val="Tahoma"/>
            <family val="2"/>
          </rPr>
          <t>Domicilio C. Sierra de Gomas 614, Cerro de La Silla (U.c.), 67190 Guadalupe, N.L.</t>
        </r>
        <r>
          <rPr>
            <sz val="9"/>
            <color indexed="81"/>
            <rFont val="Tahoma"/>
            <family val="2"/>
          </rPr>
          <t xml:space="preserve">
https://www.google.com/maps/place/C.+Sierra+de+Gomas+614,+Cerro+de+La+Silla+(U.c.),+67190+Guadalupe,+N.L./@25.665652,-100.1958819,17z/data=!3m1!4b1!4m6!3m5!1s0x8662c1c1fa28813f:0xeb35765624fe6bd0!8m2!3d25.665652!4d-100.193307!16s%2Fg%2F11wb1s8_kq!5m1!1e2?entry=ttu&amp;g_ep=EgoyMDI1MTExNy4wIKXMDSoASAFQAw%3D%3D</t>
        </r>
      </text>
    </comment>
    <comment ref="H1593" authorId="2" shapeId="0" xr:uid="{6D3A7C77-1C19-4811-854B-002BFB8976A7}">
      <text>
        <r>
          <rPr>
            <b/>
            <sz val="9"/>
            <color indexed="81"/>
            <rFont val="Tahoma"/>
            <family val="2"/>
          </rPr>
          <t>LENOVO:</t>
        </r>
        <r>
          <rPr>
            <sz val="9"/>
            <color indexed="81"/>
            <rFont val="Tahoma"/>
            <family val="2"/>
          </rPr>
          <t xml:space="preserve">
</t>
        </r>
        <r>
          <rPr>
            <b/>
            <sz val="9"/>
            <color indexed="81"/>
            <rFont val="Tahoma"/>
            <family val="2"/>
          </rPr>
          <t>Domicilio C. Sierra de Gomas 614, Cerro de La Silla (U.c.), 67190 Guadalupe, N.L.</t>
        </r>
        <r>
          <rPr>
            <sz val="9"/>
            <color indexed="81"/>
            <rFont val="Tahoma"/>
            <family val="2"/>
          </rPr>
          <t xml:space="preserve">
https://www.google.com/maps/place/C.+Sierra+de+Gomas+614,+Cerro+de+La+Silla+(U.c.),+67190+Guadalupe,+N.L./@25.665652,-100.1958819,17z/data=!3m1!4b1!4m6!3m5!1s0x8662c1c1fa28813f:0xeb35765624fe6bd0!8m2!3d25.665652!4d-100.193307!16s%2Fg%2F11wb1s8_kq!5m1!1e2?entry=ttu&amp;g_ep=EgoyMDI1MTExNy4wIKXMDSoASAFQAw%3D%3D</t>
        </r>
      </text>
    </comment>
    <comment ref="H1594" authorId="2" shapeId="0" xr:uid="{04CDD521-A0D5-41A1-8E38-33C7E0E2C15E}">
      <text>
        <r>
          <rPr>
            <b/>
            <sz val="9"/>
            <color indexed="81"/>
            <rFont val="Tahoma"/>
            <family val="2"/>
          </rPr>
          <t>LENOVO:</t>
        </r>
        <r>
          <rPr>
            <sz val="9"/>
            <color indexed="81"/>
            <rFont val="Tahoma"/>
            <family val="2"/>
          </rPr>
          <t xml:space="preserve">
</t>
        </r>
        <r>
          <rPr>
            <b/>
            <sz val="9"/>
            <color indexed="81"/>
            <rFont val="Tahoma"/>
            <family val="2"/>
          </rPr>
          <t>Domicilio Seminuevos MG1
1a Avenida 213, México 86, 67194 Guadalupe, N.L.</t>
        </r>
        <r>
          <rPr>
            <sz val="9"/>
            <color indexed="81"/>
            <rFont val="Tahoma"/>
            <family val="2"/>
          </rPr>
          <t xml:space="preserve">
https://www.google.com/maps/place/Seminuevos+MG1/@25.6507044,-100.1982006,19.5z/data=!3m1!5s0x8662c1bb816b2f3b:0xd856612b5d1a39a6!4m14!1m7!3m6!1s0x8662c1bc80dc80e5:0xbbc88e6469b2342d!2sPlaza+Mexico+86!8m2!3d25.6511923!4d-100.1985634!16s%2Fg%2F1ptzs_1rl!3m5!1s0x8662c12edf752e5d:0x6fba453c41aec75d!8m2!3d25.6506384!4d-100.1976835!16s%2Fg%2F11jb33c6n8!5m1!1e2?entry=ttu&amp;g_ep=EgoyMDI1MTExNy4wIKXMDSoASAFQAw%3D%3D</t>
        </r>
      </text>
    </comment>
    <comment ref="H1595" authorId="0" shapeId="0" xr:uid="{51524149-281C-410A-B368-5C51906248D5}">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96" authorId="0" shapeId="0" xr:uid="{BFEC3393-AFD9-4F35-9B1D-7407ACCB0FAD}">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97" authorId="0" shapeId="0" xr:uid="{E0A5696D-1330-4302-8F3A-9D1C860F18CF}">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98" authorId="0" shapeId="0" xr:uid="{E850EB6E-2C11-4532-9106-2C56F76845F3}">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599" authorId="0" shapeId="0" xr:uid="{DECE43B6-8439-465F-9F8B-434B5341540B}">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00" authorId="0" shapeId="0" xr:uid="{25E91FE7-D7F0-42B4-A9A2-4EB856BDF1ED}">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01" authorId="0" shapeId="0" xr:uid="{E09D5167-4507-4F43-9479-CECAA908FA5B}">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02" authorId="0" shapeId="0" xr:uid="{515500E7-EAE4-4AA7-89BA-91B9F6BF0CBE}">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03" authorId="0" shapeId="0" xr:uid="{CF3BCE40-DB38-4508-A544-CD2BB78C595C}">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04" authorId="2" shapeId="0" xr:uid="{BF42CEFB-CA4A-48DD-8FB4-F14592FC7163}">
      <text>
        <r>
          <rPr>
            <b/>
            <sz val="9"/>
            <color indexed="81"/>
            <rFont val="Tahoma"/>
            <family val="2"/>
          </rPr>
          <t>LENOVO:</t>
        </r>
        <r>
          <rPr>
            <sz val="9"/>
            <color indexed="81"/>
            <rFont val="Tahoma"/>
            <family val="2"/>
          </rPr>
          <t xml:space="preserve">
</t>
        </r>
        <r>
          <rPr>
            <b/>
            <sz val="9"/>
            <color indexed="81"/>
            <rFont val="Tahoma"/>
            <family val="2"/>
          </rPr>
          <t>Lote Autos Concordia 
Ébano Sur Ote. 548, Bosques Real I, 66612 Cdad. Apodaca, N.L.</t>
        </r>
        <r>
          <rPr>
            <sz val="9"/>
            <color indexed="81"/>
            <rFont val="Tahoma"/>
            <family val="2"/>
          </rPr>
          <t xml:space="preserve">
https://www.google.com/maps/place/%C3%89bano+Sur+Ote.+548,+Bosques+Real+I,+66612+Cdad.+Apodaca,+N.L./@25.7844503,-100.2435411,17z/data=!3m1!4b1!4m6!3m5!1s0x8662eca3236200b9:0xd520c01965fd3ef7!8m2!3d25.7844455!4d-100.2409662!16s%2Fg%2F11g6yhs4px?entry=ttu&amp;g_ep=EgoyMDI1MTIwNy4wIKXMDSoASAFQAw%3D%3D</t>
        </r>
      </text>
    </comment>
    <comment ref="H1605" authorId="0" shapeId="0" xr:uid="{4C64B699-EF02-4852-824C-EACE0AA2E062}">
      <text>
        <r>
          <rPr>
            <b/>
            <sz val="9"/>
            <color indexed="81"/>
            <rFont val="Tahoma"/>
            <family val="2"/>
          </rPr>
          <t>UBITEC:</t>
        </r>
        <r>
          <rPr>
            <sz val="9"/>
            <color indexed="81"/>
            <rFont val="Tahoma"/>
            <family val="2"/>
          </rPr>
          <t xml:space="preserve">
</t>
        </r>
        <r>
          <rPr>
            <b/>
            <sz val="10"/>
            <color indexed="81"/>
            <rFont val="Tahoma"/>
            <family val="2"/>
          </rPr>
          <t xml:space="preserve">Lote Autos Margon (Bodega)
Av. Chopo 506, Bosques Real II, 66612 Cdad. Apodaca, N.L.
</t>
        </r>
        <r>
          <rPr>
            <sz val="9"/>
            <color indexed="81"/>
            <rFont val="Tahoma"/>
            <family val="2"/>
          </rPr>
          <t>https://www.google.com/maps/place/Av.+Chopo+506,+Bosques+Real+II,+66612+Cdad.+Apodaca,+N.L./@25.7810756,-100.245349,19z/data=!3m1!4b1!4m12!1m5!3m4!2zMjXCsDQ2JzUxLjciTiAxMDDCsDE0JzQyLjMiVw!8m2!3d25.7810278!4d-100.2450833!3m5!1s0x8662eca4405c2bdd:0x396b8b9cfae34cc!8m2!3d25.7810744!4d-100.2447053!16s%2Fg%2F11c2b88xzd!5m1!1e2?hl=es&amp;entry=ttu&amp;g_ep=EgoyMDI1MTExMi4wIKXMDSoASAFQAw%3D%3D</t>
        </r>
      </text>
    </comment>
    <comment ref="H1606" authorId="0" shapeId="0" xr:uid="{8D749940-78C5-40F6-A2A6-694E14617F5F}">
      <text>
        <r>
          <rPr>
            <b/>
            <sz val="9"/>
            <color indexed="81"/>
            <rFont val="Tahoma"/>
            <family val="2"/>
          </rPr>
          <t>UBITEC:</t>
        </r>
        <r>
          <rPr>
            <sz val="9"/>
            <color indexed="81"/>
            <rFont val="Tahoma"/>
            <family val="2"/>
          </rPr>
          <t xml:space="preserve">
</t>
        </r>
        <r>
          <rPr>
            <b/>
            <sz val="10"/>
            <color indexed="81"/>
            <rFont val="Tahoma"/>
            <family val="2"/>
          </rPr>
          <t xml:space="preserve">Lote Autos Margon (Bodega)
Av. Chopo 506, Bosques Real II, 66612 Cdad. Apodaca, N.L.
</t>
        </r>
        <r>
          <rPr>
            <sz val="9"/>
            <color indexed="81"/>
            <rFont val="Tahoma"/>
            <family val="2"/>
          </rPr>
          <t>https://www.google.com/maps/place/Av.+Chopo+506,+Bosques+Real+II,+66612+Cdad.+Apodaca,+N.L./@25.7810756,-100.245349,19z/data=!3m1!4b1!4m12!1m5!3m4!2zMjXCsDQ2JzUxLjciTiAxMDDCsDE0JzQyLjMiVw!8m2!3d25.7810278!4d-100.2450833!3m5!1s0x8662eca4405c2bdd:0x396b8b9cfae34cc!8m2!3d25.7810744!4d-100.2447053!16s%2Fg%2F11c2b88xzd!5m1!1e2?hl=es&amp;entry=ttu&amp;g_ep=EgoyMDI1MTExMi4wIKXMDSoASAFQAw%3D%3D</t>
        </r>
      </text>
    </comment>
    <comment ref="H1607" authorId="0" shapeId="0" xr:uid="{7038B58B-61CC-47A2-8979-8F72133F23F4}">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08" authorId="0" shapeId="0" xr:uid="{24C19812-A41F-4A9F-A948-2D9C1F76D3D8}">
      <text>
        <r>
          <rPr>
            <b/>
            <sz val="9"/>
            <color indexed="81"/>
            <rFont val="Tahoma"/>
            <family val="2"/>
          </rPr>
          <t>UBITEC:</t>
        </r>
        <r>
          <rPr>
            <sz val="9"/>
            <color indexed="81"/>
            <rFont val="Tahoma"/>
            <family val="2"/>
          </rPr>
          <t xml:space="preserve">
</t>
        </r>
        <r>
          <rPr>
            <b/>
            <sz val="10"/>
            <color indexed="81"/>
            <rFont val="Tahoma"/>
            <family val="2"/>
          </rPr>
          <t xml:space="preserve">Lote Autos Margon (Bodega)
Av. Chopo 506, Bosques Real II, 66612 Cdad. Apodaca, N.L.
</t>
        </r>
        <r>
          <rPr>
            <sz val="9"/>
            <color indexed="81"/>
            <rFont val="Tahoma"/>
            <family val="2"/>
          </rPr>
          <t>https://www.google.com/maps/place/Av.+Chopo+506,+Bosques+Real+II,+66612+Cdad.+Apodaca,+N.L./@25.7810756,-100.245349,19z/data=!3m1!4b1!4m12!1m5!3m4!2zMjXCsDQ2JzUxLjciTiAxMDDCsDE0JzQyLjMiVw!8m2!3d25.7810278!4d-100.2450833!3m5!1s0x8662eca4405c2bdd:0x396b8b9cfae34cc!8m2!3d25.7810744!4d-100.2447053!16s%2Fg%2F11c2b88xzd!5m1!1e2?hl=es&amp;entry=ttu&amp;g_ep=EgoyMDI1MTExMi4wIKXMDSoASAFQAw%3D%3D</t>
        </r>
      </text>
    </comment>
    <comment ref="H1609" authorId="0" shapeId="0" xr:uid="{1129124C-28A3-40B2-9126-B54E4CA7B0B9}">
      <text>
        <r>
          <rPr>
            <b/>
            <sz val="9"/>
            <color indexed="81"/>
            <rFont val="Tahoma"/>
            <family val="2"/>
          </rPr>
          <t>UBITEC:</t>
        </r>
        <r>
          <rPr>
            <sz val="9"/>
            <color indexed="81"/>
            <rFont val="Tahoma"/>
            <family val="2"/>
          </rPr>
          <t xml:space="preserve">
</t>
        </r>
        <r>
          <rPr>
            <b/>
            <sz val="10"/>
            <color indexed="81"/>
            <rFont val="Tahoma"/>
            <family val="2"/>
          </rPr>
          <t xml:space="preserve">Lote Autos Margon (Bodega)
Av. Chopo 506, Bosques Real II, 66612 Cdad. Apodaca, N.L.
</t>
        </r>
        <r>
          <rPr>
            <sz val="9"/>
            <color indexed="81"/>
            <rFont val="Tahoma"/>
            <family val="2"/>
          </rPr>
          <t>https://www.google.com/maps/place/Av.+Chopo+506,+Bosques+Real+II,+66612+Cdad.+Apodaca,+N.L./@25.7810756,-100.245349,19z/data=!3m1!4b1!4m12!1m5!3m4!2zMjXCsDQ2JzUxLjciTiAxMDDCsDE0JzQyLjMiVw!8m2!3d25.7810278!4d-100.2450833!3m5!1s0x8662eca4405c2bdd:0x396b8b9cfae34cc!8m2!3d25.7810744!4d-100.2447053!16s%2Fg%2F11c2b88xzd!5m1!1e2?hl=es&amp;entry=ttu&amp;g_ep=EgoyMDI1MTExMi4wIKXMDSoASAFQAw%3D%3D</t>
        </r>
      </text>
    </comment>
    <comment ref="J1619" authorId="0" shapeId="0" xr:uid="{7FA945AD-ABED-42AA-8FBC-361E85B63066}">
      <text>
        <r>
          <rPr>
            <b/>
            <sz val="9"/>
            <color indexed="81"/>
            <rFont val="Tahoma"/>
            <family val="2"/>
          </rPr>
          <t>UBITEC:</t>
        </r>
        <r>
          <rPr>
            <sz val="9"/>
            <color indexed="81"/>
            <rFont val="Tahoma"/>
            <family val="2"/>
          </rPr>
          <t xml:space="preserve">
</t>
        </r>
        <r>
          <rPr>
            <b/>
            <sz val="10"/>
            <color indexed="81"/>
            <rFont val="Tahoma"/>
            <family val="2"/>
          </rPr>
          <t>Domicilio</t>
        </r>
        <r>
          <rPr>
            <sz val="10"/>
            <color indexed="81"/>
            <rFont val="Tahoma"/>
            <family val="2"/>
          </rPr>
          <t xml:space="preserve"> Hacienda de San Pastor 307, Villas de la Hacienda, 67288 Jardines de la Silla, N.L.</t>
        </r>
        <r>
          <rPr>
            <sz val="9"/>
            <color indexed="81"/>
            <rFont val="Tahoma"/>
            <family val="2"/>
          </rPr>
          <t xml:space="preserve">
https://www.google.com/maps/place/Hacienda+de+San+Pastor+307,+Villas+de+la+Hacienda,+67288+Jardines+de+la+Silla,+N.L./@25.6341717,-100.1668856,17z/data=!3m1!4b1!4m6!3m5!1s0x8662c3d3f390a5b3:0xff4c78c85aa93c73!8m2!3d25.6341717!4d-100.1643107!16s%2Fg%2F11y7ffn2qf!5m1!1e2?entry=ttu&amp;g_ep=EgoyMDI1MDExMC4wIKXMDSoASAFQAw%3D%3D</t>
        </r>
      </text>
    </comment>
    <comment ref="H1622" authorId="0" shapeId="0" xr:uid="{D2D87697-930F-40F1-BC85-F485678A0F65}">
      <text>
        <r>
          <rPr>
            <b/>
            <sz val="9"/>
            <color indexed="81"/>
            <rFont val="Tahoma"/>
            <family val="2"/>
          </rPr>
          <t>UBITEC:</t>
        </r>
        <r>
          <rPr>
            <sz val="9"/>
            <color indexed="81"/>
            <rFont val="Tahoma"/>
            <family val="2"/>
          </rPr>
          <t xml:space="preserve">
</t>
        </r>
        <r>
          <rPr>
            <b/>
            <sz val="10"/>
            <color indexed="81"/>
            <rFont val="Tahoma"/>
            <family val="2"/>
          </rPr>
          <t xml:space="preserve">Lote Autos Margon (Bodega)
Av. Chopo 506, Bosques Real II, 66612 Cdad. Apodaca, N.L.
</t>
        </r>
        <r>
          <rPr>
            <sz val="9"/>
            <color indexed="81"/>
            <rFont val="Tahoma"/>
            <family val="2"/>
          </rPr>
          <t>https://www.google.com/maps/place/Av.+Chopo+506,+Bosques+Real+II,+66612+Cdad.+Apodaca,+N.L./@25.7810756,-100.245349,19z/data=!3m1!4b1!4m12!1m5!3m4!2zMjXCsDQ2JzUxLjciTiAxMDDCsDE0JzQyLjMiVw!8m2!3d25.7810278!4d-100.2450833!3m5!1s0x8662eca4405c2bdd:0x396b8b9cfae34cc!8m2!3d25.7810744!4d-100.2447053!16s%2Fg%2F11c2b88xzd!5m1!1e2?hl=es&amp;entry=ttu&amp;g_ep=EgoyMDI1MTExMi4wIKXMDSoASAFQAw%3D%3D</t>
        </r>
      </text>
    </comment>
    <comment ref="H1623" authorId="0" shapeId="0" xr:uid="{1BEA1E96-FAF4-44B0-BBBD-A955D73652BC}">
      <text>
        <r>
          <rPr>
            <b/>
            <sz val="9"/>
            <color indexed="81"/>
            <rFont val="Tahoma"/>
            <family val="2"/>
          </rPr>
          <t>UBITEC:</t>
        </r>
        <r>
          <rPr>
            <sz val="9"/>
            <color indexed="81"/>
            <rFont val="Tahoma"/>
            <family val="2"/>
          </rPr>
          <t xml:space="preserve">
</t>
        </r>
        <r>
          <rPr>
            <b/>
            <sz val="10"/>
            <color indexed="81"/>
            <rFont val="Tahoma"/>
            <family val="2"/>
          </rPr>
          <t xml:space="preserve">Lote Autos Margon (Bodega)
Av. Chopo 506, Bosques Real II, 66612 Cdad. Apodaca, N.L.
</t>
        </r>
        <r>
          <rPr>
            <sz val="9"/>
            <color indexed="81"/>
            <rFont val="Tahoma"/>
            <family val="2"/>
          </rPr>
          <t>https://www.google.com/maps/place/Av.+Chopo+506,+Bosques+Real+II,+66612+Cdad.+Apodaca,+N.L./@25.7810756,-100.245349,19z/data=!3m1!4b1!4m12!1m5!3m4!2zMjXCsDQ2JzUxLjciTiAxMDDCsDE0JzQyLjMiVw!8m2!3d25.7810278!4d-100.2450833!3m5!1s0x8662eca4405c2bdd:0x396b8b9cfae34cc!8m2!3d25.7810744!4d-100.2447053!16s%2Fg%2F11c2b88xzd!5m1!1e2?hl=es&amp;entry=ttu&amp;g_ep=EgoyMDI1MTExMi4wIKXMDSoASAFQAw%3D%3D</t>
        </r>
      </text>
    </comment>
    <comment ref="H1624" authorId="2" shapeId="0" xr:uid="{731D9496-3A92-4716-877B-11AFC9527402}">
      <text>
        <r>
          <rPr>
            <b/>
            <sz val="9"/>
            <color indexed="81"/>
            <rFont val="Tahoma"/>
            <family val="2"/>
          </rPr>
          <t>LENOVO:</t>
        </r>
        <r>
          <rPr>
            <sz val="9"/>
            <color indexed="81"/>
            <rFont val="Tahoma"/>
            <family val="2"/>
          </rPr>
          <t xml:space="preserve">
</t>
        </r>
        <r>
          <rPr>
            <b/>
            <sz val="9"/>
            <color indexed="81"/>
            <rFont val="Tahoma"/>
            <family val="2"/>
          </rPr>
          <t>Lote Autos Concordia 
Ébano Sur Ote. 548, Bosques Real I, 66612 Cdad. Apodaca, N.L.</t>
        </r>
        <r>
          <rPr>
            <sz val="9"/>
            <color indexed="81"/>
            <rFont val="Tahoma"/>
            <family val="2"/>
          </rPr>
          <t xml:space="preserve">
https://www.google.com/maps/place/%C3%89bano+Sur+Ote.+548,+Bosques+Real+I,+66612+Cdad.+Apodaca,+N.L./@25.7844503,-100.2435411,17z/data=!3m1!4b1!4m6!3m5!1s0x8662eca3236200b9:0xd520c01965fd3ef7!8m2!3d25.7844455!4d-100.2409662!16s%2Fg%2F11g6yhs4px?entry=ttu&amp;g_ep=EgoyMDI1MTIwNy4wIKXMDSoASAFQAw%3D%3D</t>
        </r>
      </text>
    </comment>
    <comment ref="H1625" authorId="0" shapeId="0" xr:uid="{589C4496-0699-4CF8-ACD3-0914C5016C0F}">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1626" authorId="0" shapeId="0" xr:uid="{653C2A83-EE0C-4A1B-AC27-0762D2566879}">
      <text>
        <r>
          <rPr>
            <b/>
            <sz val="9"/>
            <color indexed="81"/>
            <rFont val="Tahoma"/>
            <family val="2"/>
          </rPr>
          <t>UBITEC:</t>
        </r>
        <r>
          <rPr>
            <sz val="9"/>
            <color indexed="81"/>
            <rFont val="Tahoma"/>
            <family val="2"/>
          </rPr>
          <t xml:space="preserve">
</t>
        </r>
        <r>
          <rPr>
            <b/>
            <sz val="10"/>
            <color indexed="81"/>
            <rFont val="Tahoma"/>
            <family val="2"/>
          </rPr>
          <t xml:space="preserve">Lote Autos Margon (Bodega)
Av. Chopo 506, Bosques Real II, 66612 Cdad. Apodaca, N.L.
</t>
        </r>
        <r>
          <rPr>
            <sz val="9"/>
            <color indexed="81"/>
            <rFont val="Tahoma"/>
            <family val="2"/>
          </rPr>
          <t>https://www.google.com/maps/place/Av.+Chopo+506,+Bosques+Real+II,+66612+Cdad.+Apodaca,+N.L./@25.7810756,-100.245349,19z/data=!3m1!4b1!4m12!1m5!3m4!2zMjXCsDQ2JzUxLjciTiAxMDDCsDE0JzQyLjMiVw!8m2!3d25.7810278!4d-100.2450833!3m5!1s0x8662eca4405c2bdd:0x396b8b9cfae34cc!8m2!3d25.7810744!4d-100.2447053!16s%2Fg%2F11c2b88xzd!5m1!1e2?hl=es&amp;entry=ttu&amp;g_ep=EgoyMDI1MTExMi4wIKXMDSoASAFQAw%3D%3D</t>
        </r>
      </text>
    </comment>
    <comment ref="H1627" authorId="2" shapeId="0" xr:uid="{96561FF6-90CC-43E8-81E3-A6F4B07489AA}">
      <text>
        <r>
          <rPr>
            <b/>
            <sz val="9"/>
            <color indexed="81"/>
            <rFont val="Tahoma"/>
            <family val="2"/>
          </rPr>
          <t>LENOVO:</t>
        </r>
        <r>
          <rPr>
            <sz val="9"/>
            <color indexed="81"/>
            <rFont val="Tahoma"/>
            <family val="2"/>
          </rPr>
          <t xml:space="preserve">
</t>
        </r>
        <r>
          <rPr>
            <b/>
            <sz val="9"/>
            <color indexed="81"/>
            <rFont val="Tahoma"/>
            <family val="2"/>
          </rPr>
          <t>Domicilio Chopo 101, 67262 Cdad. Benito Juárez, N.L.</t>
        </r>
        <r>
          <rPr>
            <sz val="9"/>
            <color indexed="81"/>
            <rFont val="Tahoma"/>
            <family val="2"/>
          </rPr>
          <t xml:space="preserve">
https://www.google.com/maps/place/Chopo+101-D,+67262+Cdad.+Benito+Ju%C3%A1rez,+N.L./@25.6430386,-100.0939636,2861m/data=!3m2!1e3!4b1!4m6!3m5!1s0x8662dd2e491da9ab:0x22115c91e614cc44!8m2!3d25.6430204!4d-100.0755096!16s%2Fg%2F11wtxcg_h0!5m1!1e2?entry=ttu&amp;g_ep=EgoyMDI2MDEwNy4wIKXMDSoASAFQAw%3D%3D</t>
        </r>
      </text>
    </comment>
    <comment ref="H1628" authorId="0" shapeId="0" xr:uid="{6DDAACE6-478A-4A62-B13C-278CDAB2F33A}">
      <text>
        <r>
          <rPr>
            <b/>
            <sz val="9"/>
            <color indexed="81"/>
            <rFont val="Tahoma"/>
            <family val="2"/>
          </rPr>
          <t>UBITEC:</t>
        </r>
        <r>
          <rPr>
            <sz val="9"/>
            <color indexed="81"/>
            <rFont val="Tahoma"/>
            <family val="2"/>
          </rPr>
          <t xml:space="preserve">
</t>
        </r>
        <r>
          <rPr>
            <b/>
            <sz val="9"/>
            <color indexed="81"/>
            <rFont val="Tahoma"/>
            <family val="2"/>
          </rPr>
          <t>Domicilio C. Sierra de Gomas 614, Col. Cerro de la Silla, 67190 Guadalupe, N.L.</t>
        </r>
        <r>
          <rPr>
            <sz val="10"/>
            <color indexed="81"/>
            <rFont val="Tahoma"/>
            <family val="2"/>
          </rPr>
          <t xml:space="preserve"> </t>
        </r>
        <r>
          <rPr>
            <sz val="9"/>
            <color indexed="81"/>
            <rFont val="Tahoma"/>
            <family val="2"/>
          </rPr>
          <t xml:space="preserve">
https://www.google.com/maps/place/25%C2%B039'56.2%22N+100%C2%B011'35.3%22W/@25.6655488,-100.1938433,18.75z/data=!4m4!3m3!8m2!3d25.6655998!4d-100.1931381?hl=es&amp;entry=ttu</t>
        </r>
      </text>
    </comment>
    <comment ref="H1629" authorId="0" shapeId="0" xr:uid="{27BC8B36-59B0-43C9-9772-3F26A2FEFC2F}">
      <text>
        <r>
          <rPr>
            <b/>
            <sz val="9"/>
            <color indexed="81"/>
            <rFont val="Tahoma"/>
            <family val="2"/>
          </rPr>
          <t>UBITEC:</t>
        </r>
        <r>
          <rPr>
            <sz val="9"/>
            <color indexed="81"/>
            <rFont val="Tahoma"/>
            <family val="2"/>
          </rPr>
          <t xml:space="preserve">
</t>
        </r>
        <r>
          <rPr>
            <b/>
            <sz val="10"/>
            <color indexed="81"/>
            <rFont val="Tahoma"/>
            <family val="2"/>
          </rPr>
          <t xml:space="preserve">Lote Autos Margon (Bodega)
Av. Chopo 506, Bosques Real II, 66612 Cdad. Apodaca, N.L.
</t>
        </r>
        <r>
          <rPr>
            <sz val="9"/>
            <color indexed="81"/>
            <rFont val="Tahoma"/>
            <family val="2"/>
          </rPr>
          <t>https://www.google.com/maps/place/Av.+Chopo+506,+Bosques+Real+II,+66612+Cdad.+Apodaca,+N.L./@25.7810756,-100.245349,19z/data=!3m1!4b1!4m12!1m5!3m4!2zMjXCsDQ2JzUxLjciTiAxMDDCsDE0JzQyLjMiVw!8m2!3d25.7810278!4d-100.2450833!3m5!1s0x8662eca4405c2bdd:0x396b8b9cfae34cc!8m2!3d25.7810744!4d-100.2447053!16s%2Fg%2F11c2b88xzd!5m1!1e2?hl=es&amp;entry=ttu&amp;g_ep=EgoyMDI1MTExMi4wIKXMDSoASAFQAw%3D%3D</t>
        </r>
      </text>
    </comment>
    <comment ref="H1630" authorId="0" shapeId="0" xr:uid="{F4D0A40D-C80D-4B24-8D12-87D36316AE23}">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31" authorId="0" shapeId="0" xr:uid="{3A7D502D-4B13-4D81-BC00-AC87F9971FE3}">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32" authorId="0" shapeId="0" xr:uid="{0A3B04E0-51A0-4591-8513-29D7D97C41F6}">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33" authorId="0" shapeId="0" xr:uid="{F0896695-2538-4C13-AEB4-279FCB9B956D}">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34" authorId="0" shapeId="0" xr:uid="{913E57B2-7973-442A-9A14-316806DDBA91}">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36" authorId="2" shapeId="0" xr:uid="{D3068129-1554-450A-AC0B-9626FFBFB51F}">
      <text>
        <r>
          <rPr>
            <b/>
            <sz val="9"/>
            <color indexed="81"/>
            <rFont val="Tahoma"/>
            <family val="2"/>
          </rPr>
          <t>LENOVO:</t>
        </r>
        <r>
          <rPr>
            <sz val="9"/>
            <color indexed="81"/>
            <rFont val="Tahoma"/>
            <family val="2"/>
          </rPr>
          <t xml:space="preserve">
</t>
        </r>
        <r>
          <rPr>
            <b/>
            <sz val="9"/>
            <color indexed="81"/>
            <rFont val="Tahoma"/>
            <family val="2"/>
          </rPr>
          <t>Melchor Ocampo 355, Sin Nombre de Col 12, 66050 Cdad. Gral. Escobedo, N.L.</t>
        </r>
        <r>
          <rPr>
            <sz val="9"/>
            <color indexed="81"/>
            <rFont val="Tahoma"/>
            <family val="2"/>
          </rPr>
          <t xml:space="preserve">
https://www.google.com/maps/place/Melchor+Ocampo+355,+Sin+Nombre+de+Col+12,+66050+Cdad.+Gral.+Escobedo,+N.L./@25.8046892,-100.3179071,17z/data=!3m1!4b1!4m6!3m5!1s0x866293afe5f37217:0xe9726e6fab7c59f9!8m2!3d25.8046892!4d-100.3153322!16s%2Fg%2F11c2b8h4bn!5m1!1e2?entry=ttu&amp;g_ep=EgoyMDI2MDIwMS4wIKXMDSoASAFQAw%3D%3D</t>
        </r>
      </text>
    </comment>
    <comment ref="H1637" authorId="0" shapeId="0" xr:uid="{C5B1AB24-D6E8-4561-BCAA-C0044DB4686A}">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40" authorId="2" shapeId="0" xr:uid="{F8CC2793-1731-4942-87EB-A821FBBDF3A1}">
      <text>
        <r>
          <rPr>
            <b/>
            <sz val="9"/>
            <color indexed="81"/>
            <rFont val="Tahoma"/>
            <family val="2"/>
          </rPr>
          <t>LENOVO:</t>
        </r>
        <r>
          <rPr>
            <sz val="9"/>
            <color indexed="81"/>
            <rFont val="Tahoma"/>
            <family val="2"/>
          </rPr>
          <t xml:space="preserve">
</t>
        </r>
        <r>
          <rPr>
            <b/>
            <sz val="10"/>
            <color indexed="81"/>
            <rFont val="Tahoma"/>
            <family val="2"/>
          </rPr>
          <t>Domicilio C. Rodrigo Zuriaga 3202, Hidalgo, 64290 Monterrey, N.L.</t>
        </r>
        <r>
          <rPr>
            <sz val="9"/>
            <color indexed="81"/>
            <rFont val="Tahoma"/>
            <family val="2"/>
          </rPr>
          <t xml:space="preserve">
https://www.google.com/maps/place/C.+Rodrigo+Zuriaga+3202,+Hidalgo,+64290+Monterrey,+N.L./@25.7055931,-100.3227442,17z/data=!3m1!4b1!4m6!3m5!1s0x866295bbbf19542b:0x95ef1df921ce0b28!8m2!3d25.7055931!4d-100.3201693!16s%2Fg%2F11csk_9968!5m1!1e2?entry=ttu&amp;g_ep=EgoyMDI2MDIwMy4wIKXMDSoASAFQAw%3D%3D</t>
        </r>
      </text>
    </comment>
    <comment ref="H1643" authorId="2" shapeId="0" xr:uid="{D603484B-9B2C-4B56-9741-258F4B32847D}">
      <text>
        <r>
          <rPr>
            <b/>
            <sz val="9"/>
            <color indexed="81"/>
            <rFont val="Tahoma"/>
            <family val="2"/>
          </rPr>
          <t>LENOVO:</t>
        </r>
        <r>
          <rPr>
            <sz val="9"/>
            <color indexed="81"/>
            <rFont val="Tahoma"/>
            <family val="2"/>
          </rPr>
          <t xml:space="preserve">
</t>
        </r>
        <r>
          <rPr>
            <b/>
            <sz val="9"/>
            <color indexed="81"/>
            <rFont val="Tahoma"/>
            <family val="2"/>
          </rPr>
          <t>Domicilio Luis IX 5411, Valle de Los Reyes, 67180 Guadalupe, N.L.</t>
        </r>
        <r>
          <rPr>
            <sz val="9"/>
            <color indexed="81"/>
            <rFont val="Tahoma"/>
            <family val="2"/>
          </rPr>
          <t xml:space="preserve">
https://www.google.com/maps/place/Luis+IX+5411,+Valle+de+Los+Reyes,+67180+Guadalupe,+N.L./@25.6577692,-100.2073878,18.75z/data=!4m15!1m8!3m7!1s0x8662c1b634e0c115:0xbc671ea5cf64345c!2sValle+de+Los+Reyes,+67180+Guadalupe,+N.L.!3b1!8m2!3d25.6581101!4d-100.2071004!16s%2Fg%2F1tfbnrst!3m5!1s0x8662c1b7ca5ed499:0x1e9abfc64a37d8cc!8m2!3d25.6578971!4d-100.206553!16s%2Fg%2F11w7q4pmf8!5m1!1e2?entry=ttu&amp;g_ep=EgoyMDI2MDIwNC4wIKXMDSoASAFQAw%3D%3D</t>
        </r>
      </text>
    </comment>
    <comment ref="H1644" authorId="0" shapeId="0" xr:uid="{5D594349-397A-48B2-A01D-A807EACD203B}">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45" authorId="0" shapeId="0" xr:uid="{5F37E397-2F06-411B-A825-3740DAD72FD4}">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46" authorId="0" shapeId="0" xr:uid="{E26B833C-899E-4C3F-BE04-16BE4A71EF13}">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47" authorId="0" shapeId="0" xr:uid="{BAF1E768-4D7B-46EE-A158-650ABB7BDD8A}">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48" authorId="0" shapeId="0" xr:uid="{D986FC6C-847D-428E-8BFD-7D1ECDE4910C}">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49" authorId="0" shapeId="0" xr:uid="{2CAB4F76-2D24-4D81-A947-8EE10BBEB804}">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51" authorId="0" shapeId="0" xr:uid="{8F9B8C39-589F-4E00-A0D5-574A970C379A}">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52" authorId="2" shapeId="0" xr:uid="{8825C930-43EB-4451-BB67-B980A5367CAA}">
      <text>
        <r>
          <rPr>
            <b/>
            <sz val="9"/>
            <color indexed="81"/>
            <rFont val="Tahoma"/>
            <family val="2"/>
          </rPr>
          <t>LENOVO:</t>
        </r>
        <r>
          <rPr>
            <sz val="9"/>
            <color indexed="81"/>
            <rFont val="Tahoma"/>
            <family val="2"/>
          </rPr>
          <t xml:space="preserve">
Domicilio 
Juárez 305, José Páez García, 66008 García, N.L.
https://www.google.com/maps/place/Deposito+Valdez/@25.8103956,-100.6384948,15z/data=!3m1!4b1!4m12!1m5!3m4!2zMjXCsDQ4JzM3LjYiTiAxMDDCsDM3JzEyLjMiVw!8m2!3d25.810432!4d-100.620071!3m5!1s0x868827b22db81bb5:0x9c936ae051007710!8m2!3d25.8103774!4d-100.6200408!16s%2Fg%2F11g0fsffpy!5m1!1e2?entry=ttu&amp;g_ep=EgoyMDI2MDMxNS4wIKXMDSoASAFQAw%3D%3D</t>
        </r>
      </text>
    </comment>
    <comment ref="H1661" authorId="2" shapeId="0" xr:uid="{45A77382-409B-45DB-AB98-2BA1563DE9DC}">
      <text>
        <r>
          <rPr>
            <b/>
            <sz val="9"/>
            <color indexed="81"/>
            <rFont val="Tahoma"/>
            <family val="2"/>
          </rPr>
          <t>LENOVO:</t>
        </r>
        <r>
          <rPr>
            <sz val="9"/>
            <color indexed="81"/>
            <rFont val="Tahoma"/>
            <family val="2"/>
          </rPr>
          <t xml:space="preserve">
Domicilio 
Juárez 305, José Páez García, 66008 García, N.L.
https://www.google.com/maps/place/Deposito+Valdez/@25.8103956,-100.6384948,15z/data=!3m1!4b1!4m12!1m5!3m4!2zMjXCsDQ4JzM3LjYiTiAxMDDCsDM3JzEyLjMiVw!8m2!3d25.810432!4d-100.620071!3m5!1s0x868827b22db81bb5:0x9c936ae051007710!8m2!3d25.8103774!4d-100.6200408!16s%2Fg%2F11g0fsffpy!5m1!1e2?entry=ttu&amp;g_ep=EgoyMDI2MDMxNS4wIKXMDSoASAFQAw%3D%3D</t>
        </r>
      </text>
    </comment>
    <comment ref="H1662" authorId="0" shapeId="0" xr:uid="{5E3E389D-C5F9-495A-AB55-F0ADDBB6BF3F}">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63" authorId="0" shapeId="0" xr:uid="{DDDDFE1D-8F9A-45CA-B622-D2FB9F9149DB}">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67" authorId="0" shapeId="0" xr:uid="{CA1DE83C-EE1C-495D-B589-A238E655C5E8}">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68" authorId="0" shapeId="0" xr:uid="{37FECAD6-E1DB-4A55-BD4B-E5BDE1531DBF}">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69" authorId="0" shapeId="0" xr:uid="{69B357AF-FB75-4618-A3CA-CB3B7035707E}">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70" authorId="0" shapeId="0" xr:uid="{AFC7ED06-E6EC-40AF-B296-2A2E4E173741}">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71" authorId="0" shapeId="0" xr:uid="{7490CE4A-0696-4343-815F-1CCC471A5F77}">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72" authorId="2" shapeId="0" xr:uid="{B0C21769-EFA6-45C8-B6DC-E2BD817D0689}">
      <text>
        <r>
          <rPr>
            <b/>
            <sz val="9"/>
            <color indexed="81"/>
            <rFont val="Tahoma"/>
            <family val="2"/>
          </rPr>
          <t>LENOVO:</t>
        </r>
        <r>
          <rPr>
            <sz val="9"/>
            <color indexed="81"/>
            <rFont val="Tahoma"/>
            <family val="2"/>
          </rPr>
          <t xml:space="preserve">
</t>
        </r>
        <r>
          <rPr>
            <b/>
            <sz val="9"/>
            <color indexed="81"/>
            <rFont val="Tahoma"/>
            <family val="2"/>
          </rPr>
          <t>Jordania 745, Prados de La Cieneguita, 66636 Cdad. Apodaca, N.L.</t>
        </r>
        <r>
          <rPr>
            <sz val="9"/>
            <color indexed="81"/>
            <rFont val="Tahoma"/>
            <family val="2"/>
          </rPr>
          <t xml:space="preserve">
https://www.google.com/maps/place/Jordania+745,+Prados+de+La+Cieneguita,+66636+Cdad.+Apodaca,+N.L./@25.7830047,-100.2681894,15z/data=!4m6!3m5!1s0x8662ecad6e2eb385:0x1b740863d2d16f4!8m2!3d25.783403!4d-100.2579321!16s%2Fg%2F11c708n2s1?authuser=0&amp;entry=ttu&amp;g_ep=EgoyMDI2MDMxNS4wIKXMDSoASAFQAw%3D%3D</t>
        </r>
      </text>
    </comment>
    <comment ref="H1673" authorId="0" shapeId="0" xr:uid="{04C3B55C-8ABA-4B1F-B368-D029D69EC875}">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74" authorId="0" shapeId="0" xr:uid="{F4CE512B-AA65-4A08-9678-59CDDBC9D065}">
      <text>
        <r>
          <rPr>
            <b/>
            <sz val="9"/>
            <color indexed="81"/>
            <rFont val="Tahoma"/>
            <family val="2"/>
          </rPr>
          <t>UBITEC:</t>
        </r>
        <r>
          <rPr>
            <sz val="9"/>
            <color indexed="81"/>
            <rFont val="Tahoma"/>
            <family val="2"/>
          </rPr>
          <t xml:space="preserve">
</t>
        </r>
        <r>
          <rPr>
            <b/>
            <sz val="10"/>
            <color indexed="81"/>
            <rFont val="Tahoma"/>
            <family val="2"/>
          </rPr>
          <t>Domicilio Av. Tolteca 2505-2305, Tolteca, 67175 Guadalupe, N.L.</t>
        </r>
        <r>
          <rPr>
            <sz val="10"/>
            <color indexed="81"/>
            <rFont val="Tahoma"/>
            <family val="2"/>
          </rPr>
          <t xml:space="preserve">
https://www.google.com/maps/place/Av.+Tolteca+2505-2305,+Tolteca,+67175+Guadalupe,+N.L./@25.6643037,-100.2418166,17z/data=!3m1!4b1!4m5!3m4!1s0x8662c016412064a5:0x5fd05e868f292647!8m2!3d25.6643037!4d-100.2392417?entry=ttu</t>
        </r>
      </text>
    </comment>
    <comment ref="H1677" authorId="0" shapeId="0" xr:uid="{E7C0D839-1EFB-4A28-A879-CFF094FEEFB7}">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678" authorId="2" shapeId="0" xr:uid="{7D2727C3-79B4-4200-843D-8027350D9C0A}">
      <text>
        <r>
          <rPr>
            <b/>
            <sz val="9"/>
            <color indexed="81"/>
            <rFont val="Tahoma"/>
            <family val="2"/>
          </rPr>
          <t>LENOVO:</t>
        </r>
        <r>
          <rPr>
            <sz val="9"/>
            <color indexed="81"/>
            <rFont val="Tahoma"/>
            <family val="2"/>
          </rPr>
          <t xml:space="preserve">
</t>
        </r>
        <r>
          <rPr>
            <b/>
            <sz val="9"/>
            <color indexed="81"/>
            <rFont val="Tahoma"/>
            <family val="2"/>
          </rPr>
          <t>Jordania 745, Prados de La Cieneguita, 66636 Cdad. Apodaca, N.L.</t>
        </r>
        <r>
          <rPr>
            <sz val="9"/>
            <color indexed="81"/>
            <rFont val="Tahoma"/>
            <family val="2"/>
          </rPr>
          <t xml:space="preserve">
https://www.google.com/maps/place/Jordania+745,+Prados+de+La+Cieneguita,+66636+Cdad.+Apodaca,+N.L./@25.7830047,-100.2681894,15z/data=!4m6!3m5!1s0x8662ecad6e2eb385:0x1b740863d2d16f4!8m2!3d25.783403!4d-100.2579321!16s%2Fg%2F11c708n2s1?authuser=0&amp;entry=ttu&amp;g_ep=EgoyMDI2MDMxNS4wIKXMDSoASAFQAw%3D%3D</t>
        </r>
      </text>
    </comment>
    <comment ref="H1679" authorId="0" shapeId="0" xr:uid="{96E8E46B-0C4D-4E8B-AC50-E8FC20D341D7}">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752" authorId="0" shapeId="0" xr:uid="{3171469C-EF0E-4604-9E40-C24871EDE516}">
      <text>
        <r>
          <rPr>
            <b/>
            <sz val="9"/>
            <color indexed="81"/>
            <rFont val="Tahoma"/>
            <family val="2"/>
          </rPr>
          <t>UBITEC:</t>
        </r>
        <r>
          <rPr>
            <sz val="9"/>
            <color indexed="81"/>
            <rFont val="Tahoma"/>
            <family val="2"/>
          </rPr>
          <t xml:space="preserve">
</t>
        </r>
        <r>
          <rPr>
            <b/>
            <sz val="10"/>
            <color indexed="81"/>
            <rFont val="Tahoma"/>
            <family val="2"/>
          </rPr>
          <t xml:space="preserve">Av. Anillo Eléctrico 120, Torres de Santo Domingo, 66449 San Nicolás de los Garza, N.L.
</t>
        </r>
        <r>
          <rPr>
            <sz val="9"/>
            <color indexed="81"/>
            <rFont val="Tahoma"/>
            <family val="2"/>
          </rPr>
          <t>https://www.google.com/maps/place/Av.+Anillo+El%C3%A9ctrico+120,+Torres+de+Santo+Domingo,+66449+San+Nicol%C3%A1s+de+los+Garza,+N.L./@25.7557177,-100.2506409,17z/data=!3m1!4b1!4m6!3m5!1s0x8662eb45e2b29b99:0x8e5331d72f59f52!8m2!3d25.7557177!4d-100.248066!16s%2Fg%2F11cs6pgx65?entry=ttu</t>
        </r>
      </text>
    </comment>
    <comment ref="H1753" authorId="0" shapeId="0" xr:uid="{0CDE316C-2946-412D-836A-94601F9ABFEE}">
      <text>
        <r>
          <rPr>
            <b/>
            <sz val="9"/>
            <color indexed="81"/>
            <rFont val="Tahoma"/>
            <family val="2"/>
          </rPr>
          <t>UBITEC:</t>
        </r>
        <r>
          <rPr>
            <sz val="9"/>
            <color indexed="81"/>
            <rFont val="Tahoma"/>
            <family val="2"/>
          </rPr>
          <t xml:space="preserve">
</t>
        </r>
        <r>
          <rPr>
            <b/>
            <sz val="10"/>
            <color indexed="81"/>
            <rFont val="Tahoma"/>
            <family val="2"/>
          </rPr>
          <t xml:space="preserve">Domicilio Av Afganistán 152, Prados de La Cieneguita, 66636 Cdad. Apodaca, N.L. </t>
        </r>
        <r>
          <rPr>
            <sz val="9"/>
            <color indexed="81"/>
            <rFont val="Tahoma"/>
            <family val="2"/>
          </rPr>
          <t xml:space="preserve">
https://www.google.com/maps/place/Av+Afganist%C3%A1n+152,+Prados+de+La+Cieneguita,+66636+Cdad.+Apodaca,+N.L./@25.780529,-100.2567384,17z/data=!3m1!4b1!4m6!3m5!1s0x8662ecae9ebfe0c9:0x1bd4f69c4dfd0d3!8m2!3d25.780529!4d-100.2541635!16s%2Fg%2F11c5r5gzzb?entry=ttu</t>
        </r>
      </text>
    </comment>
    <comment ref="H1754" authorId="2" shapeId="0" xr:uid="{8A0F3AC4-AA2C-4E48-B4E0-295FC2AEE1DB}">
      <text>
        <r>
          <rPr>
            <b/>
            <sz val="9"/>
            <color indexed="81"/>
            <rFont val="Tahoma"/>
            <family val="2"/>
          </rPr>
          <t>LENOVO:</t>
        </r>
        <r>
          <rPr>
            <sz val="9"/>
            <color indexed="81"/>
            <rFont val="Tahoma"/>
            <family val="2"/>
          </rPr>
          <t xml:space="preserve">
</t>
        </r>
        <r>
          <rPr>
            <b/>
            <sz val="10"/>
            <color indexed="81"/>
            <rFont val="Tahoma"/>
            <family val="2"/>
          </rPr>
          <t>Autos prados
Av Afganistán 109, norte, 66636 Cdad. Apodaca, N.L.</t>
        </r>
        <r>
          <rPr>
            <sz val="9"/>
            <color indexed="81"/>
            <rFont val="Tahoma"/>
            <family val="2"/>
          </rPr>
          <t xml:space="preserve">
https://www.google.com/maps/place/Autos+prados/@25.7793808,-100.2550434,17z/data=!3m1!4b1!4m6!3m5!1s0x8662edbdcf580229:0x51c3955f69eb31fb!8m2!3d25.7793808!4d-100.2550434!16s%2Fg%2F11l33r6rtd!5m1!1e2?entry=ttu&amp;g_ep=EgoyMDI1MDgxMy4wIKXMDSoASAFQAw%3D%3D</t>
        </r>
      </text>
    </comment>
    <comment ref="H1756" authorId="2" shapeId="0" xr:uid="{EC3B8087-CA80-4BB5-99C0-086B3881717E}">
      <text>
        <r>
          <rPr>
            <b/>
            <sz val="9"/>
            <color indexed="81"/>
            <rFont val="Tahoma"/>
            <family val="2"/>
          </rPr>
          <t>LENOVO:</t>
        </r>
        <r>
          <rPr>
            <sz val="9"/>
            <color indexed="81"/>
            <rFont val="Tahoma"/>
            <family val="2"/>
          </rPr>
          <t xml:space="preserve">
</t>
        </r>
        <r>
          <rPr>
            <b/>
            <sz val="10"/>
            <color indexed="81"/>
            <rFont val="Tahoma"/>
            <family val="2"/>
          </rPr>
          <t>Autos prados
Av Afganistán 109, norte, 66636 Cdad. Apodaca, N.L.</t>
        </r>
        <r>
          <rPr>
            <sz val="9"/>
            <color indexed="81"/>
            <rFont val="Tahoma"/>
            <family val="2"/>
          </rPr>
          <t xml:space="preserve">
https://www.google.com/maps/place/Autos+prados/@25.7793808,-100.2550434,17z/data=!3m1!4b1!4m6!3m5!1s0x8662edbdcf580229:0x51c3955f69eb31fb!8m2!3d25.7793808!4d-100.2550434!16s%2Fg%2F11l33r6rtd!5m1!1e2?entry=ttu&amp;g_ep=EgoyMDI1MDgxMy4wIKXMDSoASAFQAw%3D%3D</t>
        </r>
      </text>
    </comment>
    <comment ref="H1757" authorId="2" shapeId="0" xr:uid="{E41606E7-E602-48C8-A799-07EDFC9CDE17}">
      <text>
        <r>
          <rPr>
            <b/>
            <sz val="9"/>
            <color indexed="81"/>
            <rFont val="Tahoma"/>
            <family val="2"/>
          </rPr>
          <t>LENOVO:</t>
        </r>
        <r>
          <rPr>
            <sz val="9"/>
            <color indexed="81"/>
            <rFont val="Tahoma"/>
            <family val="2"/>
          </rPr>
          <t xml:space="preserve">
</t>
        </r>
        <r>
          <rPr>
            <b/>
            <sz val="10"/>
            <color indexed="81"/>
            <rFont val="Tahoma"/>
            <family val="2"/>
          </rPr>
          <t>Autos prados
Av Afganistán 109, norte, 66636 Cdad. Apodaca, N.L.</t>
        </r>
        <r>
          <rPr>
            <sz val="9"/>
            <color indexed="81"/>
            <rFont val="Tahoma"/>
            <family val="2"/>
          </rPr>
          <t xml:space="preserve">
https://www.google.com/maps/place/Autos+prados/@25.7793808,-100.2550434,17z/data=!3m1!4b1!4m6!3m5!1s0x8662edbdcf580229:0x51c3955f69eb31fb!8m2!3d25.7793808!4d-100.2550434!16s%2Fg%2F11l33r6rtd!5m1!1e2?entry=ttu&amp;g_ep=EgoyMDI1MDgxMy4wIKXMDSoASAFQAw%3D%3D</t>
        </r>
      </text>
    </comment>
    <comment ref="H1758" authorId="2" shapeId="0" xr:uid="{2032C4B2-F846-4878-996A-17D06C19DFC2}">
      <text>
        <r>
          <rPr>
            <b/>
            <sz val="9"/>
            <color indexed="81"/>
            <rFont val="Tahoma"/>
            <family val="2"/>
          </rPr>
          <t>LENOVO:</t>
        </r>
        <r>
          <rPr>
            <sz val="9"/>
            <color indexed="81"/>
            <rFont val="Tahoma"/>
            <family val="2"/>
          </rPr>
          <t xml:space="preserve">
</t>
        </r>
        <r>
          <rPr>
            <b/>
            <sz val="10"/>
            <color indexed="81"/>
            <rFont val="Tahoma"/>
            <family val="2"/>
          </rPr>
          <t>Autos prados
Av Afganistán 109, norte, 66636 Cdad. Apodaca, N.L.</t>
        </r>
        <r>
          <rPr>
            <sz val="9"/>
            <color indexed="81"/>
            <rFont val="Tahoma"/>
            <family val="2"/>
          </rPr>
          <t xml:space="preserve">
https://www.google.com/maps/place/Autos+prados/@25.7793808,-100.2550434,17z/data=!3m1!4b1!4m6!3m5!1s0x8662edbdcf580229:0x51c3955f69eb31fb!8m2!3d25.7793808!4d-100.2550434!16s%2Fg%2F11l33r6rtd!5m1!1e2?entry=ttu&amp;g_ep=EgoyMDI1MDgxMy4wIKXMDSoASAFQAw%3D%3D</t>
        </r>
      </text>
    </comment>
    <comment ref="H1759" authorId="2" shapeId="0" xr:uid="{F95B24C3-D69A-44D8-B21D-DC2ED5C540DA}">
      <text>
        <r>
          <rPr>
            <b/>
            <sz val="9"/>
            <color indexed="81"/>
            <rFont val="Tahoma"/>
            <family val="2"/>
          </rPr>
          <t>LENOVO:</t>
        </r>
        <r>
          <rPr>
            <sz val="9"/>
            <color indexed="81"/>
            <rFont val="Tahoma"/>
            <family val="2"/>
          </rPr>
          <t xml:space="preserve">
</t>
        </r>
        <r>
          <rPr>
            <b/>
            <sz val="10"/>
            <color indexed="81"/>
            <rFont val="Tahoma"/>
            <family val="2"/>
          </rPr>
          <t>Autos prados
Av Afganistán 109, norte, 66636 Cdad. Apodaca, N.L.</t>
        </r>
        <r>
          <rPr>
            <sz val="9"/>
            <color indexed="81"/>
            <rFont val="Tahoma"/>
            <family val="2"/>
          </rPr>
          <t xml:space="preserve">
https://www.google.com/maps/place/Autos+prados/@25.7793808,-100.2550434,17z/data=!3m1!4b1!4m6!3m5!1s0x8662edbdcf580229:0x51c3955f69eb31fb!8m2!3d25.7793808!4d-100.2550434!16s%2Fg%2F11l33r6rtd!5m1!1e2?entry=ttu&amp;g_ep=EgoyMDI1MDgxMy4wIKXMDSoASAFQAw%3D%3D</t>
        </r>
      </text>
    </comment>
    <comment ref="H1760" authorId="2" shapeId="0" xr:uid="{82BC5986-6BCB-4BE5-B34E-20D3DCEE9EFB}">
      <text>
        <r>
          <rPr>
            <b/>
            <sz val="9"/>
            <color indexed="81"/>
            <rFont val="Tahoma"/>
            <family val="2"/>
          </rPr>
          <t>LENOVO:</t>
        </r>
        <r>
          <rPr>
            <sz val="9"/>
            <color indexed="81"/>
            <rFont val="Tahoma"/>
            <family val="2"/>
          </rPr>
          <t xml:space="preserve">
</t>
        </r>
        <r>
          <rPr>
            <b/>
            <sz val="10"/>
            <color indexed="81"/>
            <rFont val="Tahoma"/>
            <family val="2"/>
          </rPr>
          <t>Autos prados
Av Afganistán 109, norte, 66636 Cdad. Apodaca, N.L.</t>
        </r>
        <r>
          <rPr>
            <sz val="9"/>
            <color indexed="81"/>
            <rFont val="Tahoma"/>
            <family val="2"/>
          </rPr>
          <t xml:space="preserve">
https://www.google.com/maps/place/Autos+prados/@25.7793808,-100.2550434,17z/data=!3m1!4b1!4m6!3m5!1s0x8662edbdcf580229:0x51c3955f69eb31fb!8m2!3d25.7793808!4d-100.2550434!16s%2Fg%2F11l33r6rtd!5m1!1e2?entry=ttu&amp;g_ep=EgoyMDI1MDgxMy4wIKXMDSoASAFQAw%3D%3D</t>
        </r>
      </text>
    </comment>
    <comment ref="H1776" authorId="2" shapeId="0" xr:uid="{C40F4C51-1CD6-49E3-A028-D95B5B9A1C1F}">
      <text>
        <r>
          <rPr>
            <b/>
            <sz val="9"/>
            <color indexed="81"/>
            <rFont val="Tahoma"/>
            <family val="2"/>
          </rPr>
          <t>LENOVO:</t>
        </r>
        <r>
          <rPr>
            <sz val="9"/>
            <color indexed="81"/>
            <rFont val="Tahoma"/>
            <family val="2"/>
          </rPr>
          <t xml:space="preserve">
</t>
        </r>
        <r>
          <rPr>
            <b/>
            <sz val="10"/>
            <color indexed="81"/>
            <rFont val="Tahoma"/>
            <family val="2"/>
          </rPr>
          <t>Autos prados
Av Afganistán 109, norte, 66636 Cdad. Apodaca, N.L.</t>
        </r>
        <r>
          <rPr>
            <sz val="9"/>
            <color indexed="81"/>
            <rFont val="Tahoma"/>
            <family val="2"/>
          </rPr>
          <t xml:space="preserve">
https://www.google.com/maps/place/Autos+prados/@25.7793808,-100.2550434,17z/data=!3m1!4b1!4m6!3m5!1s0x8662edbdcf580229:0x51c3955f69eb31fb!8m2!3d25.7793808!4d-100.2550434!16s%2Fg%2F11l33r6rtd!5m1!1e2?entry=ttu&amp;g_ep=EgoyMDI1MDgxMy4wIKXMDSoASAFQAw%3D%3D</t>
        </r>
      </text>
    </comment>
    <comment ref="H1777" authorId="2" shapeId="0" xr:uid="{1B9FDA4F-6378-446E-A2F0-8881FAC67B4A}">
      <text>
        <r>
          <rPr>
            <b/>
            <sz val="9"/>
            <color indexed="81"/>
            <rFont val="Tahoma"/>
            <family val="2"/>
          </rPr>
          <t>LENOVO:</t>
        </r>
        <r>
          <rPr>
            <sz val="9"/>
            <color indexed="81"/>
            <rFont val="Tahoma"/>
            <family val="2"/>
          </rPr>
          <t xml:space="preserve">
2do piso local 64, Paseo de las Americas, 230
PLAZA LORETO
P.º de las Américas 230, Valle del Contry 2o Sector, 67174 Monterrey, N.L.
https://www.google.com/maps/place/PLAZA+LORETO/@25.6568011,-100.263231,19.5z/data=!4m6!3m5!1s0x8662bfa01bc0d1cb:0x5fe110fbc3498e2f!8m2!3d25.6568419!4d-100.262729!16s%2Fg%2F11frs_fy_r!5m1!1e2?entry=ttu&amp;g_ep=EgoyMDI2MDUxNy4wIKXMDSoASAFQAw%3D%3D</t>
        </r>
      </text>
    </comment>
    <comment ref="H1793" authorId="0" shapeId="0" xr:uid="{00000000-0006-0000-0000-0000C1020000}">
      <text>
        <r>
          <rPr>
            <b/>
            <sz val="9"/>
            <color indexed="81"/>
            <rFont val="Tahoma"/>
            <family val="2"/>
          </rPr>
          <t>UBITEC:</t>
        </r>
        <r>
          <rPr>
            <sz val="9"/>
            <color indexed="81"/>
            <rFont val="Tahoma"/>
            <family val="2"/>
          </rPr>
          <t xml:space="preserve">
</t>
        </r>
        <r>
          <rPr>
            <sz val="10"/>
            <color indexed="81"/>
            <rFont val="Tahoma"/>
            <family val="2"/>
          </rPr>
          <t>Calle Sierra Madre Oriental # 109, c.p. 66004, García, Garcia Nuevo Leon.</t>
        </r>
      </text>
    </comment>
  </commentList>
</comments>
</file>

<file path=xl/sharedStrings.xml><?xml version="1.0" encoding="utf-8"?>
<sst xmlns="http://schemas.openxmlformats.org/spreadsheetml/2006/main" count="22065" uniqueCount="5283">
  <si>
    <t xml:space="preserve">PROGRAMACION DE BAJA 
CTE NO NOS PROPORCIONA HORARIO Y NO CONFIRMA DOMICILIO </t>
  </si>
  <si>
    <t>SSC-68-91 / 1J8FT47W18D706927</t>
  </si>
  <si>
    <t>Oscar Alejandro Oliva</t>
  </si>
  <si>
    <t>JEEP COMPAS NEGRA´2008</t>
  </si>
  <si>
    <t>CTE. HEBER SAUCEDA MORENO</t>
  </si>
  <si>
    <t>Mario Del Ángel</t>
  </si>
  <si>
    <t>DES-INSTALACION</t>
  </si>
  <si>
    <t>BAJA</t>
  </si>
  <si>
    <t>GPS SERVER</t>
  </si>
  <si>
    <t>VW JETTA NEGRO´2009</t>
  </si>
  <si>
    <t>CTE. PATRICIO ISAIAS GARZA PEÑA</t>
  </si>
  <si>
    <t>Particular</t>
  </si>
  <si>
    <t xml:space="preserve">Contacto del cliente Patricio 8131974223 </t>
  </si>
  <si>
    <t>INSTALACION</t>
  </si>
  <si>
    <t xml:space="preserve">LA UNIDAD NO SE ENCUENTRA EN MONTERREY Y NO NOS CNFIRMAN DIA Y HORA PARA SU LLEGADA </t>
  </si>
  <si>
    <t>TOYOTA HILUX BLANCA 2014</t>
  </si>
  <si>
    <t xml:space="preserve">Cte. Juan Antonio Granados de Santiago </t>
  </si>
  <si>
    <t xml:space="preserve">Particular </t>
  </si>
  <si>
    <t xml:space="preserve">SERVICIO PENDIENTE POR CONFIRMAR CTE NO ESTA SATISFECHO CON UNIDAD E IBAN A HABALR CON EL </t>
  </si>
  <si>
    <t>VW BORA BLANCO 2009</t>
  </si>
  <si>
    <t>Cte. Xochitl Citlali Rivera Zapata</t>
  </si>
  <si>
    <t xml:space="preserve">Zulema </t>
  </si>
  <si>
    <t>PENDIENTE</t>
  </si>
  <si>
    <t>TFK-417-A / 3VWRW11K0AM036178</t>
  </si>
  <si>
    <t>Cte.</t>
  </si>
  <si>
    <t>RMM-863-A</t>
  </si>
  <si>
    <t xml:space="preserve">Cte. </t>
  </si>
  <si>
    <t>ACTIVO 
18-MAY-2023</t>
  </si>
  <si>
    <t xml:space="preserve">DES-INSTALACION </t>
  </si>
  <si>
    <t>BAJA 
18-MAY-2023</t>
  </si>
  <si>
    <t>SEAT IBIZA ROJO 2011</t>
  </si>
  <si>
    <t>1:30 p.m. - Cte. Angel Antonio Hernandez Torres  
Tel. 8116107663</t>
  </si>
  <si>
    <t>ACTIVO 
15-MAY-2023</t>
  </si>
  <si>
    <t xml:space="preserve">SE SOLICITA REVISION PARA CHEQUEO DE PARO DE MOTOR Y QUE NO TUVIERA MANIPULACIONES EL EQUIPO </t>
  </si>
  <si>
    <t>SMW-55-78 / 3FAHP0HA2CR233853</t>
  </si>
  <si>
    <t>3:00 p.m. - Cte. Manuel Ignacio Torres Moreyra 
Tel. 8124296609</t>
  </si>
  <si>
    <t>REVISION</t>
  </si>
  <si>
    <t>ACTIVO 
12-MAY-2023</t>
  </si>
  <si>
    <t xml:space="preserve">CLIENTE NO SE ENCONTRABA EN EL DOMICILIO Y REAGENDA </t>
  </si>
  <si>
    <t>-</t>
  </si>
  <si>
    <t>VISITA EN FALSO</t>
  </si>
  <si>
    <t xml:space="preserve">1:30 p.m. </t>
  </si>
  <si>
    <t>1FMNE3BL0EDA57553</t>
  </si>
  <si>
    <t>ACTIVO 
11-MAY-2023</t>
  </si>
  <si>
    <t>ACTIVO 
10-MAY-2023</t>
  </si>
  <si>
    <t>ACTIVO 
05-MAY-2023</t>
  </si>
  <si>
    <t>ACTIVO 
04-MAY-2023</t>
  </si>
  <si>
    <t>1FTEW1CMXCFB40515</t>
  </si>
  <si>
    <t>ACTIVO 
03-MAY-2023</t>
  </si>
  <si>
    <t>3VW2K7AJ3EM426236</t>
  </si>
  <si>
    <t xml:space="preserve">Jose Luis Oliva </t>
  </si>
  <si>
    <t xml:space="preserve">2:00 p.m. - Cte. </t>
  </si>
  <si>
    <t>ACTIVO 
24-ABR-2023</t>
  </si>
  <si>
    <t xml:space="preserve">CTE. NO CONTESTO LAS LLAMADAS Y LOS MENSAJES </t>
  </si>
  <si>
    <t>FORD LOBO AZUL 2008</t>
  </si>
  <si>
    <t>12:00 pm  - Cte. Julio Cesar Rodriguez Macedo 
Tel. 8132756393</t>
  </si>
  <si>
    <t>12:00 p.m.</t>
  </si>
  <si>
    <t>ACTIVO 
22-ABR-2023</t>
  </si>
  <si>
    <t>CTE. COMENTA, INGRESO LA UNIDAD A TALLER PARA REVISION DE BALATAS, PIDE REPROGRAMACION PARA DIA LUNES 24-ABR-2023</t>
  </si>
  <si>
    <t>DODGE RAM NEGRA 2008</t>
  </si>
  <si>
    <t>9:00 am - Cte. Francisco Manuel Borrego Palomo 
Tel. 8114887785</t>
  </si>
  <si>
    <t xml:space="preserve">9:00 a.m. </t>
  </si>
  <si>
    <t xml:space="preserve">SE ENTREGA LA UNIDAD ANTES DE LA HORA DE INSTALACION INDICADA E INTETAN COMUNICARSE CON CLIENTE Y NO CONTESTA </t>
  </si>
  <si>
    <t>DODGE CALIBER 2009</t>
  </si>
  <si>
    <t>1:30 pm - Cte. Alan Cesar Justo Garcia</t>
  </si>
  <si>
    <t xml:space="preserve">3C4PDCBB0FT572507 </t>
  </si>
  <si>
    <t>ACTIVO 
14-ABR-2023</t>
  </si>
  <si>
    <t>2FMDK4KC7EBA71692</t>
  </si>
  <si>
    <t>Cte. Juan Eguia Luna</t>
  </si>
  <si>
    <t>ACTIVO 
12-ABR-2023</t>
  </si>
  <si>
    <t>RKK-899-B</t>
  </si>
  <si>
    <t>FORD FUSION NEGRO 2012</t>
  </si>
  <si>
    <t>ACTIVO 
05-ABRIL-2023</t>
  </si>
  <si>
    <t>3GNAL4EK0ES644618</t>
  </si>
  <si>
    <t>Cte</t>
  </si>
  <si>
    <t>3C4PDCAB6ET101476</t>
  </si>
  <si>
    <t>ACTIVO 
04-ABRIL-2023</t>
  </si>
  <si>
    <t>SE ACUDE AL DOMICILIO UN POCO ANTES DE LA CITA LA UNIDAD NO SE ENCONTRABA, NOS DIERON OTRO HORARIO EN EL CUAL TAMPOCO ESTUVO Y SE REPROGRAMO PARA EL DIA SIGUIENTE</t>
  </si>
  <si>
    <t>Cte. Elizabeth Munoz Cepeda 
Tel. 8115454700</t>
  </si>
  <si>
    <t>ACTIVO 
31-MAR-2023</t>
  </si>
  <si>
    <t>Cte. Israel Flores Cazares</t>
  </si>
  <si>
    <t>ACTIVO 
30-MAR-2023</t>
  </si>
  <si>
    <t>Cte. Alberto Guadalupe Corona Galvan
Tel. 8121731512</t>
  </si>
  <si>
    <t>3FA6P0H71FR117463</t>
  </si>
  <si>
    <t>ACTIVO 
29-MAR-2023</t>
  </si>
  <si>
    <t>Marco</t>
  </si>
  <si>
    <t>ACTIVO 
27-MAR-2023</t>
  </si>
  <si>
    <t>1FTFW1CF2CFA35932</t>
  </si>
  <si>
    <t xml:space="preserve">SWM-165-A </t>
  </si>
  <si>
    <t>ACTIVO 
21-MAR-2023</t>
  </si>
  <si>
    <t>Cte. Adolfo Miguel Esparza Ochoa</t>
  </si>
  <si>
    <t>ACTIVO 
17-MAR-2023</t>
  </si>
  <si>
    <t>RRJ-351-A / 3VWAZ7AJXAM100368</t>
  </si>
  <si>
    <t>VW BORA BLANCO 2010</t>
  </si>
  <si>
    <t xml:space="preserve">Cte. Elva Margarita Galvan Vela </t>
  </si>
  <si>
    <t>Cte. Tomás Cuéllar Rodriguez 
Tel. 8131143866</t>
  </si>
  <si>
    <t>Aurora</t>
  </si>
  <si>
    <t>ACTIVO 
14-MAR-2023</t>
  </si>
  <si>
    <t>CTE NO CONTESTA LLAMADAS NI MENSAJES, UNIDAD SI SE ENCUENTRA EN EL DOMICILIO PERO NO ENTREGA LLAVES</t>
  </si>
  <si>
    <t xml:space="preserve">NISSAN X-TRAIL GRIS 2018 </t>
  </si>
  <si>
    <t>SEG-568-B</t>
  </si>
  <si>
    <t>ACTIVO 
13-MAR-2023</t>
  </si>
  <si>
    <t xml:space="preserve">CTE COMENTA NO SE ENCUENTRA EN EL DOMICILIO Y SOLICITA QUE REAGENDEMOS PARA EL DIA LUNES </t>
  </si>
  <si>
    <t>Jose de Jesus Galván</t>
  </si>
  <si>
    <t>ACTIVO 
10-MAR-2023</t>
  </si>
  <si>
    <t>JTMZD35V675076966 / SZE-819-A</t>
  </si>
  <si>
    <t>Cte. Rosa Alicia Dominguez Castro 
Tel. 8110045498</t>
  </si>
  <si>
    <t>ACTIVO 
09-MAR-2023</t>
  </si>
  <si>
    <t>Cte. Hilario Ibarra Aguilar</t>
  </si>
  <si>
    <t>ACTIVO 
08-MAR-2023</t>
  </si>
  <si>
    <t>Cte. Luis Everardo Guzman Hernandez</t>
  </si>
  <si>
    <t>Cte. Sandra Ramos Coronado 
Tel. 8111772591</t>
  </si>
  <si>
    <t>ACTIVO 
07-MAR-2023</t>
  </si>
  <si>
    <t>ACTIVO 
06-MAR-2023</t>
  </si>
  <si>
    <t>1FTFX1CF6DKD28139</t>
  </si>
  <si>
    <t>ACTIVO 
04-MAR-2023</t>
  </si>
  <si>
    <t>SLS-37-45</t>
  </si>
  <si>
    <t>Cte. Alan Jimenez Delgado 
Tel. 8123651798</t>
  </si>
  <si>
    <t>1C4NJCBA3ED829560</t>
  </si>
  <si>
    <t>Cte. Liliana Guadalupe Garibay Cerda</t>
  </si>
  <si>
    <t>ACTIVO 
03-MAR-2023</t>
  </si>
  <si>
    <t xml:space="preserve">Cte. Maria Elena Elizondo Ordonez 
tel. 8111819636 </t>
  </si>
  <si>
    <t>ACTIVO 
28-FEB-2023</t>
  </si>
  <si>
    <t>ACTIVO 
16-FEB-2023</t>
  </si>
  <si>
    <t>SXV-731-B</t>
  </si>
  <si>
    <t>JEEP PATRIOR NEGRA</t>
  </si>
  <si>
    <t xml:space="preserve">PARA REGISTRO </t>
  </si>
  <si>
    <t>Cte. Jose Mario Arredondo</t>
  </si>
  <si>
    <t xml:space="preserve">ACTIVO 
</t>
  </si>
  <si>
    <t>ACTIVO 
23-FEB-2023</t>
  </si>
  <si>
    <t>Cte. Joel Orlando Esparza Tamayo</t>
  </si>
  <si>
    <t>ACTIVO 
22-FEB-2023</t>
  </si>
  <si>
    <t>SKS-42-47</t>
  </si>
  <si>
    <t>Cte. Jorge Efrain Dominguez Anola 
Tel. 8111944540</t>
  </si>
  <si>
    <t>ACTIVO 
20-FEB-2023</t>
  </si>
  <si>
    <t>3GNAL2EK1ES508468</t>
  </si>
  <si>
    <t>SZG-605-A / 5XXGM4A79DG204578</t>
  </si>
  <si>
    <t>606-XAJ</t>
  </si>
  <si>
    <t>RE-INSTALACION</t>
  </si>
  <si>
    <t>ACTIVO 
15-FEB-2023</t>
  </si>
  <si>
    <t>ACTIVO 
14-FEB-2023</t>
  </si>
  <si>
    <t>CTE.</t>
  </si>
  <si>
    <t>BAJA 
13-FEB-2023</t>
  </si>
  <si>
    <t>Cte. Juan Francisco Cazares Villa 
Tel. 8127706928</t>
  </si>
  <si>
    <t>ACTIVO 
11-FEB-2023</t>
  </si>
  <si>
    <t xml:space="preserve">Cte. Yessica Flor Rodriguez Velazcos </t>
  </si>
  <si>
    <t>ACTIVO 
10-FEB-2023</t>
  </si>
  <si>
    <t>BAJA 
10-FEB-2023</t>
  </si>
  <si>
    <t>SEAT IBIZA NEGRO 2011</t>
  </si>
  <si>
    <t>ACTIVO 
04-FEB-2023</t>
  </si>
  <si>
    <t>RVL-567-B / 3VWJW11K6AM072776</t>
  </si>
  <si>
    <t>Cte. Maria Viridiana Baez Sanchez</t>
  </si>
  <si>
    <t>ACTIVO 
03-FEB-2023</t>
  </si>
  <si>
    <t>SKH-940-A /3FAHP0HA7BR143046</t>
  </si>
  <si>
    <t>Cte. Jose Gerardo Lopez</t>
  </si>
  <si>
    <t>EL LOTE SE ENCONTRABA CERRADO, SE LE INFORMO A ZULEMA Y REPROGRAMAMOS PARA MAS TARDE</t>
  </si>
  <si>
    <t>MIGRADO DE LA CTA. CARLOS CORONADO 19/MARZO/2021</t>
  </si>
  <si>
    <t>ACTIVO 
02-FEB-2023</t>
  </si>
  <si>
    <t>RLX-321-A / 3G1J85DC7ES529890</t>
  </si>
  <si>
    <t>STB-98-84 / 3C4PDCCBXCT369148</t>
  </si>
  <si>
    <t xml:space="preserve">Cte. Veronica Patricia Galarza Davila </t>
  </si>
  <si>
    <t>ACTIVO 
01-FEB-2023</t>
  </si>
  <si>
    <t>5NPE24AF7FH199246</t>
  </si>
  <si>
    <t>Cte. Emmanuel de jesus Perez Ulloa 
Juan c Lote EC 8126121574</t>
  </si>
  <si>
    <t>Cte. Luis Gerardo Rodriguez Mezquitic 
Tel.  8120006107</t>
  </si>
  <si>
    <t>ACTIVO 
30-ENE-2023</t>
  </si>
  <si>
    <t>NO SE LLEVO ACABO EL CLIENTE NO CONTESTO LLAMADAS, MENSAJES Y SE REPROGRAMO PARA SABADO 4-FEB-2023</t>
  </si>
  <si>
    <t>Cte. Cesar Eduardo Herrera Rentería 
Tel. 8117190854</t>
  </si>
  <si>
    <t>ACTIVO 
28-ENE-2023</t>
  </si>
  <si>
    <t xml:space="preserve">REPORTAN QUE LA UNIDAD NO ENCIENDE / LA UNIDAD PRESENTA OTRO PROBLEMA MECANICO </t>
  </si>
  <si>
    <t>Cte. Francisco Jesus Otero Perez 
Tel. 8135296163</t>
  </si>
  <si>
    <t>ACTIVO 
27-ENE-2023</t>
  </si>
  <si>
    <t>ACTIVO 
25-ENE-2023</t>
  </si>
  <si>
    <t xml:space="preserve">Cte. Julio Cesar Carranza de la Cruz 
Tel. 8129704200 </t>
  </si>
  <si>
    <t>ACTIVO 
21-ENE-2023</t>
  </si>
  <si>
    <t>JE3AU86WX9U046356 / SRR-78-09</t>
  </si>
  <si>
    <t>Cte. Cesar Abraham Jimenez Galarza 
Tel. 8112427010</t>
  </si>
  <si>
    <t>PASA A CUENTA DE EDGAR CORONADO</t>
  </si>
  <si>
    <t>SXF-236-A / 3VWJW11K7AM136369</t>
  </si>
  <si>
    <t>VW BORA GRIS OBSCURO</t>
  </si>
  <si>
    <t xml:space="preserve">MIGRACION </t>
  </si>
  <si>
    <t>BAJA 
16-ENE-2023</t>
  </si>
  <si>
    <t>PM-5267-A / 1GCNKPEA5BZ152140</t>
  </si>
  <si>
    <t>ACTIVO 
14-ENE-2023</t>
  </si>
  <si>
    <t>1ZVBP8AM4B5161913</t>
  </si>
  <si>
    <t xml:space="preserve">Cte. Silva Gaona Noe 
Tel. 8127328901 </t>
  </si>
  <si>
    <t>ACTIVO 
13-ENE-2023</t>
  </si>
  <si>
    <t>SE GENERA REVISION Y PRE-INSTALACION YA CONTABA CON GPS</t>
  </si>
  <si>
    <t>Cte. Juan Francisco Ibarra Garcia</t>
  </si>
  <si>
    <t>Cte. Maria Teresa Ramirez Vinor</t>
  </si>
  <si>
    <t>ACTIVO 
12-ENE-2023</t>
  </si>
  <si>
    <t>ACTIVO 
11-ENE-2023</t>
  </si>
  <si>
    <t>SKS-99-28 / 3VWHW11K3AM105490</t>
  </si>
  <si>
    <t xml:space="preserve">VW BORA GRIS 2010 </t>
  </si>
  <si>
    <t>Cte. Tania Karen Rincon Gonzalez 
Tel. 8131550621</t>
  </si>
  <si>
    <t>ACTIVO 
10-ENE-2023</t>
  </si>
  <si>
    <t>TGC-294-A</t>
  </si>
  <si>
    <t>RLK-084-A / 3VWJW7AT0CM654239</t>
  </si>
  <si>
    <t>ACTIVO 
09-ENE-2023</t>
  </si>
  <si>
    <t>Cte. Beatriz Adriana Santos Marquez</t>
  </si>
  <si>
    <t>MIGRADO DE LA CUENTA DE LA CARLOS CORONADO</t>
  </si>
  <si>
    <t>KL1PM5C58AK640042</t>
  </si>
  <si>
    <t>2GKALSEK0E6295024 / TCL-421-A</t>
  </si>
  <si>
    <t xml:space="preserve">Cte. Rigoberto Estrada Rascon </t>
  </si>
  <si>
    <t>DES-INSTALACION POR DAÑO EN EQUIPO POR HUMEDAD
(NO SE COBRA LA DES-INSTALACION)</t>
  </si>
  <si>
    <t>BAJA 
09-ENE-2023</t>
  </si>
  <si>
    <t>3VWD17AJ8EM241532</t>
  </si>
  <si>
    <t>ACTIVO 
05-ENE-2023</t>
  </si>
  <si>
    <t>RZP-983-B</t>
  </si>
  <si>
    <t>Cte. Itzel Alondra Carrillo Martinez</t>
  </si>
  <si>
    <t>ACTIVO 
04-ENE-2023</t>
  </si>
  <si>
    <t>RSK-208-A / VSSXK46J9AR068664</t>
  </si>
  <si>
    <t>Cte. Saul Angeles Olivas 
Tel. 8123652645</t>
  </si>
  <si>
    <t xml:space="preserve">REVISION </t>
  </si>
  <si>
    <t>Cte. Jordan Alan Gauna Davila 
Tel. 8125062170</t>
  </si>
  <si>
    <t>ACTIVO 
02-ENE-2023</t>
  </si>
  <si>
    <t>Cte. Juan Eduardo Martinez Martinez 
Tel. 8122554315</t>
  </si>
  <si>
    <t>ACTIVO 
29-DIC-2022</t>
  </si>
  <si>
    <t xml:space="preserve">Cte. David Lugo Colmenares 
Tel. 8116036239 </t>
  </si>
  <si>
    <t>ACTIVO 
27-DIC-2022</t>
  </si>
  <si>
    <t>SYC-160-A / 3G1TB5BFXCL126713</t>
  </si>
  <si>
    <t>ACTIVO 
26-DIC-2022</t>
  </si>
  <si>
    <t>ACTIVO 
20-DIC-2022</t>
  </si>
  <si>
    <t>SAJ-496-A / 3VWDZ7AJ6BM332903</t>
  </si>
  <si>
    <t>STN-51-09 / 3VWJG11K49M004095</t>
  </si>
  <si>
    <t xml:space="preserve">Cte. Luis Fernando Martinez Garcia 
tel. </t>
  </si>
  <si>
    <t xml:space="preserve">Lote San Nicolas </t>
  </si>
  <si>
    <t>ACTIVO 
16-DIC-2022</t>
  </si>
  <si>
    <t>RKY-053-A</t>
  </si>
  <si>
    <t>Mario Ulises Oliva</t>
  </si>
  <si>
    <t>Cte. Marycarmen Vazquez Mata 
Tel. 8120159456
Sr. Arturo Lozano Tel. 8126060884</t>
  </si>
  <si>
    <t>ACTIVO 
15-DIC-2022</t>
  </si>
  <si>
    <t>3N1AB7AP4FY236848</t>
  </si>
  <si>
    <t>Cte. Karla Patricia Escamilla Flores 
Tel. 8183621502 
Sr. Omar  Tel. 8132387812</t>
  </si>
  <si>
    <t>TCK-925-A</t>
  </si>
  <si>
    <t>ACTIVO 
14-DIC-2022</t>
  </si>
  <si>
    <t>NISSAN SENTRA 2015</t>
  </si>
  <si>
    <t>Cte. J Eleuterio Velez Garcia 
Tel. 8120774012</t>
  </si>
  <si>
    <t>SBV-161-A / 3FAHP0HA4AR217621</t>
  </si>
  <si>
    <t>FORD FUSION 2010 GRIS ARENA</t>
  </si>
  <si>
    <t>Cte. Pedro Francisco Bustos De León 
Tel. 8130782617</t>
  </si>
  <si>
    <t xml:space="preserve">DODGE JOURNEY GRIS </t>
  </si>
  <si>
    <t>ACTIVO 
12-DIC-2022</t>
  </si>
  <si>
    <t>2GKFLXEK0F6168844</t>
  </si>
  <si>
    <t xml:space="preserve">CTE. </t>
  </si>
  <si>
    <t>ACTIVO 
06-DIC-2022</t>
  </si>
  <si>
    <t>BAJA 
06-DIC-2022</t>
  </si>
  <si>
    <t>PRESENTA FALLA EN QUEMACOCOS</t>
  </si>
  <si>
    <t>STB-54-23 / 3MZBM2V79GM240022</t>
  </si>
  <si>
    <t>Cte. Estefany Yazmin Lara Cardenas 
Tel. 8117455493</t>
  </si>
  <si>
    <t xml:space="preserve">Particlar </t>
  </si>
  <si>
    <t>Cte. Felix Rojas Espinoza 
Tel. 8116738331</t>
  </si>
  <si>
    <t>ACTIVO 
03-DIC-2022</t>
  </si>
  <si>
    <t>STF-86-99 / 1B3LC46K28N127210</t>
  </si>
  <si>
    <t>Cte. Yanet Reyna Barron 
Tel. 8125621364</t>
  </si>
  <si>
    <t>BAJA 
30-NOV-2022</t>
  </si>
  <si>
    <t>2GKFLUE38D6278657</t>
  </si>
  <si>
    <t>ACTIVO 
30-NOV-2022</t>
  </si>
  <si>
    <t>ACTIVO 
26-NOV-2022</t>
  </si>
  <si>
    <t>ACTIVO 
24-NOV-2022</t>
  </si>
  <si>
    <t>SSN-713-A / VSSMK46J5BR018946</t>
  </si>
  <si>
    <t>CTE. BEATRIZ DEL RIO URZUA 
TEL. 8120802707</t>
  </si>
  <si>
    <t>UNIDAD NO SE ENCONTRABA EN EL DOMICILIO, SE INGRESO A UN TALLER Y CTA SE MOLESTO</t>
  </si>
  <si>
    <t>TGD-094-A / MEX4G260XFT068000</t>
  </si>
  <si>
    <t>CTE. FELIPE DE JESUS GARCIA ORNELAS TEL. 8182017917</t>
  </si>
  <si>
    <t>ACTIVO 
23-NOV-2022</t>
  </si>
  <si>
    <t>STT-646-A / 1BEJB28B49D166061</t>
  </si>
  <si>
    <t>CTE. MIGUEL ANGEL LARA DURAN 
8188686190</t>
  </si>
  <si>
    <t>KL1PM5C59AK666729</t>
  </si>
  <si>
    <t>CTE. DAVID EDUARDO MARTINEZ NIÑO</t>
  </si>
  <si>
    <t>BAJA 
22-NOV-2022</t>
  </si>
  <si>
    <t>SRN-921-A</t>
  </si>
  <si>
    <t>ACTIVO 
18-NOV-22</t>
  </si>
  <si>
    <t>ACTIVO 
16-NOV-22</t>
  </si>
  <si>
    <t>3VWRM71K59M070685</t>
  </si>
  <si>
    <t>ACTIVO 
14-NOV-22</t>
  </si>
  <si>
    <t>1GKKV8ED2BJ187439</t>
  </si>
  <si>
    <t>ACTIVO 
11-NOV-22</t>
  </si>
  <si>
    <t>STT-75-43 / 3G1J85DC9GS610618</t>
  </si>
  <si>
    <t xml:space="preserve">SE ENCONTRABA EN EL TRABAJO, EL HORARIO DISPONIBL ES DESPUES DE LAS 7:00 PM Y NO TENIA CONFIRMACION DE SERVICIO </t>
  </si>
  <si>
    <t>SEAT ROJO 2010</t>
  </si>
  <si>
    <t>CTE. OMAR GUILLERMO GONZALEZ SOTO 
TEL. 8130918153</t>
  </si>
  <si>
    <t>NO TENIA CONFIRMACIÓN DE LA INSTALACION Y LA UNIDAD SE INGRESARIA A UN TALLER</t>
  </si>
  <si>
    <t>SEAT IBIZA NEGRO 2010</t>
  </si>
  <si>
    <t>CTE. MIGUEL ANGEL LOPEZ GARCIA 
TEL. 8112208733</t>
  </si>
  <si>
    <t xml:space="preserve">SE ENCONTRABA TRABAJANDO, LA UNIDAD NO SE ENCONTRABA EN EL DOMICILIO Y NO SE LE NOTIFICO </t>
  </si>
  <si>
    <t>VW BORA NEGRO 2014</t>
  </si>
  <si>
    <t>CTE. HUMBERTO MARTINEZ CALCHADO  TEL. 8134487420</t>
  </si>
  <si>
    <t xml:space="preserve">NO ESTABA EN EL DOMICILIO Y NO SE LE HABIA NOTIFICADO DE LA INSTALACION </t>
  </si>
  <si>
    <t xml:space="preserve">VW RENTO ROJO 2015 </t>
  </si>
  <si>
    <t>NO CONTESTO LLAMADAS</t>
  </si>
  <si>
    <t>VW VENTO BEIGE 2014</t>
  </si>
  <si>
    <t>CTE. DOMINGO DEL ANGEL REYES 
TEL. 8120510950</t>
  </si>
  <si>
    <t>TGG-094-A / MA3VC41S2GA156255</t>
  </si>
  <si>
    <t>ACTIVO 
04-NOV-2022</t>
  </si>
  <si>
    <t>1GNALDEK9DZ111619</t>
  </si>
  <si>
    <t>RKE-210-B / MEX4G260XET011567</t>
  </si>
  <si>
    <t>CTE. LIZETH ABIGAIL GALVAN JUAREZ 
TEL. 8180756506</t>
  </si>
  <si>
    <t xml:space="preserve">NO SE GENERA CARGO SOBRE REVISION 
SE HACE UN CAMBIO DE RELAY Y TIERRA </t>
  </si>
  <si>
    <t>ACTIVO 
31-OCT-2022</t>
  </si>
  <si>
    <t>ACTIVO 
26-OCT-2022</t>
  </si>
  <si>
    <t>PMH-651-A / 3G1J85AC0DS593028</t>
  </si>
  <si>
    <t>ACTIVO 
24-OCT-2022</t>
  </si>
  <si>
    <t>ACTIVO 
19-OCT-2022</t>
  </si>
  <si>
    <t>ACTIVO 
18-OCT-2022</t>
  </si>
  <si>
    <t>CTE. DORA ELIA GARZA AGUILERA</t>
  </si>
  <si>
    <t>ACTIVO 
14-OCT-2022</t>
  </si>
  <si>
    <t>2FMDK3KC8DBC07241</t>
  </si>
  <si>
    <t>ACTIVO 
12-OCT-2022</t>
  </si>
  <si>
    <t>PS-0119-A</t>
  </si>
  <si>
    <t>Lote Buenos Aires</t>
  </si>
  <si>
    <t xml:space="preserve">SE GENERA CTA. GABRIELA JUAREZ </t>
  </si>
  <si>
    <t>BAJA
13-JUL-2022</t>
  </si>
  <si>
    <t>ACTIVO 
11-OCT-2022</t>
  </si>
  <si>
    <t>1FMCU0GX3DUA60580</t>
  </si>
  <si>
    <t>ACTIVO 
08-OCT-2022</t>
  </si>
  <si>
    <t>ACTIVO
06-OCT-2022</t>
  </si>
  <si>
    <t>ACTIVO 
04-OCT-2022</t>
  </si>
  <si>
    <t>TFH-498-A / 1N4BL24E28C190191</t>
  </si>
  <si>
    <t>Cte. Oscar David Garza Valadez 
Tel. 8180910950</t>
  </si>
  <si>
    <t>ACTIVO 
01-OCT-2022</t>
  </si>
  <si>
    <t>Cte. Jorge Omar Sanchez Perez 
Tel. 8184738496</t>
  </si>
  <si>
    <t>Cte. Jorge Enrique Alanis Rodriguez 
Tel. 8182724408</t>
  </si>
  <si>
    <t>ACTIVO 
30-SEP-2022</t>
  </si>
  <si>
    <t>3GNAL3EK2DS595415</t>
  </si>
  <si>
    <t>ACTIVO 
28-SEP-2022</t>
  </si>
  <si>
    <t>ACTIVO 
26-SEP-2022</t>
  </si>
  <si>
    <t>ACTIVO 
17-SEP-2022</t>
  </si>
  <si>
    <t>ACTIVO 
15-SEP-2022</t>
  </si>
  <si>
    <t>SUA-33-11</t>
  </si>
  <si>
    <t>BAJA  
15-AGO-2022</t>
  </si>
  <si>
    <t>ACTIVO 
14-SEP-2022</t>
  </si>
  <si>
    <t>GMC TERRAIN GRIS 2011</t>
  </si>
  <si>
    <t>Cte. Paulina Perez Cortes 
Tel. 8137172724</t>
  </si>
  <si>
    <t>ACTIVO 
13-SEP-2022</t>
  </si>
  <si>
    <t>ACTIVO 
05-SEP-2022</t>
  </si>
  <si>
    <t>1ZVBP8EM9D5237316 / SRN-921-A</t>
  </si>
  <si>
    <t xml:space="preserve">CTE. JORGE ADRIAN LUNA ALVARADO </t>
  </si>
  <si>
    <t>BAJA 
05-SEP-2022</t>
  </si>
  <si>
    <t>ACTIVO 
02-SEP-20222</t>
  </si>
  <si>
    <t>1FMEU63EX8UA75762</t>
  </si>
  <si>
    <t xml:space="preserve">CTE. Monica Magaly Morales Chavez </t>
  </si>
  <si>
    <t>ACTIVO 
31-AGO-2022</t>
  </si>
  <si>
    <t>1C4RDHAGXEC382842</t>
  </si>
  <si>
    <t>CTE. VICTOR DAVID DE LA TORRE RODRIGUEZ</t>
  </si>
  <si>
    <t>BAJA 
31-AGO-2022</t>
  </si>
  <si>
    <t>5XYZK4AGXBG009435</t>
  </si>
  <si>
    <t>Cte. Edgar Alan San Miguel Varela</t>
  </si>
  <si>
    <t>ACTIVO 
29-AGO-2022</t>
  </si>
  <si>
    <t>1C4NJPFA0ED682034</t>
  </si>
  <si>
    <t>ACTIVO 
25-AGO-2022</t>
  </si>
  <si>
    <t>ACTIVO 
22-AGO-2022</t>
  </si>
  <si>
    <t>SSL-18-51</t>
  </si>
  <si>
    <t>ACTIVO 
19-AGO-2022</t>
  </si>
  <si>
    <t>TDS-505-A</t>
  </si>
  <si>
    <t>ACTIVO 
16-AGO-2022</t>
  </si>
  <si>
    <t>Cte. Jahil Eliu Rodriguez Rodriguez 
Tel. 8110370384</t>
  </si>
  <si>
    <t>TAG-916-A</t>
  </si>
  <si>
    <t xml:space="preserve">Cte. Alma Nelly Rodriguez Castillo 
Tel. 8182030094 </t>
  </si>
  <si>
    <t>TCA-469-A</t>
  </si>
  <si>
    <t>ACTIVO 
15-AGO-2022</t>
  </si>
  <si>
    <t>CHEVROLET CRUZ GUINDO 2010</t>
  </si>
  <si>
    <t>Cte. Tania Pamela Martinez Perez</t>
  </si>
  <si>
    <t>FORD ECOLINE 2011</t>
  </si>
  <si>
    <t>Cte. Omar Alejandro Jimenez Tovar</t>
  </si>
  <si>
    <t>SSV-29-63 / KL1PM5C52AK560316</t>
  </si>
  <si>
    <t>ACTIVO 
12-AGO-2022</t>
  </si>
  <si>
    <t>3VWRG11K39M025636</t>
  </si>
  <si>
    <t>ACTIVO 
09-AGO-2022</t>
  </si>
  <si>
    <t>BAJA 
09-AGO-2022</t>
  </si>
  <si>
    <t>RKV-909-A</t>
  </si>
  <si>
    <t>Cte. Jorge Arturo Escalante Cruz</t>
  </si>
  <si>
    <t>ACTIVO 
08-AGO-2022</t>
  </si>
  <si>
    <t>ACTIVO 
05-AGO-2022</t>
  </si>
  <si>
    <t>Cte. Jesus Paras Reyes</t>
  </si>
  <si>
    <t>ACTIVO 
04-AGO-2022</t>
  </si>
  <si>
    <t xml:space="preserve">Cte. Servando Avalos Palomo </t>
  </si>
  <si>
    <t>ACTIVO 
29-JUL-2022</t>
  </si>
  <si>
    <t>1GKEV33707J143587 / SRG-52-41</t>
  </si>
  <si>
    <t>Cte. Didier Alexis Pech Rosas</t>
  </si>
  <si>
    <t>ACTIVO 
27-JUL-2022</t>
  </si>
  <si>
    <t>2GNALPEW5A6334356</t>
  </si>
  <si>
    <t>Cte. Wilfredo Federico Cantu Lopez</t>
  </si>
  <si>
    <t>SE POSPONE INSTALACION</t>
  </si>
  <si>
    <t>VW JETTA 2009</t>
  </si>
  <si>
    <t>ACTIVO 
26-JUL-2022</t>
  </si>
  <si>
    <t>RB-8152-A</t>
  </si>
  <si>
    <t>Cte. Braulio Antonio De La Rosa Salazar</t>
  </si>
  <si>
    <t>SYB-597-A / 2C3CCABG0DH709943</t>
  </si>
  <si>
    <t>SHT-670-A / 3FADP4BJ5DM190302</t>
  </si>
  <si>
    <t>CTE. JULIO REYES SANTIAGO</t>
  </si>
  <si>
    <t>SLG-317-A / 3G1J85DC1ES568748</t>
  </si>
  <si>
    <t>BAJA
01-JUL-2022</t>
  </si>
  <si>
    <t>RUM-661-A</t>
  </si>
  <si>
    <t>ACTIVO 
30-JUN-22</t>
  </si>
  <si>
    <t>KL1PM5C57BK086994</t>
  </si>
  <si>
    <t>CTE. RUBEN ALBERTO CASTILLO VILLANUEVA</t>
  </si>
  <si>
    <t>BAJA 
29-JUN-2022</t>
  </si>
  <si>
    <t>ACTIVO 
28-JUN-2022</t>
  </si>
  <si>
    <t>1C4NJPBAXED553367</t>
  </si>
  <si>
    <t>ACTIVO 
22-JUN-2022</t>
  </si>
  <si>
    <t>STB-49-92 / 3VW2W1AJ7CM085972</t>
  </si>
  <si>
    <t xml:space="preserve">CTE. Melisa Selene Dan Garcia </t>
  </si>
  <si>
    <t>ACTIVO 
17-JUN-2022</t>
  </si>
  <si>
    <t>1G11C5SA0DF137224 / TBR-104-A</t>
  </si>
  <si>
    <t>CTE. FRANCISCA ANGELICA GONZALEA DE LA PEÑA</t>
  </si>
  <si>
    <t>BAJA 
17-JUN-2022</t>
  </si>
  <si>
    <t>STD-19-30 / 1D8GT58K48W161311</t>
  </si>
  <si>
    <t>ACTIVO 
13-JUN-2022</t>
  </si>
  <si>
    <t>5N1AR2MN2DC615127</t>
  </si>
  <si>
    <t>ACTIVO 
11-JUN-2022</t>
  </si>
  <si>
    <t>ACTIVO 
09-JUN-2022</t>
  </si>
  <si>
    <t>1G11C5SA0DF137224</t>
  </si>
  <si>
    <t>3C4PDCBB0DT592656</t>
  </si>
  <si>
    <t>BAJA 
08-JUN-2022</t>
  </si>
  <si>
    <t>1ZVFTB2H665171489</t>
  </si>
  <si>
    <t>1FMEU7EEXAUB13516</t>
  </si>
  <si>
    <t>SKH-648-A</t>
  </si>
  <si>
    <t>CTE. MAYRA PATRICIA DAVILA TREVIÑO</t>
  </si>
  <si>
    <t>ACTIVO 
26-MAY-2022</t>
  </si>
  <si>
    <t>ACTIVO 
20-MAY-2022</t>
  </si>
  <si>
    <t>SZH-243-A</t>
  </si>
  <si>
    <t>3GNAL3EK6D5536495</t>
  </si>
  <si>
    <t>ACTIVO 
18-MAY-2022</t>
  </si>
  <si>
    <t>CTE IRVING RUBEN TORRES</t>
  </si>
  <si>
    <t>STM-23-44 / 1N4AL24E18C129071</t>
  </si>
  <si>
    <t>CTE. GREGORIO FELIPE HERMOSILLO GARCIA</t>
  </si>
  <si>
    <t>ACTIVO 
16-MAY-2022</t>
  </si>
  <si>
    <t>SWD-486-A</t>
  </si>
  <si>
    <t>ACTIVO 
11-MAY-2022</t>
  </si>
  <si>
    <t>SKF-117-A / 3G1J85ACXES566789</t>
  </si>
  <si>
    <t>CTE. MONICA RANGEL CONTERAS RAMIREZ</t>
  </si>
  <si>
    <t>SPW-77-69</t>
  </si>
  <si>
    <t xml:space="preserve">CTE. JOSE SANCHEZ SANCHEZ </t>
  </si>
  <si>
    <t xml:space="preserve">AyC AUTOS </t>
  </si>
  <si>
    <t>ACTIVO 
09-MAY-2022</t>
  </si>
  <si>
    <t>ACTIVO 
05-MAY-2022</t>
  </si>
  <si>
    <t>CHRYSLER 300</t>
  </si>
  <si>
    <t>CTE. URIEL</t>
  </si>
  <si>
    <t>ACTIVO 
03-MAY-2022</t>
  </si>
  <si>
    <t>SRW-96-73</t>
  </si>
  <si>
    <t>ACTIVO 
27-ABR-2022</t>
  </si>
  <si>
    <t>SLC-70-31</t>
  </si>
  <si>
    <t>ACTIVO 
26-ABR-2022</t>
  </si>
  <si>
    <t>SZD-881-A</t>
  </si>
  <si>
    <t>ACTIVO 
22-ABR-2022</t>
  </si>
  <si>
    <t>3KPFJ4B73JE251290</t>
  </si>
  <si>
    <t>CTE. GABRIELA RODRIGUEZ CAMACHO</t>
  </si>
  <si>
    <t>CTE. OSCAR PATRICIO BAUTISTA MENDOZA</t>
  </si>
  <si>
    <t>SWM-558-A / 1FAHP3F27CL108665</t>
  </si>
  <si>
    <t>CTE. ALEXIA LIZBET RAMOS ZUÑIGA</t>
  </si>
  <si>
    <t>3GNL4EK9ES558188</t>
  </si>
  <si>
    <t>CTE. MANUEL SANCHEZ GUZMAN</t>
  </si>
  <si>
    <t>SMR-36-33</t>
  </si>
  <si>
    <t>ACTIVO 
08-ABR-2022</t>
  </si>
  <si>
    <t>RTR-500-A</t>
  </si>
  <si>
    <t>ACTIVO 
29-DIC-2021</t>
  </si>
  <si>
    <t>FR-1654-A</t>
  </si>
  <si>
    <t>BAJA 
08-ABR-2022</t>
  </si>
  <si>
    <t xml:space="preserve">PETICION DE BAJA SIN RETIRO DE EQUIPO </t>
  </si>
  <si>
    <t>SXE-530-A / 3FAKP4AJ9BM133896</t>
  </si>
  <si>
    <t>CTE. LUIS RICARDO ALVAREZ CARCAMO</t>
  </si>
  <si>
    <t>BAJA 
05-ABR-2022</t>
  </si>
  <si>
    <t>SUT-477-A</t>
  </si>
  <si>
    <t>CTE. LUCIA MARIBEL RIOS MENDOZA</t>
  </si>
  <si>
    <t>DJN-76-38</t>
  </si>
  <si>
    <t>CTE. SANDRA MARIA GARCIA PEREZ</t>
  </si>
  <si>
    <t xml:space="preserve">Lote Linda vista </t>
  </si>
  <si>
    <t>SRF-89-57</t>
  </si>
  <si>
    <t>CTE. DIEGO ALEJANDRO PONCE TORRES</t>
  </si>
  <si>
    <t xml:space="preserve">Autos Valdez </t>
  </si>
  <si>
    <t>SLW-727-A</t>
  </si>
  <si>
    <t>CTE. MARIO ALBERTO LARA IBARRA</t>
  </si>
  <si>
    <t xml:space="preserve">San Nicolas </t>
  </si>
  <si>
    <t>SLW-35-82 / WAUAFC8K2BA057644</t>
  </si>
  <si>
    <t xml:space="preserve">CTE. MARIO DEL ANGEL </t>
  </si>
  <si>
    <t>SSB-77-65</t>
  </si>
  <si>
    <t>ACTIVO 
01-ABR-2022</t>
  </si>
  <si>
    <t>1N6AD0ER5DN733960</t>
  </si>
  <si>
    <t>ACTIVO 
30-MAR-2022</t>
  </si>
  <si>
    <t>KL1PM5C59AK666729 / RTT-779-B</t>
  </si>
  <si>
    <t>ACTIVO 
29-MAR-2022</t>
  </si>
  <si>
    <t>SVX-893-A / KL1PM5C57AK698644</t>
  </si>
  <si>
    <t>CTE.MARIANO JARAMILLO ESPARZA</t>
  </si>
  <si>
    <t>ACTIVO 
26-MAR-2022</t>
  </si>
  <si>
    <t>1N4AL2EP5CC205075</t>
  </si>
  <si>
    <t>CTE. ERICK EDUARDO MARTINEZ ALVAREZ</t>
  </si>
  <si>
    <t>ACTIVO 
23-MAR-2022</t>
  </si>
  <si>
    <t>SSM-871-A / KL8PD5C55DK096010</t>
  </si>
  <si>
    <t>CTE. CHRISTIAN EDUARDO PALOMO MARTINEZ</t>
  </si>
  <si>
    <t>CTE. BLANCA IRIS AYALA MARQUEZ</t>
  </si>
  <si>
    <t>ACTIVO 
16-MAR-2022</t>
  </si>
  <si>
    <t>2C3CDYAG2DH660087</t>
  </si>
  <si>
    <t>ACTIVO 
14-MAR-2022</t>
  </si>
  <si>
    <t>247 / 095</t>
  </si>
  <si>
    <t>246 / 078</t>
  </si>
  <si>
    <t>2GNALDEKXD6343741</t>
  </si>
  <si>
    <t>245 / 062</t>
  </si>
  <si>
    <t>ACTIVO 
09-MAR-2022</t>
  </si>
  <si>
    <t>SXN-098-A</t>
  </si>
  <si>
    <t>ACTIVO 
08-MAR-2022</t>
  </si>
  <si>
    <t>RUD-240-A / 1J4FF28B09D211080</t>
  </si>
  <si>
    <t>CTE. ROSA MARIA AGUILERA LOPEZ</t>
  </si>
  <si>
    <t>RECONFIGURACION</t>
  </si>
  <si>
    <t>ACTIVO 
04-MAR-2022</t>
  </si>
  <si>
    <t>SRR-43-99</t>
  </si>
  <si>
    <t>CTE. RICARDO GARCIA GONZALEZ</t>
  </si>
  <si>
    <t>2C4RC1BG9DR519686</t>
  </si>
  <si>
    <t>ACTIVO 
03-MAR-2022</t>
  </si>
  <si>
    <t>ACTIVO 
02-MAR-2022</t>
  </si>
  <si>
    <t>SNT-62-85</t>
  </si>
  <si>
    <t>ACTIVO 
01-MAR-2022</t>
  </si>
  <si>
    <t>SPS-22-03</t>
  </si>
  <si>
    <t>BAJA 
01-MAR-2022</t>
  </si>
  <si>
    <t>SXM-418-A</t>
  </si>
  <si>
    <t>ACTIVO 
22-FEB-2022</t>
  </si>
  <si>
    <t/>
  </si>
  <si>
    <t>SEB-160-A / 1FAHP3FN8BW162273</t>
  </si>
  <si>
    <t>CTE. NOE ROMAN ENRIQUEZ</t>
  </si>
  <si>
    <t xml:space="preserve">Particular 
3:00 PM </t>
  </si>
  <si>
    <t>BAJA 
19-FEB-2022</t>
  </si>
  <si>
    <t>RKT-693-A</t>
  </si>
  <si>
    <t>BAJA 
18-FEB-2022</t>
  </si>
  <si>
    <t>SNE-49-09</t>
  </si>
  <si>
    <t>ACTIVO 
16-FEB-2022</t>
  </si>
  <si>
    <t>SXG-836-A</t>
  </si>
  <si>
    <t>CTE. RAY FERNANDO ALANIS ESPINOZA</t>
  </si>
  <si>
    <t>Lote Zulema 
(San Nicolás)</t>
  </si>
  <si>
    <t>CTE. RAUL ALBERTO MONTEMAYOR MATA</t>
  </si>
  <si>
    <t>RJ-61-920</t>
  </si>
  <si>
    <t>STM-23-44</t>
  </si>
  <si>
    <t xml:space="preserve">CTE. GUILLERMO BLADIMIR LOZANO ANCIRA </t>
  </si>
  <si>
    <t>BAJA 
16-FEB-2022</t>
  </si>
  <si>
    <t>SNH-26-33</t>
  </si>
  <si>
    <t>CTE. ALBERTO CARRILLO GIL</t>
  </si>
  <si>
    <t>Particular 
6:00 PM</t>
  </si>
  <si>
    <t>RTE-411-A</t>
  </si>
  <si>
    <t>ACTIVO 
31-ENE-2022</t>
  </si>
  <si>
    <t>RWU-684-A</t>
  </si>
  <si>
    <t xml:space="preserve">CTE. ERIKA ANNE LOPEZ VAZQUEZ </t>
  </si>
  <si>
    <t>PM-5315-A</t>
  </si>
  <si>
    <t>SUT-472-A</t>
  </si>
  <si>
    <t>1FAHP3M27CL216643</t>
  </si>
  <si>
    <t>CTE. LUIS EMMANUEL RODRIGUEZ GRANADO</t>
  </si>
  <si>
    <t xml:space="preserve">UBITEC </t>
  </si>
  <si>
    <t>BAJA 
05-FEB-2022</t>
  </si>
  <si>
    <t>RXK-995-A</t>
  </si>
  <si>
    <t>SVZ-210-A</t>
  </si>
  <si>
    <t>CTE. OLIVA SANCHEZ LUNA</t>
  </si>
  <si>
    <t>ACTIVO 
03-FEB-2022</t>
  </si>
  <si>
    <t>SSR-14-80</t>
  </si>
  <si>
    <t>SSV-46-57</t>
  </si>
  <si>
    <t>ACTIVO 
21-ENE-2022</t>
  </si>
  <si>
    <t>RVL-369-A</t>
  </si>
  <si>
    <t>SUF-152-A</t>
  </si>
  <si>
    <t xml:space="preserve">CTE. ANA FELIPA AMPARAN ELISERIO </t>
  </si>
  <si>
    <t>ACTIVO 
19-ENE-2022</t>
  </si>
  <si>
    <t>SJP-40-68</t>
  </si>
  <si>
    <t>1C3ADZABXCN166423</t>
  </si>
  <si>
    <t>764-WYG</t>
  </si>
  <si>
    <t>Coronado</t>
  </si>
  <si>
    <t>ACTIVO 
10-ENE-2022</t>
  </si>
  <si>
    <t>BAJA 
13-ENE-2022</t>
  </si>
  <si>
    <t>ACTIVO 
30-DIC-2021</t>
  </si>
  <si>
    <t>SLB-44-65</t>
  </si>
  <si>
    <t>CTE. HELI TORRES BASALDUA</t>
  </si>
  <si>
    <t>SLR-41-86</t>
  </si>
  <si>
    <t>SLD-75-89</t>
  </si>
  <si>
    <t>SRD-63-41</t>
  </si>
  <si>
    <t>SSV-39-31</t>
  </si>
  <si>
    <t>ACTIVO 
28-DIC-2021</t>
  </si>
  <si>
    <t>1FM5K7D8XDGC29013</t>
  </si>
  <si>
    <t>INACTIVO 
30-DIC-2021</t>
  </si>
  <si>
    <t>CTE. ROSALIO RODRIGUEZ SALINAS 
TEL. 8123199876</t>
  </si>
  <si>
    <t>SPA-81-11</t>
  </si>
  <si>
    <t>ACTIVO 
23-DIC-2021</t>
  </si>
  <si>
    <t>RVW-814-A</t>
  </si>
  <si>
    <t>ACTIVO 
22-DIC-2021</t>
  </si>
  <si>
    <t>STP-86-35</t>
  </si>
  <si>
    <t>CTE. ESTHEFANY ALEJANDRA MENDOZA AVILA 
CONTACTO. 8182872053</t>
  </si>
  <si>
    <t>1VWAH7A30CC034096</t>
  </si>
  <si>
    <t>ACTIVO 
17-DIC-2021</t>
  </si>
  <si>
    <t>2GKALUEK3D6319603</t>
  </si>
  <si>
    <t>RSA-734-A</t>
  </si>
  <si>
    <t>ACTIVO 
16-DIC-2021</t>
  </si>
  <si>
    <t>ACTIVO 
13-DIC-2021</t>
  </si>
  <si>
    <t>ACTIVO 
11-DIC-2021</t>
  </si>
  <si>
    <t>RLW-641-A</t>
  </si>
  <si>
    <t>ACTIVO 
10-DIC-2021</t>
  </si>
  <si>
    <t>SVP-581-A</t>
  </si>
  <si>
    <t>CTE. JOSE OTILIO GAMEZ SANTILLAN</t>
  </si>
  <si>
    <t>ACTIVO 
09-DIC-2021</t>
  </si>
  <si>
    <t>SLU-46-90</t>
  </si>
  <si>
    <t>ACTIVO 
06-DIC-2021</t>
  </si>
  <si>
    <t>SPX-537-A</t>
  </si>
  <si>
    <t>893407550000387435-2</t>
  </si>
  <si>
    <t>BAJA 
03-DIC-2021</t>
  </si>
  <si>
    <t>SNC-149-A / 2GKALSEK8C6248417</t>
  </si>
  <si>
    <t>CTE. ERIKA JUDITH GOMEZ MARTINEZ</t>
  </si>
  <si>
    <t>SRR-95-81 / 2T1BU4EE9DC943251</t>
  </si>
  <si>
    <t>CTE. JUAN LUIS TAMEZ SAENZ</t>
  </si>
  <si>
    <t>SMV-866-A / 2CTALMEC5B6474045</t>
  </si>
  <si>
    <t>CTE. ARLETH JOSEFINA VALLEJO FLORES</t>
  </si>
  <si>
    <t>BAJA 
02-DIC-2021</t>
  </si>
  <si>
    <t>SSN-37-26</t>
  </si>
  <si>
    <t>CTE. ANDREA CECILIA CHAPA SANDOVAL</t>
  </si>
  <si>
    <t>ACTIVO 
30-NOV-2021</t>
  </si>
  <si>
    <t>SVP-352-A</t>
  </si>
  <si>
    <t>CFMXR0125NBV</t>
  </si>
  <si>
    <t>BAJA 
30-NOV-2021</t>
  </si>
  <si>
    <t>SUE-171-A</t>
  </si>
  <si>
    <t>CTE. DANTE GERARDO CANTU DELGADO</t>
  </si>
  <si>
    <t>TRASPASO DE CTA 
RODRIGO SOTO</t>
  </si>
  <si>
    <t xml:space="preserve">UTILIZADO CON YADIRA MARMOLEJO </t>
  </si>
  <si>
    <t>SUC-71-10</t>
  </si>
  <si>
    <t>CTE. JONATHAN ISRAEL GONZALEZ GONZALEZ</t>
  </si>
  <si>
    <t>BAJA 
26-NOV-2021</t>
  </si>
  <si>
    <t>STF-78-93</t>
  </si>
  <si>
    <t>CTE. LETICIA ELIZABETH RODRIGUEZ FLORES</t>
  </si>
  <si>
    <t>ACTIVO 
24-NOV-2021</t>
  </si>
  <si>
    <t>SSR-18-21</t>
  </si>
  <si>
    <t>S/N</t>
  </si>
  <si>
    <t xml:space="preserve">APFEL </t>
  </si>
  <si>
    <t>CTEL ILSE LIZBETH SANCHEZ ESCALANTE</t>
  </si>
  <si>
    <t>BAJA 
18-NOV-2021</t>
  </si>
  <si>
    <t>RNF-643-A</t>
  </si>
  <si>
    <t>CTE. LIZETH ANAHI ELIZONDO DE LA GARZA</t>
  </si>
  <si>
    <t>ACTIVO 
17-NOV-2021</t>
  </si>
  <si>
    <t>2GNALDEK9C6383663</t>
  </si>
  <si>
    <t xml:space="preserve">CTE. DINORA ISABEL MARTINEZ ARELLANO </t>
  </si>
  <si>
    <t>9BWLB45Z074033997 / SPS-211-A</t>
  </si>
  <si>
    <t>893407550000388217-3</t>
  </si>
  <si>
    <t xml:space="preserve">CTE. VICTOR MANUEL SUAREZ MARTINEZ </t>
  </si>
  <si>
    <t>1G1ZF57588F232993</t>
  </si>
  <si>
    <t>CTE. KEVIN ALAN OCHOA ORTIZ</t>
  </si>
  <si>
    <t>CTE. JOSE ALFREDO ORTEGA MARTINEZ</t>
  </si>
  <si>
    <t>3D4PG5FB3AT280696</t>
  </si>
  <si>
    <t>CTE. BERTHA ALICIA LARA SANCHEZ</t>
  </si>
  <si>
    <t>SNL-867-A</t>
  </si>
  <si>
    <t>INACTIVO</t>
  </si>
  <si>
    <t xml:space="preserve">ZULEMA </t>
  </si>
  <si>
    <t>RTD-120-A</t>
  </si>
  <si>
    <t>1C4NJCBA1CD692325</t>
  </si>
  <si>
    <t xml:space="preserve">CTE. Nisael Cayetano Hernandez </t>
  </si>
  <si>
    <t xml:space="preserve">CTE. Jesus Alfredo Sustaita Puente </t>
  </si>
  <si>
    <t>SVC-050-A / 1C4NJCBB2CD518823</t>
  </si>
  <si>
    <t>CTE. DHEREK ISRAEL URBINA ROMERO</t>
  </si>
  <si>
    <t>SSX-13-51</t>
  </si>
  <si>
    <t xml:space="preserve">Outlet Escobedo </t>
  </si>
  <si>
    <t>STP-13-97</t>
  </si>
  <si>
    <t>CTE. JULIO CESAR ESTRADA DOMINGUEZ</t>
  </si>
  <si>
    <t>SSR-65-61</t>
  </si>
  <si>
    <t>CTE. EVELYN YESENIA LOPEZ OLVERA</t>
  </si>
  <si>
    <t>1FMCU9D78CKB00090</t>
  </si>
  <si>
    <t xml:space="preserve">RSS-663-A / KMHCT4NDXCU074803 </t>
  </si>
  <si>
    <t>3FAHP0JAXCR408991</t>
  </si>
  <si>
    <t>CTE. ROSSI BRIZZEHIDY FLORES</t>
  </si>
  <si>
    <t>SRN-87-98</t>
  </si>
  <si>
    <t>CTE. ANA MARIA JARA LUNA</t>
  </si>
  <si>
    <t>STD-96-87</t>
  </si>
  <si>
    <t>CTE. ANA PATRICIA PUENTE LUNA</t>
  </si>
  <si>
    <t>INACTIVO
24-MAR-2022</t>
  </si>
  <si>
    <t>SAA-933-A</t>
  </si>
  <si>
    <t>INACTIVO 
13-JUL-2022</t>
  </si>
  <si>
    <t>RNS-923-A</t>
  </si>
  <si>
    <t>22364B5</t>
  </si>
  <si>
    <t>ACTIVO 
14-JUL-2022</t>
  </si>
  <si>
    <t>1N4AL3AP7DN467309</t>
  </si>
  <si>
    <t>2GKALSEK1D632418</t>
  </si>
  <si>
    <t>GMC TERRAIN PLATA 2013</t>
  </si>
  <si>
    <t>CTE. MAURO FIDEL RANGEL HERNANDEZ</t>
  </si>
  <si>
    <t>SSC-676-A</t>
  </si>
  <si>
    <t>San Pedro</t>
  </si>
  <si>
    <t>RSD-327-A / 1G1ZK57B79F223841</t>
  </si>
  <si>
    <t>CTE. KEVIN JAVIER TORRES GONZALEZ</t>
  </si>
  <si>
    <t>SJW-56-26</t>
  </si>
  <si>
    <t>Jorge Rivera</t>
  </si>
  <si>
    <t>CTE. ORALIA BECERRIL MEDINA</t>
  </si>
  <si>
    <t>INACTIVO 
05-JUL-2022</t>
  </si>
  <si>
    <t>PX-6229-A</t>
  </si>
  <si>
    <t>INACTIVO 
21-AGO-2021</t>
  </si>
  <si>
    <t>STR-80-80</t>
  </si>
  <si>
    <t>CTE. KEILLY TORRES GARCIA</t>
  </si>
  <si>
    <t>SRF-55-98</t>
  </si>
  <si>
    <t>CTE. JOSE MANUEL GALLEGOS GARZA</t>
  </si>
  <si>
    <t>TRASPASO DE CTA CORONADO</t>
  </si>
  <si>
    <t>3VWDX7AJ3BM336249</t>
  </si>
  <si>
    <t>893407540001298191-0</t>
  </si>
  <si>
    <t xml:space="preserve">CTE. FERMIN GALVAN DELGADO </t>
  </si>
  <si>
    <t>SMS-46-21 / JM1CR293090355677</t>
  </si>
  <si>
    <t>CTE. JAVIER CASANOVA ALEJANDRE</t>
  </si>
  <si>
    <t>INACTIVO 
10-JUL-2021</t>
  </si>
  <si>
    <t>RZY-811-A / 3GNBACDVXAS548182</t>
  </si>
  <si>
    <t>CTE. CARMEN JULIA HERNANDEZ JUAREZ</t>
  </si>
  <si>
    <t>Particular
Zulema</t>
  </si>
  <si>
    <t>SSB-25-92 / 3G1J85DC3ES604424</t>
  </si>
  <si>
    <t>CTE. LILIA ELIZABETH ROMO SOTO</t>
  </si>
  <si>
    <t>SSK-078-A</t>
  </si>
  <si>
    <t xml:space="preserve">CTE. LUIS ALEJANDRO LARA ZUÑIGA </t>
  </si>
  <si>
    <t>893407540001254251-4</t>
  </si>
  <si>
    <t>CTE. JOSE JACINTO ROMO SALAS</t>
  </si>
  <si>
    <t>RLP-042-A</t>
  </si>
  <si>
    <t xml:space="preserve">CTE. RAMON VAZQUEZ IZAGUIRRE </t>
  </si>
  <si>
    <t>CTE. GERARDO LIMON MARTINEZ</t>
  </si>
  <si>
    <t>SSU-809-A</t>
  </si>
  <si>
    <t>Plaza Express
Zulema</t>
  </si>
  <si>
    <t>893407540001363030-0</t>
  </si>
  <si>
    <t>INACTIVO 
29-JUN-2022</t>
  </si>
  <si>
    <t>3C4PDCAB1CT161114</t>
  </si>
  <si>
    <t>893407550000386490-8</t>
  </si>
  <si>
    <t>TRASPASO DE CTA RODRIGO SOTO</t>
  </si>
  <si>
    <t>SDF-110-A</t>
  </si>
  <si>
    <t>893407150000260224-6</t>
  </si>
  <si>
    <t>RJ-75-678</t>
  </si>
  <si>
    <t xml:space="preserve">Lote </t>
  </si>
  <si>
    <t>893407540001298207-4</t>
  </si>
  <si>
    <t>SDK-488-A / 3VW1K7AJ2BM362049</t>
  </si>
  <si>
    <t>CTE. MARCELO OROZCO ALVRADO</t>
  </si>
  <si>
    <t>RSG-815-A / LSGHD54H4JD021825</t>
  </si>
  <si>
    <t>CTE. SERGIO GONZALEZ CORTEZ</t>
  </si>
  <si>
    <t>SPP-11-58 / 3VWJG11K19M016818</t>
  </si>
  <si>
    <t>CTE. JUAN MANUEL MARTINEZ PALACIOS</t>
  </si>
  <si>
    <t>RG-44-856 / 1FTPX045X6KD71065</t>
  </si>
  <si>
    <t>CTE. JORGE JACOBO CARDENAS HINOJOSA</t>
  </si>
  <si>
    <t>SSS-70-63 / 3G1TB5AF2FL170002</t>
  </si>
  <si>
    <t>893407150000261137-9</t>
  </si>
  <si>
    <t>VF1VY1GY8CC393098</t>
  </si>
  <si>
    <t>893407550000373742-7</t>
  </si>
  <si>
    <t>Daniel Estrada</t>
  </si>
  <si>
    <t>2GNALDEK9C6123703</t>
  </si>
  <si>
    <t>RUZ-612-A</t>
  </si>
  <si>
    <t>893407550000387479-0</t>
  </si>
  <si>
    <t>CTE. CLAUDIA LIZETH RUIZ NAVA</t>
  </si>
  <si>
    <t>3C4PDCBG4ET210738</t>
  </si>
  <si>
    <t>CTE. CLAUDIA RUIZ</t>
  </si>
  <si>
    <t>SKW-62-69</t>
  </si>
  <si>
    <t>893407550000386481-7</t>
  </si>
  <si>
    <t>CTE. KARLA JANETH HERNANDEZ GONZALEZ</t>
  </si>
  <si>
    <t>INACTIVO 
14-AGO-2021</t>
  </si>
  <si>
    <t xml:space="preserve">CTE. ALFONSO GARCIA CABALLERO </t>
  </si>
  <si>
    <t>SUB-88-92</t>
  </si>
  <si>
    <t>RPN-623-A / 8FAHP0HG4BR198428</t>
  </si>
  <si>
    <t>893407550000386491-6</t>
  </si>
  <si>
    <t>STB-95-45</t>
  </si>
  <si>
    <t>893407550000386494-0</t>
  </si>
  <si>
    <t>CTE. ALFREDO FLORES LEIJA</t>
  </si>
  <si>
    <t>1FAHP3F25CL408432</t>
  </si>
  <si>
    <t>RXA-585-A</t>
  </si>
  <si>
    <t>893407540001254278-7</t>
  </si>
  <si>
    <t>CTE. GABRIEL ALEJANDRO PEREZ CAVAZOS</t>
  </si>
  <si>
    <t>2FMDK3GC6CBA23066</t>
  </si>
  <si>
    <t>893407540001254049-2</t>
  </si>
  <si>
    <t>SLN-731-A / 1N4AL2AP7AC188413</t>
  </si>
  <si>
    <t>RTF-418-A / 1J4NT2GA8AD513668</t>
  </si>
  <si>
    <t>893407550000386478-3</t>
  </si>
  <si>
    <t>CTE. JOSE GUADALUPE MENDOZA CHAVARRIA</t>
  </si>
  <si>
    <t>Jesús Sánchez</t>
  </si>
  <si>
    <t>2GNALBEK5D6185491</t>
  </si>
  <si>
    <t>893407550000386511-1</t>
  </si>
  <si>
    <t xml:space="preserve">CTE. JUAN ANTONIO CODINA VAZQUEZ </t>
  </si>
  <si>
    <t>1G11H5SA9DF325810</t>
  </si>
  <si>
    <t>893407550000386488-2</t>
  </si>
  <si>
    <t>CTE. TADEO FRANCISCO ARCINIEGA RAMIREZ</t>
  </si>
  <si>
    <t>SNV-866-A / 3N1AB6APXBL638729</t>
  </si>
  <si>
    <t>893407540001254241-5</t>
  </si>
  <si>
    <t xml:space="preserve">CTE. GUILLERMO SADA SALAZAR </t>
  </si>
  <si>
    <t>SAD-777-A / 1G1ZK577794202950</t>
  </si>
  <si>
    <t>893407540001254248-0</t>
  </si>
  <si>
    <t>CTE. CESAR ALEJANDRO VALLE PEREZ</t>
  </si>
  <si>
    <t>SDH-309-A / 3VWRM71K09M136074</t>
  </si>
  <si>
    <t>893407540001254249-8</t>
  </si>
  <si>
    <t>CTE. PABLO ENRIQUE ALMAZA JUAREZ</t>
  </si>
  <si>
    <t>SKA-15-43 / JN8AS58T1AW723451</t>
  </si>
  <si>
    <t>893407540001260657-4</t>
  </si>
  <si>
    <t>CTE. JOSE ODILON ROJAS RIOS</t>
  </si>
  <si>
    <t>Apodaca</t>
  </si>
  <si>
    <t>RKW-483-A / 3VWHG11KX9M157126</t>
  </si>
  <si>
    <t>893407140000548783-8</t>
  </si>
  <si>
    <t>SNV-024-A / 2CTALUEC8B6445834</t>
  </si>
  <si>
    <t>893407540001260653-3</t>
  </si>
  <si>
    <t>2GNALDEK1C6148738</t>
  </si>
  <si>
    <t>SSX-16-47</t>
  </si>
  <si>
    <t>Control Vehicular
CITADEL</t>
  </si>
  <si>
    <t>CTE. JOSE LUIS ROCHA</t>
  </si>
  <si>
    <t>Lote Zulema 
(Monterrey)</t>
  </si>
  <si>
    <t>SMP-98-57 / KL1CJ6AD0CC596736</t>
  </si>
  <si>
    <t>2GKALSEK5D6403409</t>
  </si>
  <si>
    <t>SKL-97-55 / 3VWYV49M48M652806</t>
  </si>
  <si>
    <t>CTE. JOSE LUIS ROCHA 
CTE. MELBA GUADALUPE BERNAL MARQUEZ</t>
  </si>
  <si>
    <t>A73-THV-3 / 1N4AA51F19C823739</t>
  </si>
  <si>
    <t>CTE. MELBA GUADALUPE BERNAL MARQUEZ</t>
  </si>
  <si>
    <t>SHT-585-A / 3N1AB6AD3CL667352</t>
  </si>
  <si>
    <t>SSS-35-64 / 3VWRW11K5AM034510</t>
  </si>
  <si>
    <t>2CNFLGEC5B6264446</t>
  </si>
  <si>
    <t xml:space="preserve">CTE. JESUS LEONEL GONZALEZ GARCIA </t>
  </si>
  <si>
    <t>RK-07-761 / 1D3HB13T39S820042</t>
  </si>
  <si>
    <t>SSL-84-73</t>
  </si>
  <si>
    <t>CTE. JOSE ALEJNADRO CASTRUITA CASTRUITA</t>
  </si>
  <si>
    <t>2GNALDEK8C139747</t>
  </si>
  <si>
    <t>1FTPW14517KC79935</t>
  </si>
  <si>
    <t>2GNALDEK7C6181825</t>
  </si>
  <si>
    <t>SUA-58-10 / 6G1J85CC7DS596733</t>
  </si>
  <si>
    <t>Jaime Cantú</t>
  </si>
  <si>
    <t>Franco 8180796229</t>
  </si>
  <si>
    <t>1FMCU0DG1BKB52770</t>
  </si>
  <si>
    <t>INACTIVO 
16-JUL-2021</t>
  </si>
  <si>
    <t>INACTIVO 
26-MAR-2021</t>
  </si>
  <si>
    <t>CTE. DAVID CASTILLO RUIZ</t>
  </si>
  <si>
    <t>CTE. JOSE ARTEMIO AGUILAR GARCÍA</t>
  </si>
  <si>
    <t>INACTIVO 
06-JUL-2021</t>
  </si>
  <si>
    <t>INACTIVO 
12-OCT-2021</t>
  </si>
  <si>
    <t>CTE. RAYMUNDO RICARDO VILLALOBOS SANCHEZ</t>
  </si>
  <si>
    <t>15-OC-19</t>
  </si>
  <si>
    <t>CTE. JOSE LUIS PEREZ BELMARES</t>
  </si>
  <si>
    <t>Apfel capital</t>
  </si>
  <si>
    <t>SME-354-A</t>
  </si>
  <si>
    <t>RXC-226-A</t>
  </si>
  <si>
    <t>506-35C</t>
  </si>
  <si>
    <t>NO</t>
  </si>
  <si>
    <t xml:space="preserve">SIN REGISTRO </t>
  </si>
  <si>
    <t xml:space="preserve">Dom. Cliente </t>
  </si>
  <si>
    <t>SLW-36-60</t>
  </si>
  <si>
    <t>Sr. Eder</t>
  </si>
  <si>
    <t>Sr. Juan / Srta. Adriana</t>
  </si>
  <si>
    <t>INACTIVO 
18-ENE-2021</t>
  </si>
  <si>
    <t>3N1CN7AP3CL870418</t>
  </si>
  <si>
    <t>Fecha Pago</t>
  </si>
  <si>
    <t>FACTURACION</t>
  </si>
  <si>
    <t>MENSUALIDAD</t>
  </si>
  <si>
    <t>COSTO EQUIPO</t>
  </si>
  <si>
    <t>PLATAFORMA</t>
  </si>
  <si>
    <t xml:space="preserve">No. Serie del equipo </t>
  </si>
  <si>
    <t xml:space="preserve">No. Telefonico </t>
  </si>
  <si>
    <t>Instalador</t>
  </si>
  <si>
    <t xml:space="preserve">Vehiculo </t>
  </si>
  <si>
    <t>Referencia</t>
  </si>
  <si>
    <t>Lote</t>
  </si>
  <si>
    <t>Personal</t>
  </si>
  <si>
    <t>Servicio</t>
  </si>
  <si>
    <t>Folio 
UBITEC</t>
  </si>
  <si>
    <t>Folio Apfel</t>
  </si>
  <si>
    <t xml:space="preserve">No. </t>
  </si>
  <si>
    <t>Fecha</t>
  </si>
  <si>
    <t>Bitacora APFEL CAPITAL</t>
  </si>
  <si>
    <t>12:30 p.m. - Cte. Gergorio Beltran Lopez</t>
  </si>
  <si>
    <t>ACTIVO 
24-MAY-2023</t>
  </si>
  <si>
    <t>1B3AC4EB1AN118169 / SAX-090-B</t>
  </si>
  <si>
    <t>ACTIVO 
29-MAY-2023</t>
  </si>
  <si>
    <t xml:space="preserve">1:00 p.m. </t>
  </si>
  <si>
    <t xml:space="preserve">1:00 p.m. - Cte. </t>
  </si>
  <si>
    <t>NISSAN ESTQUITAS BLANCA</t>
  </si>
  <si>
    <t>RD-8246-A</t>
  </si>
  <si>
    <t>SE GENERA INSTALACION Y DES-INSTALACION DE EQUIPO, SE CANCELA TRATO</t>
  </si>
  <si>
    <t>ACTIVO 
30-MAY-2023</t>
  </si>
  <si>
    <t>1C4NJPFA7ED744741</t>
  </si>
  <si>
    <t xml:space="preserve">CLIENTE COMENTA QUE PRESENTA FALLA EN BOMBA DE GASOLINA Y QUE ES POR EL GPS - CTE NO SE ENCONTRABA EN DOMICILIO </t>
  </si>
  <si>
    <t>ACTIVO 
05-JUN-2023</t>
  </si>
  <si>
    <t>2HGFG11849H901754</t>
  </si>
  <si>
    <t xml:space="preserve">4:00 p.m. - Cte. </t>
  </si>
  <si>
    <t>ACTIVO 
07-JUN-2023</t>
  </si>
  <si>
    <t>TGH-338-A</t>
  </si>
  <si>
    <t>11:00 a.m. - Cte. Lesley Martin Flores Juarez</t>
  </si>
  <si>
    <t>ACTIVO 
13-JUN-2023</t>
  </si>
  <si>
    <t>2LMDJ6JK8DBL05414</t>
  </si>
  <si>
    <t>ACTIVO 
17-JUN-2023</t>
  </si>
  <si>
    <t>2GNALCEKXF1123025</t>
  </si>
  <si>
    <t>ACTIVO 
30-JUN-2023</t>
  </si>
  <si>
    <t>1G11C5SL9FF239612</t>
  </si>
  <si>
    <t>REVISION DE UNIDAD NO GENERABA EL DESBLOQUEO POR TEMA DE COBERTURA EN ZONA</t>
  </si>
  <si>
    <t>ACTIVO 
06-JUL-2023</t>
  </si>
  <si>
    <t>BAJA 
06-JUL-2023</t>
  </si>
  <si>
    <t>SVZ-663-A / STD-27-18</t>
  </si>
  <si>
    <t>2FMDK3GC1EBA33569</t>
  </si>
  <si>
    <t>Enrique Campos</t>
  </si>
  <si>
    <t>5XYKT3A64EG526816</t>
  </si>
  <si>
    <t>ACTIVO 
07-JUL-2023</t>
  </si>
  <si>
    <t xml:space="preserve">2:00 pm - Cte. Alejandra Alvarez Garcia 
Tel. 8123803125 
Esposo </t>
  </si>
  <si>
    <t>FORS FUSION 2010 BLANCO</t>
  </si>
  <si>
    <t xml:space="preserve">2:00 p.m. </t>
  </si>
  <si>
    <t>ACTIVO 
13-JUL-2023</t>
  </si>
  <si>
    <t>ACTIVO 
14-JUL-2023</t>
  </si>
  <si>
    <t>RPE-700-B</t>
  </si>
  <si>
    <t xml:space="preserve">10:30 a.m. </t>
  </si>
  <si>
    <t>10:30 a.m. - Cte. Jesus Arenas Mora 
Tel. 8120294776</t>
  </si>
  <si>
    <t>ACTIVO 
25-JUL-2023</t>
  </si>
  <si>
    <t>1C4NJPBB8FD273876</t>
  </si>
  <si>
    <t>2GKALMEK4E6268226</t>
  </si>
  <si>
    <t>3C4PDDGG3FT519004</t>
  </si>
  <si>
    <t>ACTIVO 
26-JUL-2023</t>
  </si>
  <si>
    <t>1C4NJPBB4ED925231</t>
  </si>
  <si>
    <t xml:space="preserve">Santo Domingo </t>
  </si>
  <si>
    <t>3C4PDCBBXET142000</t>
  </si>
  <si>
    <t>NO SE PUDO CUBRIR</t>
  </si>
  <si>
    <t>ACTIVO 
29-JUL-2023</t>
  </si>
  <si>
    <t>11:00 am - Cte. Jose Guadalupe Rangel Martinez  Tel. 8125429924</t>
  </si>
  <si>
    <t>MITSUBISHI LANCER GRIS 2009</t>
  </si>
  <si>
    <t>2:00 p.m. - Cte. Saul Guadalupe Ruiz Villegas Tel. 8115656397</t>
  </si>
  <si>
    <t>2FMDK3KC1BBA14040 / SFX-562-A</t>
  </si>
  <si>
    <t>ACTIVO 
31-JUL-2023</t>
  </si>
  <si>
    <t>BAJA 
31-JUL-2023</t>
  </si>
  <si>
    <t>2 / 2:30 p.m. - Cte. Carolina 
Tel. 8110781974</t>
  </si>
  <si>
    <t>SCZ-471-B / 1C4NJRFB3ED532309</t>
  </si>
  <si>
    <t>BAJA  
02-MAR-2023</t>
  </si>
  <si>
    <t>BAJA  
31-JUL-2023</t>
  </si>
  <si>
    <t>3:00 p.m. - Cte. Juana Guadalupe Covarrubias 
Tel. 8110224072</t>
  </si>
  <si>
    <t>1FADP3F25DL359409</t>
  </si>
  <si>
    <t>BAJA
04-AGO-2023</t>
  </si>
  <si>
    <t>ACTIVO 
05-AGO-2023</t>
  </si>
  <si>
    <t>Cte. Antonio de Leon Carrizales 
Tel. 8119830641</t>
  </si>
  <si>
    <t>Cte. Jose Manuel Reyes Diaz</t>
  </si>
  <si>
    <t>ACTIVO 
09-AGO-2023</t>
  </si>
  <si>
    <t>ACTIVO 
10-AGO-2023</t>
  </si>
  <si>
    <t>ACTIVO 
11-AGO-2023</t>
  </si>
  <si>
    <t>RPD-284-A</t>
  </si>
  <si>
    <t>ACTIVO 
12-AGO-2023</t>
  </si>
  <si>
    <t>ACTIVO 
15-AGO-2023</t>
  </si>
  <si>
    <t>BAJA 
15-AGO-2023</t>
  </si>
  <si>
    <t xml:space="preserve">3:00 p.m. - Cte. </t>
  </si>
  <si>
    <t>RA-7588-B / 1N6AD0CU6DN737491</t>
  </si>
  <si>
    <t xml:space="preserve">Servicio </t>
  </si>
  <si>
    <t xml:space="preserve">Precio </t>
  </si>
  <si>
    <t xml:space="preserve">GPS Equipo de Rastreo Satelital </t>
  </si>
  <si>
    <t>Des-instalacion Equipo GPS</t>
  </si>
  <si>
    <t>Re-instalacion Equipo GPS</t>
  </si>
  <si>
    <t xml:space="preserve">Migración Línea GPS </t>
  </si>
  <si>
    <t xml:space="preserve">Revisión Equipo GPS c/Costo 
(Dentro del área Metropolitan) </t>
  </si>
  <si>
    <t>Visita en Falso</t>
  </si>
  <si>
    <t>Mensualidad servicio de rastreo</t>
  </si>
  <si>
    <t>Peticion de Bajas 
(Sin Des-instalacion)</t>
  </si>
  <si>
    <t xml:space="preserve">EQUIPO PENDIENTE POR RECUPERAR - INSTALADO CON ALENY </t>
  </si>
  <si>
    <t>ACTIVO 
21-AGO-2023</t>
  </si>
  <si>
    <t xml:space="preserve">2GKALSEK6E6280706 </t>
  </si>
  <si>
    <t>ACTIVO 
24-AGO-2023</t>
  </si>
  <si>
    <t>ACTIVO 
29-AGO-2023</t>
  </si>
  <si>
    <t xml:space="preserve">6:00 p.m. - Cte. </t>
  </si>
  <si>
    <t>ACTIVO 
01-SEP-2023</t>
  </si>
  <si>
    <t>STA-442-B / 1C4NJCBB8ED769770</t>
  </si>
  <si>
    <t xml:space="preserve">CLIENTE SOLCITO REAGRENDAR SERVICIO PORQUE UNIDAD FALLO, SE MUEVE DE SABADO A MARTES Y DE MARTES A SABADO NUEVAMENTE </t>
  </si>
  <si>
    <t>ACTIVO 
05-SEP-2023</t>
  </si>
  <si>
    <t xml:space="preserve">12:00 p.m. - Cte. </t>
  </si>
  <si>
    <t xml:space="preserve">PENDIENTE </t>
  </si>
  <si>
    <t>9:30 p.m. - Cte. Saul Guadalupe Ruiz Villegas Tel. 8115656397</t>
  </si>
  <si>
    <t>CAMBIO DE INSTALACION, CLIENTE SOMENTA TIENE PROBLEMA CON LA ALARMA A CAUSA DE INSTALACION GPS</t>
  </si>
  <si>
    <t>12:00 a.m. - Cte.</t>
  </si>
  <si>
    <t>2GNALBEKXD1128135</t>
  </si>
  <si>
    <t>REVISION 
06-SEP-2023</t>
  </si>
  <si>
    <t>ACTIVO 
07-SEP-2023</t>
  </si>
  <si>
    <t>REVISION 
14-SEP-2023</t>
  </si>
  <si>
    <t xml:space="preserve">REVISION UNIDAD NO ENCENDIA, ACUDE TECNCIO SE GENERA DESBLOQUEO DE UNIDAD, LA INSTALACION Y EQUIPO NO PRESENTAN MANIPULACION </t>
  </si>
  <si>
    <t>ACTIVO 
18-SEP-2023</t>
  </si>
  <si>
    <t>Lote Autos Costa Rica</t>
  </si>
  <si>
    <t>TCJ-433-A</t>
  </si>
  <si>
    <t>ACTIVO 
21-SEP-2023</t>
  </si>
  <si>
    <t>ACTIVO 
22-SEP-2023</t>
  </si>
  <si>
    <t>STV-24-93</t>
  </si>
  <si>
    <t>5:00 p.m. - Cte. Ivan Alejandro Lozano Garza  Tel. 8131356618</t>
  </si>
  <si>
    <t>1J4FT28B29D106937 / SSS-454-BB</t>
  </si>
  <si>
    <t>10:00 a.m. - Cte. Francisco Javier Yanez Saucedo  Tel. 8112587222</t>
  </si>
  <si>
    <t>FORD FOCUS GUINDO 2012</t>
  </si>
  <si>
    <t>12:00 p.m. - Cte. Marycarmen Vazquez Mata  Tel. 8116930945</t>
  </si>
  <si>
    <t>10:00 a.m.</t>
  </si>
  <si>
    <t>REVISION 
28-SEP-2023</t>
  </si>
  <si>
    <t>SCJ-970-B</t>
  </si>
  <si>
    <t>ACTIVO 
28-SEP-2023</t>
  </si>
  <si>
    <t xml:space="preserve">REVISION - UNIDAD NO APLICA DESBLOQUEO  
NO CUENTA CON BATERIA </t>
  </si>
  <si>
    <t>Eliud Camarillo Rdz</t>
  </si>
  <si>
    <t>1FTFW1CF9CFB79736</t>
  </si>
  <si>
    <t>1G11C5SL3EF249437</t>
  </si>
  <si>
    <t xml:space="preserve">CLIENTE NO SE ENCONTRABA EN EL DOMICILIO </t>
  </si>
  <si>
    <t>ACTIVO 
03-OCT-2023</t>
  </si>
  <si>
    <t>REVISION 
03-OCT-2023</t>
  </si>
  <si>
    <t>SAD-668-A / 3D4PG5FV9AT158807</t>
  </si>
  <si>
    <t>REVISION - UNIDAD NO APLICA DESBLOQUEO  
SE LE PASABA CORRIENTE A LA BATERIA DIARIO</t>
  </si>
  <si>
    <t>290 VW BORA NEGRO 2008</t>
  </si>
  <si>
    <t>197 MAZDA 6 BLANCO</t>
  </si>
  <si>
    <t>553 FORD EDGE BLANCA 2011</t>
  </si>
  <si>
    <t xml:space="preserve">3:00 p.m. </t>
  </si>
  <si>
    <t>2:00 p.m. - Cte. Marcella Cardenas Cortes Tel. 8116842776</t>
  </si>
  <si>
    <t xml:space="preserve">3:00 p.m. - Cte. Missael </t>
  </si>
  <si>
    <t>JEEP PATRIO 2010</t>
  </si>
  <si>
    <t xml:space="preserve">NOTIFICAN CAMBIO DE DOMICILIO A SAN NICOLAS </t>
  </si>
  <si>
    <t xml:space="preserve">SR. MISAEL COMENTA, NO SE RELIZARA INSTALACION POR CAMBIO DE UNIDAD Y UBICACIÓN </t>
  </si>
  <si>
    <t>REVISION 
06-OCT-2023</t>
  </si>
  <si>
    <t>ACTIVO 
09-OCT-2023</t>
  </si>
  <si>
    <t xml:space="preserve">REVISION - UNIDAD NO APLICA DESBLOQUEO  </t>
  </si>
  <si>
    <t>499 NISSAN X-TRAIL BLANCA 2018</t>
  </si>
  <si>
    <t>ACTIVO 
10-OCT-2023</t>
  </si>
  <si>
    <t>RUD-652-B</t>
  </si>
  <si>
    <t>ACTIVO 
11-OCT-2023</t>
  </si>
  <si>
    <t>Autos Santo Domingo LM
(Luis Wero - Rodrigo)</t>
  </si>
  <si>
    <t>3VWD17AJ1FM222239</t>
  </si>
  <si>
    <t>1C4NJPBA2ED893080</t>
  </si>
  <si>
    <t>ACTIVO 
13-OCT-2023</t>
  </si>
  <si>
    <t>2:00 p.m. - Cte. Bladimir Santiago del Angel</t>
  </si>
  <si>
    <t>STH-948-B</t>
  </si>
  <si>
    <t>5:00 p.m. - Cte. Bladimir Santiago del Angel</t>
  </si>
  <si>
    <t xml:space="preserve"> ENCARGADO OLVIDA LAS LLAVES EN SAN NICOLAS Y SE REPROGRAMA PARA MAS TARDE</t>
  </si>
  <si>
    <t>ACTIVO 
14-OCT-2023</t>
  </si>
  <si>
    <t xml:space="preserve">Particulra </t>
  </si>
  <si>
    <t>RYE-303-B</t>
  </si>
  <si>
    <t>12:00 p.m. - Cte. Luis Rey Sosa Arroyo 
Tel. 8110224072</t>
  </si>
  <si>
    <t>ACTIVO 
18-OCT-2023</t>
  </si>
  <si>
    <t>SPX-206-B</t>
  </si>
  <si>
    <t xml:space="preserve">CLIENTE NO TOMA LAS LLAMADAS, SE LE ESPERA POR  50 MIN EN EL LUGAR. 
SE REAGENDA SERVICIO A LAS 4 PM </t>
  </si>
  <si>
    <t xml:space="preserve">ACTIVO </t>
  </si>
  <si>
    <t>003 CHEVROLET EQUINOX 2011</t>
  </si>
  <si>
    <t>005 FORD FOCUS 2012</t>
  </si>
  <si>
    <t>004 NISSAN ALTIMA 2007</t>
  </si>
  <si>
    <t>NISSAN ALTIMA 2008</t>
  </si>
  <si>
    <t>007 DODGE AVENGER 2008</t>
  </si>
  <si>
    <t>006 FORD MUSTANG 2010</t>
  </si>
  <si>
    <t>008 CHEVROLET CRUZ 2011</t>
  </si>
  <si>
    <t>009 CHEVROLET CHEVY 2010</t>
  </si>
  <si>
    <t>010 DODGE RAM 2011</t>
  </si>
  <si>
    <t>012 NISSAN ALTIMA 2010</t>
  </si>
  <si>
    <t>014 VW JETTA CLASICO 2013</t>
  </si>
  <si>
    <t>018 TOYOTA MATIX 2009</t>
  </si>
  <si>
    <t>019 SEAT IBIZA 2015</t>
  </si>
  <si>
    <t>NO ESTA DADO DE ALTA EN PLATAFORMA PORQUE EQUIPO NO RESPONDE, PERO LÍNEA SI SE MIGRO</t>
  </si>
  <si>
    <t>027 VW JETTA 2011</t>
  </si>
  <si>
    <t>024 DODGE AVENGER 2009</t>
  </si>
  <si>
    <t>BAJA 
05-NOV-2020</t>
  </si>
  <si>
    <t>ACTIVO</t>
  </si>
  <si>
    <t>REVISION 
24-NOV-2020</t>
  </si>
  <si>
    <t>BAJA 
13-JUL-2022</t>
  </si>
  <si>
    <t>BAJA 
12-ENE-2021</t>
  </si>
  <si>
    <t>112 CHEVROLET SPARK GRIS 2016</t>
  </si>
  <si>
    <t>BAJA
12-ENE-2021</t>
  </si>
  <si>
    <t>BAJA 
14-ENE-2021</t>
  </si>
  <si>
    <t>122 VW JETTA NEGRO 2008</t>
  </si>
  <si>
    <t xml:space="preserve">095 FORD LOBO KING RANCH 2007 BLANCA </t>
  </si>
  <si>
    <t>097 LINCOLN MARK PLATA METALICO 2006</t>
  </si>
  <si>
    <t>098 VW BORA NEGRO 2008</t>
  </si>
  <si>
    <t>099 JEEP PATRIOT VERDE META/GRIS 2008</t>
  </si>
  <si>
    <t>100 FORD ESCAPE BLANCA 2009</t>
  </si>
  <si>
    <t>101 SATURM VUE 2008</t>
  </si>
  <si>
    <t>102 LINCOLN BLANCA</t>
  </si>
  <si>
    <t>103 DODGE DAKOTA BLANCO 2008</t>
  </si>
  <si>
    <t>105 CHEVROLET EQUINOX NEGRA 2011</t>
  </si>
  <si>
    <t>106 MERCEDES-BENZ BLANCO 2012</t>
  </si>
  <si>
    <t>108 CHEVROLET HHR GRIS PLATA 2011</t>
  </si>
  <si>
    <t>001 BMW 325 LA 2007</t>
  </si>
  <si>
    <t>002 CHEVROLET COLORADO 2006</t>
  </si>
  <si>
    <t>107 TOYOTA COROLLA BLANCO 2013</t>
  </si>
  <si>
    <t>028 DODGE AVENGER 2013</t>
  </si>
  <si>
    <t>110 FORD FOCUS PLATA 2012</t>
  </si>
  <si>
    <t>111 JEEP COMPAS NEGRA 2008</t>
  </si>
  <si>
    <t>113 FORD ESCAPE ROJA 2011</t>
  </si>
  <si>
    <t>114 JEEP GRAND CHEROKEE 2008</t>
  </si>
  <si>
    <t xml:space="preserve">115 JEEP PATRIOT NEGRA </t>
  </si>
  <si>
    <t>116 CHEVROLET SPARK ARENA METALICO 2017</t>
  </si>
  <si>
    <t>117 CHEVROLET SONIC PLATA 2013</t>
  </si>
  <si>
    <t>118 WV GOLF AZUL SEDA 2015</t>
  </si>
  <si>
    <t>119 CHEVROLET EQUINOX NEGRA 2013</t>
  </si>
  <si>
    <t xml:space="preserve">120 FORD LOBO KING RANCH 2007 BLANCA </t>
  </si>
  <si>
    <t>121 CHEVROLET EQUINOX BLANCA 2013</t>
  </si>
  <si>
    <t>123 TOWN &amp; COUNTRY AZUL BAJO METALICO 2008</t>
  </si>
  <si>
    <t>124 FORD FOCUS PLATA 2011</t>
  </si>
  <si>
    <t>125 GMC TERRAIN NEGRA 2012</t>
  </si>
  <si>
    <t>126 DODGE VISION BLANCO 2015</t>
  </si>
  <si>
    <t>127 CHEVROLET AVEO VINO 2013</t>
  </si>
  <si>
    <t>176 DODGE GRAN CARAVAN PLATA</t>
  </si>
  <si>
    <t>130 CHEVROLET EQUINOX ARENA 2011</t>
  </si>
  <si>
    <t>132 VW BORA AZUL 2010</t>
  </si>
  <si>
    <t>133 CHEVROLET EQUINOX BLANCA 2012</t>
  </si>
  <si>
    <t>BAJA 
04-FEB-2021</t>
  </si>
  <si>
    <t>134 NISSAN SENTRA COCOA 2012</t>
  </si>
  <si>
    <t>135 VW JETTA TRENDINE ROJO 2008</t>
  </si>
  <si>
    <t>136 AUDI A4 GRIS 2011</t>
  </si>
  <si>
    <t>137 NISSAN MAXIMA 2009 BLANCO</t>
  </si>
  <si>
    <t>139 VW JETTA TRENDINE ROJO 2008</t>
  </si>
  <si>
    <t xml:space="preserve">140 GMC TERRAIN ROJA </t>
  </si>
  <si>
    <t>141  CHEVROLET CRUZ GRIS</t>
  </si>
  <si>
    <t>143 CHEVROLET MALIBU 2008</t>
  </si>
  <si>
    <t>144 DODGE JOURNEY ROJA 2009</t>
  </si>
  <si>
    <t>145 CHEVROLET EQUINOX ARENA 2012</t>
  </si>
  <si>
    <t>148 NISSAN ROGUE BLANCA 2010</t>
  </si>
  <si>
    <t>149 VW JETTA/BORA BLANCO 2009</t>
  </si>
  <si>
    <t>150 CHEVROLET MALIBU GRIS 2009</t>
  </si>
  <si>
    <t>151 NISSAN SENTRA BLANCO 2011</t>
  </si>
  <si>
    <t>153 CHEVROLET EQUINOX AZUL</t>
  </si>
  <si>
    <t>154 NISSAN ALTIMA GRIS 2010</t>
  </si>
  <si>
    <t>155 FORD FUSSION BLANCO 2014</t>
  </si>
  <si>
    <t>156 GMC TERRAIN NEGRA 2011</t>
  </si>
  <si>
    <t xml:space="preserve">157 JEEP PATRIOT GRIS </t>
  </si>
  <si>
    <t>159 CHEVROLET JEEP NEGRO
TORNADO BLANCO 2012</t>
  </si>
  <si>
    <t>REVISION 
24-MAR-2021</t>
  </si>
  <si>
    <t>160 VW LUPO PLATA 2007</t>
  </si>
  <si>
    <t xml:space="preserve">162 VW CROSSFOX BLANCO </t>
  </si>
  <si>
    <t>177 GMC SIERRA BLANCA 2015</t>
  </si>
  <si>
    <t>163 MAZDA CX7 NEGRA 2009</t>
  </si>
  <si>
    <t>164 DODGE AVENGER ROJO 2011</t>
  </si>
  <si>
    <t>165 DODGE ATITUD SE GRIS OBSCURO 2017</t>
  </si>
  <si>
    <t>166 VW BORA STYLE ROJO 2010</t>
  </si>
  <si>
    <t>167 FORD FOCUS GRIS 2013</t>
  </si>
  <si>
    <t>168 DODGE JOURNE-Y ROJA 2014</t>
  </si>
  <si>
    <t>169 DODGE JOURNE-Y ROJA 2014</t>
  </si>
  <si>
    <t>171 DODGE JOURNE-Y ROJA 2014</t>
  </si>
  <si>
    <t>172 DODGE JOURNE-Y ROJA 2014</t>
  </si>
  <si>
    <t>BAJA 
15-ABR-2021</t>
  </si>
  <si>
    <t xml:space="preserve">173 VW JETTA GRIS ACERO </t>
  </si>
  <si>
    <t>175 CHEVROLET EQUINOX AZUL</t>
  </si>
  <si>
    <t>REVISION 
09-NOV-2020</t>
  </si>
  <si>
    <t>179 CHEVROLET AVEO GRIS 2015</t>
  </si>
  <si>
    <t>180 FORD FOCUS NEGRO 2012</t>
  </si>
  <si>
    <t>181 DODGE JOURNEYGRIS</t>
  </si>
  <si>
    <t>182 CHEVROLET CRUZ NEGRO</t>
  </si>
  <si>
    <t>DES-INSTALACION LOTE RODRIGO SOTO 
BAJA 24-JULIO-2021</t>
  </si>
  <si>
    <t>184 FORD LOBO NEGRA 2006</t>
  </si>
  <si>
    <t>189 FORD LOBO F-150 BLANCA 2007</t>
  </si>
  <si>
    <t>190 HONDA CRV PLATA 2012</t>
  </si>
  <si>
    <t>191 VW VENTO PLATA 2016</t>
  </si>
  <si>
    <t>192 DODGE JOURNEY NEGRA 2012</t>
  </si>
  <si>
    <t>193 KIA SOUL ROJO 2018</t>
  </si>
  <si>
    <t>BAJA 
07-JUL-2021</t>
  </si>
  <si>
    <t>195 CHEVROLET TRAVERSE BLANCA</t>
  </si>
  <si>
    <t>198 WV BORA NEGRO</t>
  </si>
  <si>
    <t>200 CHEVROLET EQUINOX</t>
  </si>
  <si>
    <t xml:space="preserve">201 CHEVROLET SONIC PLATA </t>
  </si>
  <si>
    <t>202 CHEVROLET HHR GUINDA 2010</t>
  </si>
  <si>
    <t>203 WV BORA NEGRO 2008</t>
  </si>
  <si>
    <t>204 MAZDA 5 PLATA 2009</t>
  </si>
  <si>
    <t>205 WV JETTA BLANCO 2011</t>
  </si>
  <si>
    <t>206 CHEVROLET EQUINOX ARENA 2012</t>
  </si>
  <si>
    <t>207 CHEVROLET SONIC ROJO 2012</t>
  </si>
  <si>
    <t>208 CHEVROLET SONIC BLANCO 2016</t>
  </si>
  <si>
    <t>209 CHEVROLET SILVERADO BLANCA</t>
  </si>
  <si>
    <t>211 HONDA ATOS PLATA 2010</t>
  </si>
  <si>
    <t>212 CHEVROLE MALIBU BLANCO 2009</t>
  </si>
  <si>
    <t>213 GMC TERRAIN BLANCO</t>
  </si>
  <si>
    <t>214 HONDA ACCORD ARENA</t>
  </si>
  <si>
    <t>215 GMC TERRAIN PLATA 2013</t>
  </si>
  <si>
    <t>216 NISSAN ALTIMA ARENA</t>
  </si>
  <si>
    <t>217 CHEVROLET MALIBU ARENA 2099</t>
  </si>
  <si>
    <t>218 CHEVROLET EQUINOX BLANCA 2012 / 2013</t>
  </si>
  <si>
    <t>220 NISSAN MARCH BLANCO 2016</t>
  </si>
  <si>
    <t>221 NISSAN MARCH AZUL 2018</t>
  </si>
  <si>
    <t>223 FORD FUSSION GRIS 2012</t>
  </si>
  <si>
    <t>224 CHEVROLET MALIBU GRIS 2010</t>
  </si>
  <si>
    <t>225 MAZDA CX5 BLANCA 2019</t>
  </si>
  <si>
    <t>227 FORD ESCAPE VERDE 2012</t>
  </si>
  <si>
    <t>228 CHEVROLET SONIC BLANCO 2014</t>
  </si>
  <si>
    <t>229 NISSAN SENTRA COCOA 2012</t>
  </si>
  <si>
    <t>230 CHEVROLET CRUZE CARBON FLASH 2011</t>
  </si>
  <si>
    <t>231 CHEVROLET SPARK NEGRO 2016</t>
  </si>
  <si>
    <t>232 JEEP COMPAS PLATA 2012</t>
  </si>
  <si>
    <t>233 SEAT IBIZA 2012</t>
  </si>
  <si>
    <t>234 CHEVROLET AVEO 2015</t>
  </si>
  <si>
    <t>235 JEEP COMPAS GRIS 2012</t>
  </si>
  <si>
    <t>236 FORD ESCAPE BLANCA 2012</t>
  </si>
  <si>
    <t>237 FORD FOCUS BLANCO 2010</t>
  </si>
  <si>
    <t>238 NISSAN ALTIMA AZUL 2012</t>
  </si>
  <si>
    <t>239 MAZDA 3 GRAFITO 2013</t>
  </si>
  <si>
    <t>240 CHEVROLET MALIBU NEGRO 2011</t>
  </si>
  <si>
    <t>241 DODGE JOURNEY NEGRA</t>
  </si>
  <si>
    <t>131 CHEVROLET MALIBU PLATA 2008</t>
  </si>
  <si>
    <t>REVISION
23-NOV-2021</t>
  </si>
  <si>
    <t>244 CHEVROLET MALIBU GRIS 2009</t>
  </si>
  <si>
    <t>246 JEEP CHEROKEE BLANCA 2012</t>
  </si>
  <si>
    <t>247 MAZDA 6 GRIS</t>
  </si>
  <si>
    <t>248 CHEVROLET MALIBU ARENA</t>
  </si>
  <si>
    <t>250 JEEP PATRIOT NEGRA 2012</t>
  </si>
  <si>
    <t>251 TOYOTA HIGHLANDER PLATA 2008</t>
  </si>
  <si>
    <t>252 MAZDA 6 NEGRO</t>
  </si>
  <si>
    <t>253 CHVEROLTE TRAX 2015</t>
  </si>
  <si>
    <t>255 GMC TERRAIN NEGRA 2013</t>
  </si>
  <si>
    <t>256 VW PASSAT BLANCO 2012</t>
  </si>
  <si>
    <t>REVISION 
20-DIC-2021</t>
  </si>
  <si>
    <t xml:space="preserve">254 VW VENTO 2016 ORO </t>
  </si>
  <si>
    <t>257 NISSAN SENTRA PLATA 2008</t>
  </si>
  <si>
    <t>258 NISSAN ALTIMA ROJO 2008</t>
  </si>
  <si>
    <t>259 LINCOLN NAVIGATOR NEGRO 2012</t>
  </si>
  <si>
    <t>260 FORD FUSION BLANCO 2012</t>
  </si>
  <si>
    <t>261 FORD FIESTA PLATA 2011</t>
  </si>
  <si>
    <t>262 CHEVROLET MALIBU BLANCO 2013</t>
  </si>
  <si>
    <t>263 FORD EDGE GUINDA 2009</t>
  </si>
  <si>
    <t xml:space="preserve">264 CHEVROLET CRUZE PLATA </t>
  </si>
  <si>
    <t xml:space="preserve">265 FORD EXPLORER PLATA </t>
  </si>
  <si>
    <t>267 FORD LOBO GRIS OCASO 4X2</t>
  </si>
  <si>
    <t>268 CHEVROLET CRUZE NEGRO 2012</t>
  </si>
  <si>
    <t>269 VW BORA PLATA 2010</t>
  </si>
  <si>
    <t>270 TOYOTA RAV4 NEGRO 2009</t>
  </si>
  <si>
    <t>271 NISSAN X-TRAIL NEGRA 2006</t>
  </si>
  <si>
    <t>273 DODGE AVENGER ROJO 2012</t>
  </si>
  <si>
    <t>274 VW PASSAT BLANCO 2013</t>
  </si>
  <si>
    <t>273 DODGE ATITUD ARENA</t>
  </si>
  <si>
    <t>276 FORD FIESTA BLANCO 2011</t>
  </si>
  <si>
    <t>277 VW JETTA GRIS</t>
  </si>
  <si>
    <t>BAJA 
19-ENE-2022</t>
  </si>
  <si>
    <t>275 HONDA CITY ARENA MAGNESIO</t>
  </si>
  <si>
    <t>278 FORD EDGE BLANCO</t>
  </si>
  <si>
    <t>279 NISSAN SENTRA ROJO 2011</t>
  </si>
  <si>
    <t>280 FORD FOCUS GRIS 2012</t>
  </si>
  <si>
    <t>282 FORD ESCAPE BLANCO 2013</t>
  </si>
  <si>
    <t>283 SEAT TOLEDO GRIS 2011</t>
  </si>
  <si>
    <t>182 CHEVROLET CRUZE NEGRO</t>
  </si>
  <si>
    <t>287 RAM 2500 NEGRA 2009</t>
  </si>
  <si>
    <t>288 JEEP PATRIOT NEGRA</t>
  </si>
  <si>
    <t>289 GMC TERRAIN NEGRA 2011</t>
  </si>
  <si>
    <t xml:space="preserve">124 FORD FOCUS 2011 PLATA </t>
  </si>
  <si>
    <t>291 CHEVROLET CAPTIVA BLANCA</t>
  </si>
  <si>
    <t>292 CHEVROLET CRUZE GRIS</t>
  </si>
  <si>
    <t>293 CHEVROLET SONIC PLATA</t>
  </si>
  <si>
    <t>294 VW BORA ROJO</t>
  </si>
  <si>
    <t>295 MINI COOPER NEGRO 2007</t>
  </si>
  <si>
    <t>296 CHEVROLET EQUINOX PLATA</t>
  </si>
  <si>
    <t>298 FORD FUSSION ROJO 2010</t>
  </si>
  <si>
    <t>299 JEEP PATRIOT NEGRA</t>
  </si>
  <si>
    <t>300 CHEVROLET MALIBU NEGRO 2011</t>
  </si>
  <si>
    <t>300 CHEVROLET MALIBU BLANCO 2011</t>
  </si>
  <si>
    <t>303 FORD FOCUS PLATA</t>
  </si>
  <si>
    <t xml:space="preserve">304 DODGE CHARGUER AZUL </t>
  </si>
  <si>
    <t>306 CHEVROLET CRUZE GRIS 2013</t>
  </si>
  <si>
    <t>307 JEEP PATRIOT BLANCA 2014</t>
  </si>
  <si>
    <t>308 NISSAN ALTIMA NEGRO 2012</t>
  </si>
  <si>
    <t>309 CHEVROLET CRUZE BLANCO 2010</t>
  </si>
  <si>
    <t>311 CHEVROLET CRUZE BLANCO 2011</t>
  </si>
  <si>
    <t>313 FORD FUSSION GRIS</t>
  </si>
  <si>
    <t>315 DODGE CARAVAN BLANCA</t>
  </si>
  <si>
    <t>319 NISSAN MARCH BLANCO 2016</t>
  </si>
  <si>
    <t>320 KIA FORTE GRIS 2018</t>
  </si>
  <si>
    <t>322 HONDA CIVIC GRIS</t>
  </si>
  <si>
    <t>323 VW JETTA GRIS</t>
  </si>
  <si>
    <t xml:space="preserve"> 324 JEEP CHEROKEE GRIS</t>
  </si>
  <si>
    <t>326 AUDI A1 ROJO</t>
  </si>
  <si>
    <t>328 CHEVROLET SONIC PLATA 2014</t>
  </si>
  <si>
    <t>327 MAZDA 6 BLANCO 2011</t>
  </si>
  <si>
    <t>329 FORD EXPLORER BLANCA 2009</t>
  </si>
  <si>
    <t>330 NISSAN ALTIMA ROJO 2009</t>
  </si>
  <si>
    <t xml:space="preserve">331 VW BORA ROJO 2010 </t>
  </si>
  <si>
    <t>333 VW JETTA NEGRO 2010 (BORA)</t>
  </si>
  <si>
    <t>334 CHEVROLET CAPTIVA PLATA 2013</t>
  </si>
  <si>
    <t>335 VW BORA PLATA 2008</t>
  </si>
  <si>
    <t>336 CHEVROLET SONIC BLANCO</t>
  </si>
  <si>
    <t>337 CHEVROLET MALIBU NEGRO 2010</t>
  </si>
  <si>
    <t>338 DODGE JOURNEY GRIS 2013</t>
  </si>
  <si>
    <t>339 FORD EXPLORER NEGRA</t>
  </si>
  <si>
    <t>340 FORD MUSTANG PLATA</t>
  </si>
  <si>
    <t>341 DODGE JOURNEY GRIS 2013</t>
  </si>
  <si>
    <t xml:space="preserve">342 CHEVROLET MALIBU PLATA  </t>
  </si>
  <si>
    <t>343 VW JETTA AZUL</t>
  </si>
  <si>
    <t>344 FORD FOCUS ROJO 2011</t>
  </si>
  <si>
    <t>345 NISSAN PATHFINDER 2013 GUINDA</t>
  </si>
  <si>
    <t>347 DODGE NITRO GRIS 2008</t>
  </si>
  <si>
    <t xml:space="preserve">348 VW JETTA BLANCO </t>
  </si>
  <si>
    <t>349 DODGE AVENGER PLATA 2010</t>
  </si>
  <si>
    <t>141 CHEVROLET CRUZE GRIS OBSCURO 2011</t>
  </si>
  <si>
    <t xml:space="preserve">352 CHEVROLET TRAVERSE AZUL 2009 </t>
  </si>
  <si>
    <t xml:space="preserve">354 CHEVRLET SONIC NEGRO </t>
  </si>
  <si>
    <t>355 FORD FIESTA PLATA 2013</t>
  </si>
  <si>
    <t>357 FORD LOBO CAFÉ 2006</t>
  </si>
  <si>
    <t>358 CHEVROELT EQUINOX NEGRO</t>
  </si>
  <si>
    <t>359 GMC ACADIA BLANCA 2007</t>
  </si>
  <si>
    <t xml:space="preserve">360 GMC TERRAIN PLATA </t>
  </si>
  <si>
    <t>361 CHEVROELT MALIBU GRIS 2011</t>
  </si>
  <si>
    <t>363 JEEP WRANGLER 2011 NEGRA</t>
  </si>
  <si>
    <t>364 HONDA CIVIC AZUL</t>
  </si>
  <si>
    <t>365 DODGE CALIBER BLANCA 2010</t>
  </si>
  <si>
    <t>366 AUDI GRIS 2011</t>
  </si>
  <si>
    <t>360 GMC TERRAIN PLATA 2014</t>
  </si>
  <si>
    <t xml:space="preserve">367 CHERVOLET AVEO BLANCO </t>
  </si>
  <si>
    <t>368 VW BORA NEGRO</t>
  </si>
  <si>
    <t>369 FORD FIGO BLANCO</t>
  </si>
  <si>
    <t>BAJA 
15-AGO-2022</t>
  </si>
  <si>
    <t>370 CHEVROLET CRUZ GUINDO 2010</t>
  </si>
  <si>
    <t>371 HONDA CIVIC AZUL</t>
  </si>
  <si>
    <t>373 CHEVROLET SONIC ROJO 2016</t>
  </si>
  <si>
    <t>374 VW JETTA ROJO 2009 (BORA)</t>
  </si>
  <si>
    <t>375 CHEVROLET SONIC BLANCO</t>
  </si>
  <si>
    <t xml:space="preserve">377 GMC TERRAIN 2014 PLATA </t>
  </si>
  <si>
    <t>378 JEEP PATRIOT NEGRA</t>
  </si>
  <si>
    <t>379 HYUNDAI SANTA FE ROJA 2011</t>
  </si>
  <si>
    <t xml:space="preserve"> 282 FORD ESCAPE BLANCO 2013</t>
  </si>
  <si>
    <t xml:space="preserve">380 DODGE DURANGO GRIS 2014 </t>
  </si>
  <si>
    <t>381 FORD EXPLORER BLANCA 2008</t>
  </si>
  <si>
    <t xml:space="preserve">382 CHEVROLET EQUINOX NEGRA </t>
  </si>
  <si>
    <t>183  FORD MUSTANG PLATA</t>
  </si>
  <si>
    <t xml:space="preserve">383 CHEVROLET TRAVERSE GRIS </t>
  </si>
  <si>
    <t>384 GMC TERRAIN GRIS 2011</t>
  </si>
  <si>
    <t>386 JEEP LIBERTY NEGRA</t>
  </si>
  <si>
    <t>387 CHEVROLET SONIC PLATA 2012</t>
  </si>
  <si>
    <t>388 CHEVROLET EQUINOX AZUL</t>
  </si>
  <si>
    <t>390 SEAT LEON AMARILLO 2007</t>
  </si>
  <si>
    <t>392 NISSAN ALTIMA VERDE 2008</t>
  </si>
  <si>
    <t>393 VW BORA PLATA</t>
  </si>
  <si>
    <t>398 CHEVROLET AVEO BLANCO</t>
  </si>
  <si>
    <t xml:space="preserve">397 FORD ESCAPE AZUL </t>
  </si>
  <si>
    <t>396 CHERVOLET TRAX NEGRA</t>
  </si>
  <si>
    <t>395 CHEVROLET MALIBU PLATA</t>
  </si>
  <si>
    <t>402 DODGE NITRO ROJA</t>
  </si>
  <si>
    <t>404 VW BORA ROJO</t>
  </si>
  <si>
    <t>406 DODGE AVENGER BLANCO</t>
  </si>
  <si>
    <t>407 VW VENTO NEGRO 2014</t>
  </si>
  <si>
    <t>409 SUZUKI CIAZ BLANCO 2016</t>
  </si>
  <si>
    <t xml:space="preserve">411 GMC ACADIA BLANCA </t>
  </si>
  <si>
    <t xml:space="preserve">413 VW JETTA BLANCO </t>
  </si>
  <si>
    <t xml:space="preserve">415 MUSTANG PLATA </t>
  </si>
  <si>
    <t>416 DODGE CALIBER ARENA 2009</t>
  </si>
  <si>
    <t>417 VW VENTO ROJO 2015</t>
  </si>
  <si>
    <t>418 MAZDA 3S Blanco 2016</t>
  </si>
  <si>
    <t>419 SEAT IBIZA NEGRO 2011</t>
  </si>
  <si>
    <t xml:space="preserve">420 FORD FOCUS 2014 GRIS </t>
  </si>
  <si>
    <t>421 FORD FUSION BLANCO 2010</t>
  </si>
  <si>
    <t xml:space="preserve">422 GMC TERRAIN GRIS </t>
  </si>
  <si>
    <t>423 GMC TERRAIN NEGRA</t>
  </si>
  <si>
    <t>424 DODGE AVENGER GRIS 2008</t>
  </si>
  <si>
    <t>425 VW BORA PLATA 2009</t>
  </si>
  <si>
    <t xml:space="preserve">SERVICIO RE-INSTALACION LO PAGO SR. SOTO </t>
  </si>
  <si>
    <t xml:space="preserve">SE REASIGNA UNIDAD POR ERROR EN LOTE - SE QUEDA CON MISMO No. </t>
  </si>
  <si>
    <t>426 SEAT IBIZA BLANCO 2010</t>
  </si>
  <si>
    <t xml:space="preserve">427 DODGE JOURNEY GRIS </t>
  </si>
  <si>
    <t>428 FORD FUSION 2010 GRIS ARENA</t>
  </si>
  <si>
    <t>429 VW BORA BLANCO 2010</t>
  </si>
  <si>
    <t>430 CHEVROLET SONIC NARANJA 2017</t>
  </si>
  <si>
    <t>431 GMC TERRAIN NEGRA 2013</t>
  </si>
  <si>
    <t xml:space="preserve">432 DODGE ATITUD 2015 PLATA </t>
  </si>
  <si>
    <t>433 NISSAN SENTRA 2015 GRIS</t>
  </si>
  <si>
    <t>434 CHEVROLET AVEO ROJO 2014</t>
  </si>
  <si>
    <t xml:space="preserve">435 VW POLO GRIS </t>
  </si>
  <si>
    <t>436 VW BORA BEIGE 2009</t>
  </si>
  <si>
    <t>439 SEAT IBIZA GRIS</t>
  </si>
  <si>
    <t xml:space="preserve">440 CHEVROLET AVEO GRIS  </t>
  </si>
  <si>
    <t>441 VW BORA GRIS PLATA</t>
  </si>
  <si>
    <t>442 FORD FUSION PLATA 2012</t>
  </si>
  <si>
    <t>444 FORD FUSION BLANCO 2014</t>
  </si>
  <si>
    <t>445 CHEVROLET MALIBU GRIS 2010</t>
  </si>
  <si>
    <t>446 DODGE JOURNEY PLATA</t>
  </si>
  <si>
    <t>447 VW JETTA GRIS</t>
  </si>
  <si>
    <t>449 CHEVROLET CRUZ BLANCO 2012</t>
  </si>
  <si>
    <t xml:space="preserve">452 VW BORA GRIS 2010 </t>
  </si>
  <si>
    <t xml:space="preserve">453 GMC TERRAIN BLANCA </t>
  </si>
  <si>
    <t>454 JEEP PATRIOT BLANCA 2014</t>
  </si>
  <si>
    <t>331 VW BORA ROJO 2010</t>
  </si>
  <si>
    <t>456 FORD MUSTANG 2011 AZUL</t>
  </si>
  <si>
    <t>457 FORD FUSION NEGRO 2010</t>
  </si>
  <si>
    <t>458 CHEVROLET SILVERADO BLANCA</t>
  </si>
  <si>
    <t>394 VW BORA GRIS OBSCURO</t>
  </si>
  <si>
    <t xml:space="preserve">459 MITSUBISHI LANCER 2009 GRIS PLATA </t>
  </si>
  <si>
    <t>460 FORD FUSION ROJO 2010</t>
  </si>
  <si>
    <t>461 NISSAN FRONTIER BLANCA 2013</t>
  </si>
  <si>
    <t>462 DODGE AVENGER NEGRO 2008</t>
  </si>
  <si>
    <t>463 VW JETTA ROJO 2012</t>
  </si>
  <si>
    <t>464 HYUNDAI SONATA GRIS 2015</t>
  </si>
  <si>
    <t>465 DODGE JOURNEY 2012 BLANCA</t>
  </si>
  <si>
    <t>469 FORD FUSION 2011 ROJO</t>
  </si>
  <si>
    <t>470 VW BORA BLANCO 2010</t>
  </si>
  <si>
    <t>471 SEAT IBIZA NEGRO 2011</t>
  </si>
  <si>
    <t>468 KIA RIO ROJO 2019</t>
  </si>
  <si>
    <t>BAJA
10-FEB-2023</t>
  </si>
  <si>
    <t>472 CHEVROLET MALIBU GRIS 2012</t>
  </si>
  <si>
    <t>473 FORD RANGER BLANCA 2008</t>
  </si>
  <si>
    <t>474 CHEVROLET SONIC BLANCO 2015</t>
  </si>
  <si>
    <t xml:space="preserve">353 CHERVOLET SILVERADO DORADA </t>
  </si>
  <si>
    <t>475 CHEVROLET SPARCK BLANCO HUES0</t>
  </si>
  <si>
    <t>480 FORD FUSION GRIS 2010</t>
  </si>
  <si>
    <t xml:space="preserve">482 VW WORKER BLANCO 2010 </t>
  </si>
  <si>
    <t xml:space="preserve">479 CHEVROLET CAPTIVA BLANCA </t>
  </si>
  <si>
    <t xml:space="preserve">484 GMC TERRAIN NEGRA </t>
  </si>
  <si>
    <t>487 CHEVROLET MALIBU PLATA 2010</t>
  </si>
  <si>
    <t>488 JEEP COMPAS 2014 BLANCA</t>
  </si>
  <si>
    <t>489 MITSUBISHI OUTLANDER AZUL 2008</t>
  </si>
  <si>
    <t>490 CHEVROLET MALIBU GRIS ARENA</t>
  </si>
  <si>
    <t>491 FORD F-150 BLANCA</t>
  </si>
  <si>
    <t>493 VW JETTA 2016 CAFÉ</t>
  </si>
  <si>
    <t>494 DODGE NITRO 2007 NEGRA</t>
  </si>
  <si>
    <t xml:space="preserve">495 VW JETTA ROJO 2009  </t>
  </si>
  <si>
    <t>496 TOYOTA RAV4 2007 DORADA</t>
  </si>
  <si>
    <t xml:space="preserve">497 CHEVROLET MALIBU PLATA 2012 </t>
  </si>
  <si>
    <t>498 GMC ARCADIA PLATA</t>
  </si>
  <si>
    <t xml:space="preserve">499 NISSAN X-TRAIL 2018 BLANCA </t>
  </si>
  <si>
    <t>500 VW BORA BLANCO 2010</t>
  </si>
  <si>
    <t>501 FORD EDGE NEGRA</t>
  </si>
  <si>
    <t xml:space="preserve">502 NISSAN TIIDA GRIS </t>
  </si>
  <si>
    <t>503 FORD F-150 BLANCA</t>
  </si>
  <si>
    <t>504 VW BORA NEGRO</t>
  </si>
  <si>
    <t>505 FORD FUSION GUINDO 2015</t>
  </si>
  <si>
    <t>506 MITSUBISHO LANCER GRIS 2009</t>
  </si>
  <si>
    <t>507 FORD FIGO 2017 ROJO</t>
  </si>
  <si>
    <t>508 CHEVROLET AVEO 2014 ROJO</t>
  </si>
  <si>
    <t xml:space="preserve">509 VW JETTA 2015 GRIS OXFORD </t>
  </si>
  <si>
    <t xml:space="preserve">510 VW BORA 2010 PLATA </t>
  </si>
  <si>
    <t>511 JEEP GRAN CHEEROKE AZUL 2011</t>
  </si>
  <si>
    <t xml:space="preserve">512 DODGE JOURNEY BLANCA </t>
  </si>
  <si>
    <t xml:space="preserve">513 MITSUBISHI LANCER NEGRO 2009 </t>
  </si>
  <si>
    <t>514 CHEVROLET CAPTIVA AZUL</t>
  </si>
  <si>
    <t>515 FORD FUSION NEGRO 2012</t>
  </si>
  <si>
    <t xml:space="preserve">516 CHEVROLET MALIBU 2010 PLATA </t>
  </si>
  <si>
    <t xml:space="preserve">517 FORD EDGE PLATA </t>
  </si>
  <si>
    <t>518 DODGE JOURNEY GRIS</t>
  </si>
  <si>
    <t xml:space="preserve">519 SEAT IBIZA ROJO 2014 </t>
  </si>
  <si>
    <t xml:space="preserve">520 VW JETTA BLANCO </t>
  </si>
  <si>
    <t>521 FORD F-150 DORADA</t>
  </si>
  <si>
    <t xml:space="preserve">522 DODGE JOURNEY PLATA </t>
  </si>
  <si>
    <t>523 DODGE CALIBER NEGRA 2009</t>
  </si>
  <si>
    <t>EFECTIVO ENTREGADO A OSCAR EN EL LOTE</t>
  </si>
  <si>
    <t xml:space="preserve">524 JEEP PATRIOT GUINDA </t>
  </si>
  <si>
    <t>525 FORD ECOLINE AZUL</t>
  </si>
  <si>
    <t>526 SEAT IBIZA ROJO 2011</t>
  </si>
  <si>
    <t>527 CHEVROLET MALIBU ROJO</t>
  </si>
  <si>
    <t>528 VW BORA BLANCO</t>
  </si>
  <si>
    <t>529 DODGE AVENGER NEGRO 2010</t>
  </si>
  <si>
    <t>530 VW BORA NEGRO 2009</t>
  </si>
  <si>
    <t>531 HONDA CIVIC BLANCO 2009</t>
  </si>
  <si>
    <t>532 FORD FOCUS 2014 ROJO</t>
  </si>
  <si>
    <t>REVISION 
01-JUN-2023</t>
  </si>
  <si>
    <t>533 HONDA CIVIC PLATA 2009</t>
  </si>
  <si>
    <t>534 VW BORA GRIS</t>
  </si>
  <si>
    <t xml:space="preserve">535 MITSUBISHI LANCER GRAFITO 2009 </t>
  </si>
  <si>
    <t>536 JEEP PATRIOT 2012 GUINDA</t>
  </si>
  <si>
    <t>537 VW BORA AZUL</t>
  </si>
  <si>
    <t>538 MXK LINCOLN NEGRA</t>
  </si>
  <si>
    <t>539 CHEVROLET EQUINOX ARENA</t>
  </si>
  <si>
    <t>540 CHEVROLET MALIBU BLANCO</t>
  </si>
  <si>
    <t xml:space="preserve">541 FORD EDGE PLATA </t>
  </si>
  <si>
    <t xml:space="preserve">542 FORD F-150 2012 NEGRA </t>
  </si>
  <si>
    <t>543 SEAT IBIZA ROJO 2012</t>
  </si>
  <si>
    <t>544 KIA SORENTO DORADO 2014</t>
  </si>
  <si>
    <t xml:space="preserve">545 CHEVROLET MALIBU PLATA 2009 </t>
  </si>
  <si>
    <t>546 MAZDA 6 2013 ROJO</t>
  </si>
  <si>
    <t xml:space="preserve">548 JEEP PATRIOT GRIS </t>
  </si>
  <si>
    <t>547 FORS FUSION 2010 GUINDO</t>
  </si>
  <si>
    <t xml:space="preserve">549 GMC TERRAIN NEGRA </t>
  </si>
  <si>
    <t xml:space="preserve">551 JEEP PATRIOT BLANCA </t>
  </si>
  <si>
    <t>552 DODGE JOURNEY NEGRA</t>
  </si>
  <si>
    <t xml:space="preserve">550 DODGE JOURNEY GRIS OBSCURO  </t>
  </si>
  <si>
    <t>553 SEAT IBIZA AMARILLO 2011</t>
  </si>
  <si>
    <t>554 FORD EDGE BLANCA 2011</t>
  </si>
  <si>
    <t>555 MAZDA 6 BLANCO 2010</t>
  </si>
  <si>
    <t xml:space="preserve">SE REAGENDA SERVICIO PARA SABADO 
CLIENTE NO ESTA EN LA CD. Y NO NOS DA FECHA  </t>
  </si>
  <si>
    <t>556 FORD FOCUS 2013 BLANCO</t>
  </si>
  <si>
    <t>557 MITSUBISHI LANCER GRIS 2009</t>
  </si>
  <si>
    <t xml:space="preserve">558 VW JETTA SE PLATA </t>
  </si>
  <si>
    <t xml:space="preserve">559 CHEVROLET EQUINOX 2013 GRIS </t>
  </si>
  <si>
    <t>560 TOYOTA CAMRY GRIS 2010</t>
  </si>
  <si>
    <t>561 NISSAN SENTRA BLANCO 2017</t>
  </si>
  <si>
    <t xml:space="preserve">562 VW BORA 2009 ROJO </t>
  </si>
  <si>
    <t xml:space="preserve">563 CHEVROLET MALIBU NEGRO </t>
  </si>
  <si>
    <t>564 SEAT IBIZA BLANCO 2010</t>
  </si>
  <si>
    <t xml:space="preserve">565 GMC TERRAIN GRIS PLATA </t>
  </si>
  <si>
    <t xml:space="preserve">566 CHEVROLET SONIC NEGRO </t>
  </si>
  <si>
    <t>567 CHEVROLET SONIC 2013 GRIS</t>
  </si>
  <si>
    <t>568 JEEP COMPAS NEGRA</t>
  </si>
  <si>
    <t xml:space="preserve">569 MAZDA 3 GRIS </t>
  </si>
  <si>
    <t xml:space="preserve">570 FORD F-150 CAFÉ </t>
  </si>
  <si>
    <t>571 CHERVOLET EQUINOX 2013 BLANCA</t>
  </si>
  <si>
    <t xml:space="preserve">572 CHEVROLET MALIBU 2014 NEGRO </t>
  </si>
  <si>
    <t>573 CHEVROLET MALIBU AZUL</t>
  </si>
  <si>
    <t>574 NISSAN ALTIMA BLANCO 2008</t>
  </si>
  <si>
    <t>575 JEEP PATRIOT NEGRA 2009</t>
  </si>
  <si>
    <t>577 HONDA CIVIC PLATA 2008</t>
  </si>
  <si>
    <t>578 FORD LOBO F-150 PLATA</t>
  </si>
  <si>
    <t xml:space="preserve">579 JEEP COMPASS BLANCA </t>
  </si>
  <si>
    <t>580 HONDA CIVIC ROJO 2007</t>
  </si>
  <si>
    <t>581 MITSUBISHI LANCER ROJO 2009</t>
  </si>
  <si>
    <t xml:space="preserve">582 VW JETTA SE PLATA </t>
  </si>
  <si>
    <t xml:space="preserve">583 JEEP PATRIO GRIS </t>
  </si>
  <si>
    <t>584 NISSAN ALTIMA BLANCO 2009</t>
  </si>
  <si>
    <t>585 CHRYSLER AVENGER BLANCO 2011</t>
  </si>
  <si>
    <t>NISSAN ALTIMA PLATA 2015</t>
  </si>
  <si>
    <t>NISSAN ALTIMA BLANCO 2009</t>
  </si>
  <si>
    <t>586 NISSAN ALTIMA PLATA 2015</t>
  </si>
  <si>
    <t xml:space="preserve">226 DODGE ATITUD GL 2012  BLANCO </t>
  </si>
  <si>
    <t xml:space="preserve">476 VW BORA PLATA </t>
  </si>
  <si>
    <t>WHM147</t>
  </si>
  <si>
    <t>8-910300000003496114</t>
  </si>
  <si>
    <t>s/n</t>
  </si>
  <si>
    <t>VT08F</t>
  </si>
  <si>
    <t>Sin Registro</t>
  </si>
  <si>
    <t xml:space="preserve">BAJA </t>
  </si>
  <si>
    <t xml:space="preserve">BAJA SIN RETIRO DE EQUIPO </t>
  </si>
  <si>
    <t>Cte. José Artemio Aguilar García</t>
  </si>
  <si>
    <t>Cte. Lidia del Carmen Montoya Leal</t>
  </si>
  <si>
    <t>096 NISSAN VERSA CAFÉ 2012 / GRIS</t>
  </si>
  <si>
    <t>Cte. Luis Montiel Espinoza</t>
  </si>
  <si>
    <t>Cte. Juan Manuel Guzman Niño</t>
  </si>
  <si>
    <t>Cte. Jesús Oswaldo Puente Luna</t>
  </si>
  <si>
    <t>104 CHEVROLET EQUINOX PLATA 2010 / GRIS</t>
  </si>
  <si>
    <t>Cte. Efrain Parra Martinez</t>
  </si>
  <si>
    <t>Cte. Efrain Rodriguez Platas</t>
  </si>
  <si>
    <t>117 CHERVOLET SONIC PLATA 2013</t>
  </si>
  <si>
    <t xml:space="preserve">Cte. Rocio Salazar Ramirez </t>
  </si>
  <si>
    <t>Cte. Cayetano Zamarron Escobedo</t>
  </si>
  <si>
    <t>142 CHEVROLER SPARK SILVER 2012</t>
  </si>
  <si>
    <t>Cte. Armando Rodriguez Leija</t>
  </si>
  <si>
    <t>Cte. Sergio Martin de Haro Ramirez</t>
  </si>
  <si>
    <t xml:space="preserve">Cte. Israel Salazar Velazco </t>
  </si>
  <si>
    <t xml:space="preserve">Cte. Octavio Sanchez Sandoval </t>
  </si>
  <si>
    <t>Cte. José Heriberto Elizondo Castaneda</t>
  </si>
  <si>
    <t>Cte. Rafael Guadalupe Campos Hernandez</t>
  </si>
  <si>
    <t>Cte. Aaron Asael Luna Granados</t>
  </si>
  <si>
    <t>146 GMC TERRAIN BLANCA 2011</t>
  </si>
  <si>
    <t>Cte. Arturo Castillo Zuñiga</t>
  </si>
  <si>
    <t>Cte. Maria De Jesus Salinas Treviño</t>
  </si>
  <si>
    <t>158 FORD EDGE BLANCA 2012</t>
  </si>
  <si>
    <t>Cte. Ricardo Villegas Rodriguez</t>
  </si>
  <si>
    <t>170 FORD FUSSION BLANCO 2011</t>
  </si>
  <si>
    <t>Cte. Mario Alberto Quiroga Lara</t>
  </si>
  <si>
    <t>191 WV VENTO PLATA 2016</t>
  </si>
  <si>
    <t>Cte. Hilda Margarita Farias Zuñiga</t>
  </si>
  <si>
    <t>Cte. Pamela Denisse Cabrera Garcia</t>
  </si>
  <si>
    <t>Cte. Jesus Enrique Ortiz Rodriguez</t>
  </si>
  <si>
    <t>266 VW JETTA CAFÉ 2015 MARRON</t>
  </si>
  <si>
    <t>Cte. Lesley Martin Flores Juarez</t>
  </si>
  <si>
    <t>013 CHEVROLET SATURN VUE 2010 / 2008</t>
  </si>
  <si>
    <t>BAJA 
24-OCT-2023</t>
  </si>
  <si>
    <t>BAJA 
24-OCT-203</t>
  </si>
  <si>
    <t>PETICION DE BAJA SIN RETIRO DE EQUIPO 24-OCT-2023</t>
  </si>
  <si>
    <t>Cte.Heber  Sauceda Moreno</t>
  </si>
  <si>
    <t>129 DODGE RAM BLANCA 2013 / 2009</t>
  </si>
  <si>
    <t>Cte. Manuel Ignacio Torres Moreyra 
Tel. 8124296609</t>
  </si>
  <si>
    <t>Cte. Noe Silva Gaona 
Tel. 8127328901</t>
  </si>
  <si>
    <t>YA ERA BAJA 
DES-INSTALACION 31-JULIO-2023</t>
  </si>
  <si>
    <t>Cte. Carolina Ramirez Ramirez 
Tel. 8110781974</t>
  </si>
  <si>
    <t>DESINSTALACION EN DOMICILIO DE CTE 
RE-INSTALACON No. 556</t>
  </si>
  <si>
    <t>RE-INSTALADO 03-AGOSTO-2023 
No. 556</t>
  </si>
  <si>
    <t>486 JEEP COMPAS CELESTE 2014 / NEGRA</t>
  </si>
  <si>
    <t>SBU-059-A / 1C4NJPBA2CD611145</t>
  </si>
  <si>
    <t>Cte. Juana Guadalupe Covarrubias 
Tel. 8110224072</t>
  </si>
  <si>
    <t>ACTIVO 
25-OCT-2023</t>
  </si>
  <si>
    <t xml:space="preserve">587 FORD FOCUS 2014 NEGRO </t>
  </si>
  <si>
    <t>1FADP3K2XEL234042</t>
  </si>
  <si>
    <t xml:space="preserve">UNIDAD MIGRADA DE CUENTA ALEJANDRO MARMOLEJO </t>
  </si>
  <si>
    <t>SDF-110-A / MEX522601GT014119</t>
  </si>
  <si>
    <t>ACTIVO 
27-OCT-2023</t>
  </si>
  <si>
    <t xml:space="preserve">588 CHEVROLET TRAVERSE NEGRA </t>
  </si>
  <si>
    <t>GNKVJKD3EJ141881</t>
  </si>
  <si>
    <t>ACTIVO 
31-OCT-2023</t>
  </si>
  <si>
    <t xml:space="preserve">3:20 p.m. - Cte. </t>
  </si>
  <si>
    <t xml:space="preserve">589 CHEVROLET SPARK BLANCO </t>
  </si>
  <si>
    <t>SXP-566-B / KL8CM6CA3HC733140</t>
  </si>
  <si>
    <t xml:space="preserve">Oficina Apfel </t>
  </si>
  <si>
    <t>ACTIVO 
02-NOV-2023</t>
  </si>
  <si>
    <t xml:space="preserve">590 CHEVROLET CRUZE NEGRO </t>
  </si>
  <si>
    <t xml:space="preserve">576 JEEP WRANGLER 2008 PLATA </t>
  </si>
  <si>
    <t>ACTIVO 
04-NOV-2023</t>
  </si>
  <si>
    <t xml:space="preserve">591 FORD FOCUS PLATA 2012 </t>
  </si>
  <si>
    <t>REVISION 
07-NOV-2023</t>
  </si>
  <si>
    <t>BAJA 
07-NOV-2023</t>
  </si>
  <si>
    <t>PETICION DE BAJA SIN RETIRO DE EQUIPO</t>
  </si>
  <si>
    <t>BAJA 
08-NOV-2023</t>
  </si>
  <si>
    <t>PETICION DE BAJA SIN RETIRO DE EQUIPO 08-NOVIEMBRE-2023</t>
  </si>
  <si>
    <t>Cte. Oralia Becerril Medina</t>
  </si>
  <si>
    <t>212 CHEVROLET MALIBU BLANCO 2009</t>
  </si>
  <si>
    <t>222 CHEVROLET MALIBU BLANCO 2012</t>
  </si>
  <si>
    <t>Cte. Nisael Cayetano Hernandez</t>
  </si>
  <si>
    <t>242 FORD FOCUS NEGRO 2008</t>
  </si>
  <si>
    <t>Cte. Dante Gerardo Cantu Delgado</t>
  </si>
  <si>
    <t xml:space="preserve">245 JEEP GRAND CHEROKEE ROJO 2013 / GUINDA </t>
  </si>
  <si>
    <t>Cte. Jose Guadalupe Ramos Villarreal</t>
  </si>
  <si>
    <t>249 NISSAN SENTRA ROJO 2011</t>
  </si>
  <si>
    <t>253 AUDI GRIS 2011</t>
  </si>
  <si>
    <t xml:space="preserve">Cte. Esthefany Alejandra Mendoza Avila </t>
  </si>
  <si>
    <t>Cte. Jair Alberto Hernandez Blanco</t>
  </si>
  <si>
    <t>Cte. Everardo Esaul Valerio Sanchez</t>
  </si>
  <si>
    <t>284 CHEVROLET CHEYENNE NARANJA 1987 / CAFÉ</t>
  </si>
  <si>
    <t>Cte. Lenin Flores Gutierrez</t>
  </si>
  <si>
    <t>286 CHEVROLET AVEO BLANCO 2015</t>
  </si>
  <si>
    <t>Cte. Erick Eduardo Martinez Alvarez</t>
  </si>
  <si>
    <t>Cte. Mariano Jaramillo Esparza</t>
  </si>
  <si>
    <t xml:space="preserve">Cte. Estefany Yazmin Lara Cardenas </t>
  </si>
  <si>
    <t>Cte. Beatriz Del Rio Urzua</t>
  </si>
  <si>
    <t>Cte. David Lugo Colmenares</t>
  </si>
  <si>
    <t>Cte. Juan Calixto Ramos Vazquez</t>
  </si>
  <si>
    <t>466 CHEVROLET SONIC PLATA 2011</t>
  </si>
  <si>
    <t>REVISION DE UNIDAD EXTERNA A UBITEC  
SOLICITAN REVISION POR INGRESO DE UNIDAD AL MECANICO Y PARA DESCARTAR FALLA DE GPS 
(ESTA UNIDAD NO SE ENCUENTRA MIGRADA, COMENTAN QUE YA FINALIZARA CREDITO)</t>
  </si>
  <si>
    <t xml:space="preserve">TECNICO NO LLEGO A LAS 5 EXACTAS Y CLIENTE SOLICITO SE REAGENDARA PARA OTRO DIA </t>
  </si>
  <si>
    <t>ACTIVO 
14-NOV-2023</t>
  </si>
  <si>
    <t xml:space="preserve">592 DODGE RAM 1500 2011 NEGRA </t>
  </si>
  <si>
    <t>ACTIVO 
16-NOV-2023</t>
  </si>
  <si>
    <t xml:space="preserve">593 FORD FUSION 2014 BLANCO </t>
  </si>
  <si>
    <t>REVISION 
02-NOV-2023</t>
  </si>
  <si>
    <t xml:space="preserve">REVISION POR INGRESO A TALLER, NO SE GENERO LA REVISION LA UNIDAD NO CONTABA CON BATERIA </t>
  </si>
  <si>
    <t>1:00 p.m. - Cte. Jonathan Emmanuel Rodriguez Ramirez</t>
  </si>
  <si>
    <t>594 DODGE JOURNEY BLANCO 2012</t>
  </si>
  <si>
    <t>ACTIVO 
23-NOV-2023</t>
  </si>
  <si>
    <t>3C4PDCCG8CT185046</t>
  </si>
  <si>
    <t>ACTIVO 
25-NOV-2023</t>
  </si>
  <si>
    <t xml:space="preserve">596 JEEP CHEROKEE NEGRA </t>
  </si>
  <si>
    <t>RRN-013-A</t>
  </si>
  <si>
    <t>2:00 p.m. - Cte. Cesar Omar Garza Eguia  Tel. 8186905346</t>
  </si>
  <si>
    <t>FORD FOCUS PLATA 2014</t>
  </si>
  <si>
    <t>CLIENTE TUVO QUE SALIR POR URGENCIA Y SE REPROGRAMA PARA JUEVES 30-NOV-2023</t>
  </si>
  <si>
    <t>ACTIVO 
28-NOV-2023</t>
  </si>
  <si>
    <t xml:space="preserve">597 CHEVROLET MALIBU 2012 BLANCO </t>
  </si>
  <si>
    <t xml:space="preserve">UNIDAD PRESENTA FALLA EN BATERIA, NO CONTABA CON CABLES, LE TIENEN QUE PASAR CORRIENTE </t>
  </si>
  <si>
    <t>ACTIVO 
30-NOV-2023</t>
  </si>
  <si>
    <t>Particular 
Treviño Refacciones</t>
  </si>
  <si>
    <t xml:space="preserve">CLIENTE COMENTA NO SE ENCUENTRA EN LA CIUDAD Y ESTARIA DISPONIBLE HASTA EL SABADO O LUNES /  SE LE DA INFORMACION A SR. DEL ANGEL </t>
  </si>
  <si>
    <t>2FMDK3JC9DBB51795</t>
  </si>
  <si>
    <t>BAJA 
04-DIC-2023</t>
  </si>
  <si>
    <t>CAMBIO DE DOMICILIO A TALLER EN QUE SE ENCOENTRABA LA UNIDAD</t>
  </si>
  <si>
    <t xml:space="preserve">Talle Colonia Moderna </t>
  </si>
  <si>
    <t xml:space="preserve">11:30 p.m. </t>
  </si>
  <si>
    <t>TALLER EN LA MODERNA</t>
  </si>
  <si>
    <t>BAJA 
22-NOV-2023</t>
  </si>
  <si>
    <t>1:00 p.m. Cte. Jonathan Emmanuel Rodriguez Ramirez</t>
  </si>
  <si>
    <t>11:30 a.m. - Cte. Jonathan Emmanuel Rodriguez Ramirez</t>
  </si>
  <si>
    <t>ACTIVO 
04-DIC-2023</t>
  </si>
  <si>
    <t xml:space="preserve">598 NISSAN TIIDA 2011 GRIS PLATA </t>
  </si>
  <si>
    <t xml:space="preserve">599 FORD EDGE BLANCA </t>
  </si>
  <si>
    <t>600 CHEVROLET EQUINOX BLANCA</t>
  </si>
  <si>
    <t>ACTIVO 
05-DIC-2023</t>
  </si>
  <si>
    <t xml:space="preserve">601 FORD ESCAPE GRIS PLATA </t>
  </si>
  <si>
    <t>1FMCU0F75EUA57537</t>
  </si>
  <si>
    <t xml:space="preserve">602 JEEP CHEROKEE GUINDA (018) </t>
  </si>
  <si>
    <t>SSV-996-B</t>
  </si>
  <si>
    <t xml:space="preserve">MIGRADO DE LA CTA. EDGAR CORONADO </t>
  </si>
  <si>
    <t>BAJA 
07-DIC-2023</t>
  </si>
  <si>
    <t>PETICION DE BAJA SIN RETIRO DE EQUIPO 07-DICIEMBRE-2023</t>
  </si>
  <si>
    <t>ACTIVO 
14-DIC-2023</t>
  </si>
  <si>
    <t>603 NISSAN VERSA PLATA 2013</t>
  </si>
  <si>
    <t>312 NISSAN FRONTIER NEGRA 2013</t>
  </si>
  <si>
    <t>316 VW BORA BLANCO 2010</t>
  </si>
  <si>
    <t xml:space="preserve">CTE. ERICK ARMANDO SALGADO BARRIENTOS </t>
  </si>
  <si>
    <t>318 FORD FOCUS GRIS PLATA 2012</t>
  </si>
  <si>
    <t xml:space="preserve">Cte. Juan Andrew Aguilera Bravo </t>
  </si>
  <si>
    <t xml:space="preserve">Cte. Maylu Guadalupe Carmona Treviño </t>
  </si>
  <si>
    <t>ACTIVO 
13-ENE-2022</t>
  </si>
  <si>
    <t xml:space="preserve">Cte. Jesus Enrique Sanchez Hernandez </t>
  </si>
  <si>
    <t>356 CHRYSLER 300 NEGRO 2013</t>
  </si>
  <si>
    <t xml:space="preserve">Cte. Jorge Franco Agredano </t>
  </si>
  <si>
    <t>ACTIVO 
15-DIC-2023</t>
  </si>
  <si>
    <t>604 SEAT IBIZA PLATINO 2016</t>
  </si>
  <si>
    <t>ACTIVO 
20-DIC-2023</t>
  </si>
  <si>
    <t xml:space="preserve">RPG-657-B </t>
  </si>
  <si>
    <t xml:space="preserve">606 NISSAN SENTRA 2012 BLANCO </t>
  </si>
  <si>
    <t>ACTIVO 
21-DIC-2023</t>
  </si>
  <si>
    <t xml:space="preserve">607 FORD FUSION 2015 DORADO </t>
  </si>
  <si>
    <t>SUS-818-B / 3FA6P0G7XFR185746</t>
  </si>
  <si>
    <t>Autos Importados Morgan</t>
  </si>
  <si>
    <t>2:30 pm - Cte. Yair Alejandro Villanueva Carrillo   
Contacto Srta. Hilda Tel. 8125652836</t>
  </si>
  <si>
    <t xml:space="preserve">608 CHEVROLET AVEO ROJO 2020 </t>
  </si>
  <si>
    <t>ACTIVO 
22-DIC-2023</t>
  </si>
  <si>
    <t>RSU-965-A / 3HGRM3853DG006374</t>
  </si>
  <si>
    <t xml:space="preserve">605 FORD FOCUS 2013 PLATA </t>
  </si>
  <si>
    <t>ACTIVO 
27-DIC-2023</t>
  </si>
  <si>
    <t xml:space="preserve">611 GMC TERRAIN NEGRA 2014 </t>
  </si>
  <si>
    <t>612 HONDA CIVIC PLATA 2009</t>
  </si>
  <si>
    <t>ACTIVO 
29-DIC-2023</t>
  </si>
  <si>
    <t>613 NISSAN SENTRA GRIS 2017</t>
  </si>
  <si>
    <t>ACTIVO 
03-ENE-2024</t>
  </si>
  <si>
    <t xml:space="preserve">614 JEEP PATRIOT GRIS 2016 OBSCURO </t>
  </si>
  <si>
    <t xml:space="preserve">1C4NJPFAXGD749600 </t>
  </si>
  <si>
    <t xml:space="preserve">615 MAZDA 3 2015 NEGRO </t>
  </si>
  <si>
    <t>ACTIVO 
04-ENE-2024</t>
  </si>
  <si>
    <t>3MZBM1W76FM160586</t>
  </si>
  <si>
    <t>ACTIVO 
05-ENE-2024</t>
  </si>
  <si>
    <t xml:space="preserve">616 HONDA CIVIC 2008 BLANCO </t>
  </si>
  <si>
    <t xml:space="preserve">CANCELADO / REAGENDAR </t>
  </si>
  <si>
    <t xml:space="preserve">3:30 p.m. -  Cte. Nallely Elizabeth Elizondo </t>
  </si>
  <si>
    <t xml:space="preserve">0 FORD EDGE </t>
  </si>
  <si>
    <t xml:space="preserve">LIC. ZULEMA COMENTA CLIENTE NO TENDRA DISPONIBLE LA UNIDAD Y PIDE QUE SE REAGENDE PARA DIA SIGUIENTE </t>
  </si>
  <si>
    <t xml:space="preserve">617 MAZDA 2005 BLANCA </t>
  </si>
  <si>
    <t>SPV-917-B</t>
  </si>
  <si>
    <t>ACTIVO 
06-ENE-2024</t>
  </si>
  <si>
    <t xml:space="preserve">619 FORD EDGE GRIS OBSCURO </t>
  </si>
  <si>
    <t>1FA6P0H73G5109580</t>
  </si>
  <si>
    <t>620 FORD FUSION AZUL METALICO</t>
  </si>
  <si>
    <t>618 CHEVROLET EQUINOX 2015 NEGRO</t>
  </si>
  <si>
    <t>ACTIVO 
11-ENE-2024</t>
  </si>
  <si>
    <t>ACTIVO 
12-ENE-2024</t>
  </si>
  <si>
    <t xml:space="preserve">621 MAZDA CX7 GRIS OXFORD 2009 </t>
  </si>
  <si>
    <t xml:space="preserve">622 NISSAN ALTIMA 2014 BLANCA </t>
  </si>
  <si>
    <t>1N4AL3AP2EN366079</t>
  </si>
  <si>
    <t>2GNFLFEK3F6307460</t>
  </si>
  <si>
    <t xml:space="preserve">623 JEEP COMPASS 2009 BLANCO </t>
  </si>
  <si>
    <t xml:space="preserve">624 FORD FOCUS 2013 BLANCO </t>
  </si>
  <si>
    <t xml:space="preserve">FORD RANGER ROJA </t>
  </si>
  <si>
    <t>ACTIVO 
13-ENE-2024</t>
  </si>
  <si>
    <t xml:space="preserve">626 MAZDA 3 2011 NEGRO </t>
  </si>
  <si>
    <t>625 DODGE JOURNEY NARANJA</t>
  </si>
  <si>
    <t>3C4PDCBG7ET192381</t>
  </si>
  <si>
    <t>ACTIVO 
15-ENE-2024</t>
  </si>
  <si>
    <t xml:space="preserve"> 627 CHEVROLET EQUINOX AZUL  MARINO </t>
  </si>
  <si>
    <t xml:space="preserve">628 FORD EXPLORER NEGRA </t>
  </si>
  <si>
    <t>1FM5K8D8XFGB61028</t>
  </si>
  <si>
    <t>ACTIVO 
17-ENE-2024</t>
  </si>
  <si>
    <t>629 JEEP PATRIOT 2009 ROJA</t>
  </si>
  <si>
    <t xml:space="preserve">10:00 a.m. </t>
  </si>
  <si>
    <t>10 a.m. - Cte. Sandra Elizabeth Moreno</t>
  </si>
  <si>
    <t>JEEP PATRIOT 2009 ROJA</t>
  </si>
  <si>
    <t>CLIENTE NOS COMENTA NO SE ENCUENTAR EN DOMICILIO, SE REPROGRAMA PARA LAS 11:30 Y DESPUES PARA LA 1:30</t>
  </si>
  <si>
    <t>ACTIVO 
18-ENE-2024</t>
  </si>
  <si>
    <t xml:space="preserve">630 VW JETTA BLANCO </t>
  </si>
  <si>
    <t>ACTIVO 
23-ENE-2024</t>
  </si>
  <si>
    <t>631 FORD FOCUS 2012 GRIS</t>
  </si>
  <si>
    <t>SNY-151-A / 1FAHP3M24CL219516</t>
  </si>
  <si>
    <t>|</t>
  </si>
  <si>
    <t>ACTIVO 
24-ENE-2024</t>
  </si>
  <si>
    <t>REVISION 
24-ENE-2024</t>
  </si>
  <si>
    <t xml:space="preserve">632 DODGE JOURNEY 2014 NARANJA </t>
  </si>
  <si>
    <t>3C4PDCBB5ET140865</t>
  </si>
  <si>
    <t xml:space="preserve">326 AUDI A1 ROJO </t>
  </si>
  <si>
    <t>2:30 p.m. - Cte. Jorge Eduardo Esquivel Bocanegra 
Sr. Missael  Tel. 8131759006</t>
  </si>
  <si>
    <t>CLIENTE NOS COMENTA LA UNIDAD SE APAGA SIN MOTIVO  
(UNIDAD SE APAGA ESTANDO EN MOVIMIENTO, FALLA AJENA AL GPS SE RETIRA BLOQUEO PARA INGRESO A TALLER)</t>
  </si>
  <si>
    <t>ACTIVO 
25-ENE-2024</t>
  </si>
  <si>
    <t>Particular 
(Control Vehicular - Molinete)</t>
  </si>
  <si>
    <t>11 a.m. - Cte. Jesus Manuel Saldaña / Contacto Missael 8131759006</t>
  </si>
  <si>
    <t xml:space="preserve">11:00 a.m. </t>
  </si>
  <si>
    <t>11:40 a.m.</t>
  </si>
  <si>
    <t>Particular 
(Control Vehicular - Valle Contry )</t>
  </si>
  <si>
    <t>5NPDH4AE1GH740441</t>
  </si>
  <si>
    <t xml:space="preserve">4:00 p.m. </t>
  </si>
  <si>
    <t xml:space="preserve">REAGENDADO </t>
  </si>
  <si>
    <t>Particular 
(Control Vehicular - Plazas Outlet Escobedo)</t>
  </si>
  <si>
    <t>633 FORD FIESTA 2015 AZUL METALICO</t>
  </si>
  <si>
    <t xml:space="preserve">635 MAZDA CX5 NEGRA </t>
  </si>
  <si>
    <t xml:space="preserve">634 HYUNDAI ELANTRA 2016 PLATA </t>
  </si>
  <si>
    <t>636 CHEVROLET SONIC 2012</t>
  </si>
  <si>
    <t xml:space="preserve">REAGENDADO GPS NO GENERA SEÑAL Y TIENE QUE SER REMPLAZADO </t>
  </si>
  <si>
    <t>Particular 
(Hda. Los Ayala, Escobedo)</t>
  </si>
  <si>
    <t>ACTIVO 
26-ENE-2024</t>
  </si>
  <si>
    <t>637 GMC TERRAIN BLANCA 2015</t>
  </si>
  <si>
    <t>2GKFLTE35F6328301</t>
  </si>
  <si>
    <t>1FM5K8F88GGA98333</t>
  </si>
  <si>
    <t>Lote Charlie Motors 
(San Nicolas)</t>
  </si>
  <si>
    <t>ACTIVO 
27-ENE-2024</t>
  </si>
  <si>
    <t>Particular 
(Fracc Puerta del Sol, Escobedo)</t>
  </si>
  <si>
    <t xml:space="preserve">639 MAZDA CX7 BLANCA </t>
  </si>
  <si>
    <t>ACTIVO 
29-ENE-2024</t>
  </si>
  <si>
    <t>Lote Seminuevos MG1 
(Mexico 86, Guadalupe)</t>
  </si>
  <si>
    <t>640 NISSAN FRONTIER 2016 ROJA</t>
  </si>
  <si>
    <t>RD-2265-B/ 1N6AD0CU9GN786446</t>
  </si>
  <si>
    <t>ACTIVO 
31-ENE-2024</t>
  </si>
  <si>
    <t>Cualquier hora / Cte. Miriam Aleida 
Contacto Juan Pablo 8116913857</t>
  </si>
  <si>
    <t xml:space="preserve">641 JEEP PATRIOT </t>
  </si>
  <si>
    <t>1 / 1:30 p.m.</t>
  </si>
  <si>
    <t xml:space="preserve">ZULEMA NOS COMENTA HUBO UN ERROR EN EL ENVIO DE DOMICILIO CUANDO TECNICO YA ESTABA EN EL LOTE </t>
  </si>
  <si>
    <t>Particular 
(Trece de Mayo, Guadalupe)</t>
  </si>
  <si>
    <t>1C4NJRFB0GD759556</t>
  </si>
  <si>
    <t>ACTIVO 
02-FEB-2024</t>
  </si>
  <si>
    <t>3VW1V09M2CM026092</t>
  </si>
  <si>
    <t>642 VW JETTA CLASICO 2012 GRIS OBSCURO</t>
  </si>
  <si>
    <t xml:space="preserve">643 JEEP COMPAS BLANCA </t>
  </si>
  <si>
    <t>ACTIVO 
03-FEB-2024</t>
  </si>
  <si>
    <t xml:space="preserve">644 FORD FOCUS 2015 PLATA </t>
  </si>
  <si>
    <t>1FADP3K25FL292125</t>
  </si>
  <si>
    <t>Particular 
(San Nicolas, Santo Domingo)</t>
  </si>
  <si>
    <t>Cualquier hora / Cte. Vanessa Denisse Peña Martinez  Tel. 8123199868</t>
  </si>
  <si>
    <t>MAZDA CX9</t>
  </si>
  <si>
    <t xml:space="preserve">CLIENTE NOS COMENTA LA UNIDAD NO LA TIENE Y EL DIA DE HOY NO LE SERA ENTREGADA </t>
  </si>
  <si>
    <t>ACTIVO 
09-FEB-2024</t>
  </si>
  <si>
    <t xml:space="preserve">645 MITSUBISHILANCER 2009 ROJO </t>
  </si>
  <si>
    <t>Particular 
(El Carmen, Buena Vista)</t>
  </si>
  <si>
    <t>Lote Autos Margon 
(Apodaca, Prados de la Cieneguita)</t>
  </si>
  <si>
    <t>ACTIVO 
10-FEB-2024</t>
  </si>
  <si>
    <t xml:space="preserve">646 CHEVROLET MALIBU 2016 GUINDO </t>
  </si>
  <si>
    <t>1G1ZE5STXGF305275</t>
  </si>
  <si>
    <t>ACTIVO 
12-FEB-2024</t>
  </si>
  <si>
    <t>Particular 
(San Pedro Garza Garcia, Los Sauces)</t>
  </si>
  <si>
    <t>10 am - Cte. Kimberly Morales Zuñiga  Tel. 8126377921</t>
  </si>
  <si>
    <t xml:space="preserve"> VW VENTO 2015 </t>
  </si>
  <si>
    <t xml:space="preserve">CLIENTE NOS COMENTA NO SE ENCUENTAR EN DOMICILIO, SE REPROGRAMA SR. DEL ANGEL VA A HABLR CON EL CLIENTE </t>
  </si>
  <si>
    <t>1FTEW1EP3GK579173</t>
  </si>
  <si>
    <t xml:space="preserve">647 FORD F-150 BLANCA </t>
  </si>
  <si>
    <t>Particular 
(Valle de San Andres III, Apodaca)</t>
  </si>
  <si>
    <t>3:00 pm - Cte. Miguel Eduardo Ramirez Borroel  Tel. 8123316211</t>
  </si>
  <si>
    <t>CHEVROLET MALIBU 2012</t>
  </si>
  <si>
    <t>ACTIVO 
14-FEB-2024</t>
  </si>
  <si>
    <t>Particular
(31 de Diciembre, Guadalupe)</t>
  </si>
  <si>
    <t>648 NISSAN ALTIMA 2012 GUINDO</t>
  </si>
  <si>
    <t>1N4AL2AP6CN580371</t>
  </si>
  <si>
    <t>ACTIVO 
16-FEB-2024</t>
  </si>
  <si>
    <t xml:space="preserve">649 CHEVROLET TRAVESER DORADA </t>
  </si>
  <si>
    <t>Particular 
(Dieciséis de Septiembre, Monterrey)</t>
  </si>
  <si>
    <t>10:00 a.m. - Cte. José Luis Rocha Rodríguez  Tel. 8131333807</t>
  </si>
  <si>
    <t>CHEVROLET MALIBU 2008</t>
  </si>
  <si>
    <t>San Nicolas 
(Lote Rodrigo Soto)</t>
  </si>
  <si>
    <t>ACTIVO 
20-FEB-2024</t>
  </si>
  <si>
    <t>Particular 
(Vicente Guerrero, Guadalupe)</t>
  </si>
  <si>
    <t>650 MAZDA 3 2012 GRIS OXFORD</t>
  </si>
  <si>
    <t>651 JEEP CHEROKEE ROJA</t>
  </si>
  <si>
    <t>1C4PJMBS7FW647535</t>
  </si>
  <si>
    <t>CHEVROLET TRAVERSE 2012</t>
  </si>
  <si>
    <t xml:space="preserve">NO SE ENCONTRABA EL ENCARGADO EN EL LUGAR, SE LES ESPERO 1 HRA, PERO NO LLEGO NADIE </t>
  </si>
  <si>
    <t>ACTIVO 
23-FEB-2024</t>
  </si>
  <si>
    <t>Particular 
(Casco Urbano, San Pedro Garza García)</t>
  </si>
  <si>
    <t>652 CHEVROLET TRAVERSE 2012 DORADA</t>
  </si>
  <si>
    <t>653 CHEVROLET CRUZE 2011 NEGRO</t>
  </si>
  <si>
    <t>ACTIVO 
24-FEB-2024</t>
  </si>
  <si>
    <t>ACTIVO 
26-FEB-2024</t>
  </si>
  <si>
    <t>ACTIVO 
28-FEB-2024</t>
  </si>
  <si>
    <t>655 CHEVROLET EQUINOX 2013 PLATA</t>
  </si>
  <si>
    <t>3VWD17AJ5EM392487</t>
  </si>
  <si>
    <t>ACTIVO 
29-FEB-2024</t>
  </si>
  <si>
    <t xml:space="preserve">10 am - Cte. Jorge Antonio Tovar </t>
  </si>
  <si>
    <t>Lote Portón Café 
(San Nicolas)</t>
  </si>
  <si>
    <t>Lote Autofinaciamiento NL
(Carlos Coronado, San Nicolas)</t>
  </si>
  <si>
    <t xml:space="preserve">Taller Mecanico - Apodaca </t>
  </si>
  <si>
    <t>Lote Gonzalez Autosales 
(Guadalupe, Paraiso)</t>
  </si>
  <si>
    <t xml:space="preserve">657 HONDA ACCORD GRIS </t>
  </si>
  <si>
    <t>SPC-590-B / 1HGCR2681GA901931</t>
  </si>
  <si>
    <t>Lote Autos San Roberto 
(La Luz, Guadalupe)</t>
  </si>
  <si>
    <t>Lote Autocredito 
(Todo Autos - El Zar, Guadalupe)</t>
  </si>
  <si>
    <t>Lote Tu Auto En Segundos 
(Camino Real, Guadalupe)</t>
  </si>
  <si>
    <t>10:00 a.m. - Cte. Jonathan David Hinojosa Veliz  Tel. 8131362643</t>
  </si>
  <si>
    <t>ACTIVO 
01-MAR-2024</t>
  </si>
  <si>
    <t xml:space="preserve">658 MITSUBISHI OUTLANDER XLS 2012 NEGRA </t>
  </si>
  <si>
    <t>ACTIVO 
06-MAR-2024</t>
  </si>
  <si>
    <t>REVISION 
02-MAR-2024</t>
  </si>
  <si>
    <t>Particular 
(Lopez Mateos, Santa Catarina)</t>
  </si>
  <si>
    <t>Reporte de falla unidad no enciende.
La falla no es debido a el GPS y no la está provocando, se probó el equipo físicamente y todo está funcionado correctamente. Posiblemente sea un tema de batería de la unidad. Se le explicó al contacto y queda informado y conforme Sr. Jacinto Ramirez</t>
  </si>
  <si>
    <t>Lote Autos Peña´s
(Tolteca, Guadalupe)</t>
  </si>
  <si>
    <t xml:space="preserve">659 JEEP SAHARA NEGRO WRANGLER UNLIMITED </t>
  </si>
  <si>
    <t>1C4HJWEG2FL509426</t>
  </si>
  <si>
    <t xml:space="preserve">Marco Esquivel </t>
  </si>
  <si>
    <t>3VWD07AJ0FM236264</t>
  </si>
  <si>
    <t>660 VW JETTA SE CAFÉ</t>
  </si>
  <si>
    <t>ACTIVO 
07-MAR-2024</t>
  </si>
  <si>
    <t>662 FORD LOBO NEGRA</t>
  </si>
  <si>
    <t>ACTIVO 
08-MAR-2024</t>
  </si>
  <si>
    <t xml:space="preserve">663 SETA IBIZA 2011 NEGRO </t>
  </si>
  <si>
    <t>ACTIVO 
11-MAR-2024</t>
  </si>
  <si>
    <t>Particular 
(Capellania, Apodaca)</t>
  </si>
  <si>
    <t>Cualquier Hora - Cte. Patricia Verónica Galarza  Tel. 8126070422</t>
  </si>
  <si>
    <t xml:space="preserve">664 KENWORTH 2002 </t>
  </si>
  <si>
    <t xml:space="preserve">UNIDAD NO SE ENCUENTRA EN ESTE DOMICILIO CTE. NOS DA OTRO DOMICILIO </t>
  </si>
  <si>
    <t>Particular 
(Santa Rosa, Apodaca)</t>
  </si>
  <si>
    <t>664 KENWORTH 2002 BLANCO</t>
  </si>
  <si>
    <t>ACTIVO 
22-MAR-2024</t>
  </si>
  <si>
    <t>Particular 
(Los Cristales, Guadalupe)</t>
  </si>
  <si>
    <t>665 JEEP CHEROKEE NEGRA</t>
  </si>
  <si>
    <t>ACTIVO 
25-MAR-2024</t>
  </si>
  <si>
    <t>666 DODGE CARAVAN 2015 GRIS OBSCURA</t>
  </si>
  <si>
    <t>2C4RDGCG6GR358295</t>
  </si>
  <si>
    <t>667 FORD EDGE 2015 NEGRA</t>
  </si>
  <si>
    <t>2FMTK3J98FBB32237</t>
  </si>
  <si>
    <t>668 CHEVROLET MALIBU DORADO</t>
  </si>
  <si>
    <t>1G1ZH5SX5GF359836</t>
  </si>
  <si>
    <t>ACTIVO 
26-MAR-2024</t>
  </si>
  <si>
    <t xml:space="preserve">Particular 
(Fraccionamiento Terranova Elite, Apodaca) </t>
  </si>
  <si>
    <t xml:space="preserve">12:00 pm - Cte. </t>
  </si>
  <si>
    <t>3VWD07AJ9EM396965</t>
  </si>
  <si>
    <t xml:space="preserve">669 VW JETTA 2014 GRIS OXFORD </t>
  </si>
  <si>
    <t>670 CHEVROLET AVEO 2018 AZUL AQUA</t>
  </si>
  <si>
    <t>ACTIVO 
02-ABR-2024</t>
  </si>
  <si>
    <t xml:space="preserve">Cualquier Hora - Cte. </t>
  </si>
  <si>
    <t xml:space="preserve">671 DODGE JOURNEY 2015 GUINDA </t>
  </si>
  <si>
    <t>Particular 
(Solidaridad Soc., Gral. Escobedo)</t>
  </si>
  <si>
    <t xml:space="preserve">672 DODGE JOURNEY 2013 PLATA </t>
  </si>
  <si>
    <t>ACTIVO 
03-ABR-2024</t>
  </si>
  <si>
    <t>3N1AB7AP6GY241549</t>
  </si>
  <si>
    <t>673 NISSAN SENTRA 2016 AZUL</t>
  </si>
  <si>
    <t>675 VW JETTA DORADO</t>
  </si>
  <si>
    <t>ACTIVO 
04-ABR-2024</t>
  </si>
  <si>
    <t>Particular 
(Nuevo Las Puents III, Apodaca)</t>
  </si>
  <si>
    <t>676 SEAT IBIZA 2013 GRIS</t>
  </si>
  <si>
    <t xml:space="preserve">677 HYUNDAI GRAND i10 </t>
  </si>
  <si>
    <t>ACTIVO 
05-ABR-2024</t>
  </si>
  <si>
    <t>Particular 
(Jardines de Monterrey, Apodaca)</t>
  </si>
  <si>
    <t xml:space="preserve">678 CHEVROLET MALIBU NEGRO </t>
  </si>
  <si>
    <t>1G11F5SL1FF251048</t>
  </si>
  <si>
    <t>BAJA
05-ABR-2024</t>
  </si>
  <si>
    <t>BAJA 
05-ABR-2024</t>
  </si>
  <si>
    <t>ACTIVO 
09-ABR-2024</t>
  </si>
  <si>
    <t>679 CHEVROLET SONIC NEGRO 2015</t>
  </si>
  <si>
    <t>GMC ACADIA</t>
  </si>
  <si>
    <t>Cualquier Hora - Cte. Maria de los Angeles  Tel. 8134191953</t>
  </si>
  <si>
    <t>ACTIVO 
11-ABR-2024</t>
  </si>
  <si>
    <t>SE LE LLAMO AL CONTACTO QUE NOS INDICARON A LAS 10:15 AM, NOS COMETO QUE LLEGARIA EN 20 MIN AL LUGAR, EL TECNCIO SE RETIRO DEL SITIO A LAS 10:55 AM</t>
  </si>
  <si>
    <t>680 GMC ACADIA NEGRA</t>
  </si>
  <si>
    <t>1GKKRTKD1FJ120526</t>
  </si>
  <si>
    <t>ACTIVO 
12-ABR-2024</t>
  </si>
  <si>
    <t>Cualquier Hora - Cte. Jesus Eduardo Tel. 8134191953</t>
  </si>
  <si>
    <t xml:space="preserve">RAM 1500 2016 GRIS </t>
  </si>
  <si>
    <t>NOS COMENTAN EN LOTE QUE CLIENTE DECIDE NO LLEVARSE LA UNIDAD</t>
  </si>
  <si>
    <t>2:00 pm - Cte. Diego Aitlon Fonseca Valles Tel. 8110075562</t>
  </si>
  <si>
    <t xml:space="preserve">681 MAZDA 3 2013BLANCO </t>
  </si>
  <si>
    <t>RSZ-493-B / JM1BL2UF6D1799714</t>
  </si>
  <si>
    <t>Particular 
(Fracc. San Miguelito, Juarez)</t>
  </si>
  <si>
    <t>ACTIVO 
15-ABR-2024</t>
  </si>
  <si>
    <t>682 FORD FOCUS 2014 GRIS</t>
  </si>
  <si>
    <t>ACTIVO 
17-ABR-2024</t>
  </si>
  <si>
    <t>683 CHEVROLET MALIBU PLATA</t>
  </si>
  <si>
    <t>1G11A5SL5FF120090</t>
  </si>
  <si>
    <t>Particular 
(Churubusco, Monterrey)</t>
  </si>
  <si>
    <t>1:00 p.m. - Cte. Jose alejandro Sanchez Martinez  Tel. 8117000756</t>
  </si>
  <si>
    <t>KIA RIO 2018</t>
  </si>
  <si>
    <t>ACTIVO 
18-ABR-2024</t>
  </si>
  <si>
    <t xml:space="preserve">CLIENTE SE MOVIO DE DOMICILIO </t>
  </si>
  <si>
    <t xml:space="preserve">684 KIA RIO 2018 BLANCO </t>
  </si>
  <si>
    <t>685 FORD EXPLORER BLANCA</t>
  </si>
  <si>
    <t>ACTIVO 
19-ABR-2024</t>
  </si>
  <si>
    <t xml:space="preserve">Cualquier Hora - Cte. Pablo Pedroza </t>
  </si>
  <si>
    <t xml:space="preserve">686 CHRYSLER TOWN&amp;COUNTRY 2015 </t>
  </si>
  <si>
    <t>TCN-390-B / 2C4RC1BG4FR706353</t>
  </si>
  <si>
    <t>ACTIVO 
22-ABR-2024</t>
  </si>
  <si>
    <t>ACTIVO 
25-ABR-2024</t>
  </si>
  <si>
    <t>Particular 
(El Obispo, San Pedro Garza Garcia)</t>
  </si>
  <si>
    <t xml:space="preserve">6:00 p.m. - Cte. Carlos Corona Martinez  Tel. 8186837330 </t>
  </si>
  <si>
    <t>687 JEEP COMPASS 2012 PLATA</t>
  </si>
  <si>
    <t>JEEP COMPASS 2012 PLATA</t>
  </si>
  <si>
    <t>ACTIVO 
26-ABR-2024</t>
  </si>
  <si>
    <t>Particular 
(Valle de los Reyes, Guadalupe)</t>
  </si>
  <si>
    <t xml:space="preserve">688 JEEP COMPASS 2014 NEGRA </t>
  </si>
  <si>
    <t>ACTIVO 
02-MAY-2024</t>
  </si>
  <si>
    <t>Particular 
(Valle de Huinala, Apodaca)</t>
  </si>
  <si>
    <t>1:30 p.m. - Cte. Bertha Alicia Valdez Arredondo  Tel. 8119600169</t>
  </si>
  <si>
    <t>JEEP COMPASS 2014</t>
  </si>
  <si>
    <t>689 JEEP COMPASS 2014 GRIS</t>
  </si>
  <si>
    <t xml:space="preserve">CLIENTE CAMBIA LA CITA A LA 1:28 PM. - TECNICO YA SE ENCONTRABA EN EL LUGAR </t>
  </si>
  <si>
    <t>Particular 
(Santa Catarina, Fracc. Cerradas Del Valle)</t>
  </si>
  <si>
    <t xml:space="preserve">REVISION 
03-MAY-2024 </t>
  </si>
  <si>
    <t>ACTIVO 
06-MAY-2024</t>
  </si>
  <si>
    <t>Particular 
(Bellavista, Cadereyta)</t>
  </si>
  <si>
    <t>3:30 p.m. - Cte. Jackeline Martinez Zavala  Tel. 8182024679</t>
  </si>
  <si>
    <t xml:space="preserve">690 FORD FOCUS 2012 BLANCO </t>
  </si>
  <si>
    <t>TCY-620-B / 1FAHP3H27CL199739</t>
  </si>
  <si>
    <t>ACTIVO 
08-MAY-2024</t>
  </si>
  <si>
    <t>691 DODGE CALIBER 2011 ROJA</t>
  </si>
  <si>
    <t>656 VW JETTA GRIS 2014 GRIS</t>
  </si>
  <si>
    <t xml:space="preserve">Cualquier Hora - Cte. Erasmo </t>
  </si>
  <si>
    <t xml:space="preserve"> 692 SONATA AZUL 2016 </t>
  </si>
  <si>
    <t>5NPE34AF1GH346708</t>
  </si>
  <si>
    <t xml:space="preserve">EL LOTE SE ENCONTRABA CERRADO, SE LE INFORMO A SR. MARIO DEL ANGEL Y SE LES ESPERA EN SITIO 1 HRA </t>
  </si>
  <si>
    <t>ACTIVO 
15-MAY-2024</t>
  </si>
  <si>
    <t>ACTIVO 
21-MAY-2024</t>
  </si>
  <si>
    <t>693 VW JETTA 2016 ROJO</t>
  </si>
  <si>
    <t>3VWD17AJ5GM295650</t>
  </si>
  <si>
    <t>REVISION 
22-MAY-2024</t>
  </si>
  <si>
    <t>Particular 
(Real de Palmas, Zuazua)</t>
  </si>
  <si>
    <t>A partir de la 1 - Cte. Alejandro 
Contacto Erick 8180126113</t>
  </si>
  <si>
    <t>FORD LOBO BLANCA 2009</t>
  </si>
  <si>
    <t>ACTIVO 
23-MAY-2024</t>
  </si>
  <si>
    <t xml:space="preserve">694 CHEVROLET SILVERADO BLANCA </t>
  </si>
  <si>
    <t>LA UNIDAD NO SE ENCONTRABA EN EL LUGAR, SE REPROGRAMA PARA EL DIA SIGUINETE POR LA MAÑANA Y CAMBIAN LA UNIDAD</t>
  </si>
  <si>
    <t xml:space="preserve">695 DODGE CARAVAN AZUL MARINO </t>
  </si>
  <si>
    <t>Particular
(Los Viñedos Sector 1, Santa Catarina)</t>
  </si>
  <si>
    <t>BAJA 
130</t>
  </si>
  <si>
    <t>BAJA 
20-MAY-2024</t>
  </si>
  <si>
    <t xml:space="preserve">PETICION DE BAJA </t>
  </si>
  <si>
    <t>BAJA 
24-MAYO-2024</t>
  </si>
  <si>
    <t>BAJA 
147</t>
  </si>
  <si>
    <t>147 VW BORA PLATA 2009</t>
  </si>
  <si>
    <t>BAJA 
149</t>
  </si>
  <si>
    <t>BAJA 
150</t>
  </si>
  <si>
    <t>BAJA 
151</t>
  </si>
  <si>
    <t>BAJA 
152</t>
  </si>
  <si>
    <t>152 CHEVROLET MALIBU PLATA 2013</t>
  </si>
  <si>
    <t>BAJA 
153</t>
  </si>
  <si>
    <t>BAJA 
157</t>
  </si>
  <si>
    <t>BAJA 
159</t>
  </si>
  <si>
    <t>BAJA 
163</t>
  </si>
  <si>
    <t>163 MZDA CX-7 NEGRA 2009</t>
  </si>
  <si>
    <t>BAJA 
164</t>
  </si>
  <si>
    <t>BAJA 
174</t>
  </si>
  <si>
    <t>CTE. BRENDA ELIZABETH SANCHEZ CORONADO</t>
  </si>
  <si>
    <t>174 HONDA ACCORD PLATA / BRONCE 2007</t>
  </si>
  <si>
    <t>BAJA 
178</t>
  </si>
  <si>
    <t>CTE. ALEJANDRO RAMIREZ ESCARENO</t>
  </si>
  <si>
    <t>178 RANAULT KOLEOS BLANCO 2012</t>
  </si>
  <si>
    <t>BAJA 
179</t>
  </si>
  <si>
    <t>BAJA 
184</t>
  </si>
  <si>
    <t>BAJA 
187</t>
  </si>
  <si>
    <t xml:space="preserve"> CTE. MARCELO OROZCO ALVARADO</t>
  </si>
  <si>
    <t>BAJA 
219</t>
  </si>
  <si>
    <t>CTE. BRIZZEHIDEY MICHELLE MENDOZA VEGA</t>
  </si>
  <si>
    <t>187 VW JETTA ROJO 2011</t>
  </si>
  <si>
    <t>219 SEAT IBIZA GRIS 2016</t>
  </si>
  <si>
    <t>Particular 
(Miguel Aleman, Monterrey)</t>
  </si>
  <si>
    <t>11 am - Cte. Gerardo Alan Cavazos Vazquez  Tel. 8119899106</t>
  </si>
  <si>
    <t>BAJA 
215</t>
  </si>
  <si>
    <t xml:space="preserve">BAJA 
226 </t>
  </si>
  <si>
    <t>BAJA 
228</t>
  </si>
  <si>
    <t>BAJA 
241</t>
  </si>
  <si>
    <t>BAJA 
255</t>
  </si>
  <si>
    <t>BAJA 
271</t>
  </si>
  <si>
    <t>BAJA 
281</t>
  </si>
  <si>
    <t>CTE. LUIS DAVID JULIAN MALIPICA</t>
  </si>
  <si>
    <t>281 NISSAN SENTRA BLANCO 2010</t>
  </si>
  <si>
    <t>YA ESTABA DADO DE BAJA 24-OCTUBRE-2023</t>
  </si>
  <si>
    <t>ACTIVO 
28-MAY-2024</t>
  </si>
  <si>
    <t>696 MAZDA 6 2014 BLANCA</t>
  </si>
  <si>
    <t>JM1GJ1V36E1129754</t>
  </si>
  <si>
    <t xml:space="preserve">Cualquier Hora - Cte. Reyna </t>
  </si>
  <si>
    <t>JEEP CHEROKEE 2011</t>
  </si>
  <si>
    <t>697 JEEP CHEROKEE 2011 NEGRA</t>
  </si>
  <si>
    <t>UNIDAD NO SE ENCONTRABA EN EL LOTE, SE COMUNICAN CON EL CLIENTE PARA QUE LLEVE LA UNIDAD</t>
  </si>
  <si>
    <t>ACTIVO 
29-MAY-2024</t>
  </si>
  <si>
    <t>ACTIVO 
30-MAY-2024</t>
  </si>
  <si>
    <t>Cualquier Cosa - Cte. Julio Cruz 
Tel. 8136191211</t>
  </si>
  <si>
    <t>BAJA
298</t>
  </si>
  <si>
    <t>BAJA 
306</t>
  </si>
  <si>
    <t>BAJA 
317</t>
  </si>
  <si>
    <t>317 CHEVROLET CAPTIVA PLATA / BEIGE 2014</t>
  </si>
  <si>
    <t>BAJA 
328</t>
  </si>
  <si>
    <t>698 DODGE JOURNEY 2015 BLANCA</t>
  </si>
  <si>
    <t>3C4PDCBG4GT145926</t>
  </si>
  <si>
    <t>ACTIVO 
31-MAY-2024</t>
  </si>
  <si>
    <t>Particular 
(Centro de Gral Zuazua, Zuazua)</t>
  </si>
  <si>
    <t>699 MITSUBISHI LANCER 2011 GUINDO</t>
  </si>
  <si>
    <t>CTE. CLAUDIA RAQUEL CONTRERAS RAMIREZ</t>
  </si>
  <si>
    <t>BAJA 
350</t>
  </si>
  <si>
    <t>350 JEEP PATRIOT GUINDA 2014</t>
  </si>
  <si>
    <t>BAJA 
407</t>
  </si>
  <si>
    <t xml:space="preserve">1:30 pm - Cte. </t>
  </si>
  <si>
    <t xml:space="preserve">1:00 pm - Cte. </t>
  </si>
  <si>
    <t>0 FORD EDGE VERDE</t>
  </si>
  <si>
    <t>EQUIPO GPS NO ESTABA ACTIVO Y NO ESTABA FUNCIONADO, SE DESECHA</t>
  </si>
  <si>
    <t xml:space="preserve">700 FORD EDGE VERDE </t>
  </si>
  <si>
    <t>SZM-430-A / 1FMCU9GX2DUB07800</t>
  </si>
  <si>
    <t>BAJA 
410</t>
  </si>
  <si>
    <t>410 CHEVROLET SONIC AZUL 2016</t>
  </si>
  <si>
    <t>BAJA 
426</t>
  </si>
  <si>
    <t>Particular 
(Centro de Guadalupe, Guadalupe)</t>
  </si>
  <si>
    <t>Particular 
(Villa Regina, Pesquería)</t>
  </si>
  <si>
    <t>702 HONDA CIVIC 2009 GRIS</t>
  </si>
  <si>
    <t>ACTIVO 
05-JUNIO-2024</t>
  </si>
  <si>
    <t>703 DODGE CHARGER 2009</t>
  </si>
  <si>
    <t>Particular 
(Capellania, García)</t>
  </si>
  <si>
    <t xml:space="preserve">NO SE REALIZO LA INSTALACION, EL SR. MISAEL NOS COMENTO QUE HUBO UN CAMBIO DE UNIDAD, SE REVISO Y YA CONTABA CON GPS </t>
  </si>
  <si>
    <t xml:space="preserve">704 DODGE CHARGER 2009 PLATA </t>
  </si>
  <si>
    <t>ACTIVO 
06-JUNIO-2024</t>
  </si>
  <si>
    <t>BAJA 
428</t>
  </si>
  <si>
    <t>BAJA 
436</t>
  </si>
  <si>
    <t>BAJA 
437</t>
  </si>
  <si>
    <t>Cte. Alana Desiree Cedillo Beltran</t>
  </si>
  <si>
    <t>437 VW JETTA NEGRO 2011</t>
  </si>
  <si>
    <t>BAJA 
458</t>
  </si>
  <si>
    <t xml:space="preserve">Cte. Zaira Yazmin Perez Perales </t>
  </si>
  <si>
    <t>458 CHEVROLET SILVERADO BLANCA 2011</t>
  </si>
  <si>
    <t>BAJA 
459</t>
  </si>
  <si>
    <t>BAJA 
465</t>
  </si>
  <si>
    <t>BAJA 
478</t>
  </si>
  <si>
    <t xml:space="preserve">Cte. Juan Manuel Martinez Sanchez </t>
  </si>
  <si>
    <t>478 CHEVROLET OPTRA BLANCO 2013</t>
  </si>
  <si>
    <t>BAJA 
500</t>
  </si>
  <si>
    <t>BAJA 
575</t>
  </si>
  <si>
    <t>BAJA 
609</t>
  </si>
  <si>
    <t>Cte. Noe Garcia Valdez</t>
  </si>
  <si>
    <t>609 HONDA CRV PLATA 2013</t>
  </si>
  <si>
    <t xml:space="preserve">Cte. Mario Gerardo Rodriguez Alvarado </t>
  </si>
  <si>
    <t>PETICION DE BAJA SIN RETIRO DE EQUIPO 
24-OCT-2023</t>
  </si>
  <si>
    <t>ACTIVO 
07-JUNIO-2024</t>
  </si>
  <si>
    <t>Particular 
(Centro, Monterrey)</t>
  </si>
  <si>
    <t>4:00 p.m. - Cte. Armando Mata Gallardo Tel. 8120782484</t>
  </si>
  <si>
    <t>705 GMC TERRAIN 2015 NEGRA</t>
  </si>
  <si>
    <t>2GKFLVEK4F6343164 / TDH-517-B</t>
  </si>
  <si>
    <t>ACTIVO 
08-JUNIO-2024</t>
  </si>
  <si>
    <t>11:00 am - Cte. Alberto Flores Rea  Tel. 8131150163</t>
  </si>
  <si>
    <t>706 FORD EDGE 2013</t>
  </si>
  <si>
    <t xml:space="preserve">ESTE GPS ESTA ASIGNADO EN OTRA CUENTA </t>
  </si>
  <si>
    <t xml:space="preserve">FERNANDO NAVARRO LOERA </t>
  </si>
  <si>
    <t>Cte. Ivan Alejandro Lozano Garza  Tel. 8131356618</t>
  </si>
  <si>
    <t>4:00 p.m. - Cte. Noe García Valdez</t>
  </si>
  <si>
    <t>TDV-295-B / 2FMDK3JC9DBA81392</t>
  </si>
  <si>
    <t>Particular 
(El Barro, Monterrey)</t>
  </si>
  <si>
    <t>Particular 
(La Noria, Apodaca)</t>
  </si>
  <si>
    <t>BAJA 
12-JUN-2024</t>
  </si>
  <si>
    <t>196 CHEVROLET CAMARO 2011 BLANCO</t>
  </si>
  <si>
    <t>RE-INSTALADO 
12-JUN-2024</t>
  </si>
  <si>
    <t>ACTIVO 
12-JUN-2024</t>
  </si>
  <si>
    <t>707 NISSAN VERSA 2014 ARENA</t>
  </si>
  <si>
    <t xml:space="preserve">SUY-459-B </t>
  </si>
  <si>
    <t>ACTIVO 
13-JUN-2024</t>
  </si>
  <si>
    <t>ACTIVO 
14-JUN-2024</t>
  </si>
  <si>
    <t>708 MITSUBISHI LANCEN 2009</t>
  </si>
  <si>
    <t>Cualquier Hora - Cte. Rolando 
Contacto 81361912</t>
  </si>
  <si>
    <t>SXY-484-B</t>
  </si>
  <si>
    <t>709 FORD FUSION ROJO</t>
  </si>
  <si>
    <t>710 HYUNDAI SONATA 2016 GRIS</t>
  </si>
  <si>
    <t>5NPE34AF4FH125697</t>
  </si>
  <si>
    <t>3FA6P0K94GR264520</t>
  </si>
  <si>
    <t>Cte. Jose Luis Esteva Marquez  
Tel. 8116400990</t>
  </si>
  <si>
    <t>389 CHEVROLET CAPTIVA AZUL 2013</t>
  </si>
  <si>
    <t>BAJA 
22-JUN-2024</t>
  </si>
  <si>
    <t>ACTIVO 
24-JUN-2024</t>
  </si>
  <si>
    <t xml:space="preserve">711 VW JETTA 2015 PLATA </t>
  </si>
  <si>
    <t>1:00 p.m. - Cte. Angel Michel Torres Martinez Tel. 8127677059</t>
  </si>
  <si>
    <t>3VW2K7AJ7M347931 / TEF-547-B</t>
  </si>
  <si>
    <t>BAJA
710</t>
  </si>
  <si>
    <t>EQUIPO BAJO RESGUARDO UBITEC
24-JUNIO-2024 REUTILIZADO ALENY</t>
  </si>
  <si>
    <t>Particular 
(Hacienda del Moro, Apodaca)</t>
  </si>
  <si>
    <t>Particular 
(Misión Santa Fe, Guadalupe)</t>
  </si>
  <si>
    <t>10:30 am - Cte. MA. DE LOS ANGELES PEREZ CRUZ  Tel. 8110814302</t>
  </si>
  <si>
    <t>JEEP COMPASS 2013</t>
  </si>
  <si>
    <t>ACTIVO 
28-JUN-2024</t>
  </si>
  <si>
    <t>712 TOWN&amp;COUNTRY ROJA</t>
  </si>
  <si>
    <t>2C4RC1BG9GR229551</t>
  </si>
  <si>
    <t>713 SEAT IBIZA AZUL</t>
  </si>
  <si>
    <t>8952020923443010-395</t>
  </si>
  <si>
    <t>TECNICO ACUDE A INSTALACION Y LA SRTA. ANGELES PEREZ, COMENTA QUE VA A REAGENDAR EL GPS Y DEVOLVERA LA CAMIONETA</t>
  </si>
  <si>
    <t>ACTIVO 
05-JUL-2024</t>
  </si>
  <si>
    <t>Cualquier Hora - Cte. Luciano / contacto 8136191211</t>
  </si>
  <si>
    <t>SONATA AZUL</t>
  </si>
  <si>
    <t>CLIENTE NO CONTESTA SE CONSUKTA CON EL SR. DEL ANGEL Y SE REAGENDA</t>
  </si>
  <si>
    <t>Particular 
(Morelos, Monterrey)</t>
  </si>
  <si>
    <t>Cte. Gerardo Daniel Camarillo Pena  Tel. 8110383262</t>
  </si>
  <si>
    <t>714 MITSUBISHI OUTLANDER PLATA</t>
  </si>
  <si>
    <t>RRB-475-B / JE4LS21W0AZ004459</t>
  </si>
  <si>
    <t>BAJA 
08-JUL-2024</t>
  </si>
  <si>
    <t>Particular 
(Los Ebanos, Apodaca)</t>
  </si>
  <si>
    <t>3:00 pm - Cte. Saul Perez Hernandez 
Tel. 8121567222</t>
  </si>
  <si>
    <t>188 DODGE JOURNEY NEGRA</t>
  </si>
  <si>
    <t>BAJA
188</t>
  </si>
  <si>
    <t>ACTIVO 
08-JUL-2024</t>
  </si>
  <si>
    <t>Lote G3 Motors 
(Centro de Guadalupe, Gpe)</t>
  </si>
  <si>
    <t>715 JEEP WRANGLER 2008 VERDE</t>
  </si>
  <si>
    <t>1J4GA591X8L507609</t>
  </si>
  <si>
    <t>Particular 
(Villas del Rio, Guadalupe)</t>
  </si>
  <si>
    <t xml:space="preserve">PK-0295-B </t>
  </si>
  <si>
    <t xml:space="preserve">716 NISSAN NP 2013 BLANCO </t>
  </si>
  <si>
    <t>ACTIVO 
09-JUL-2024</t>
  </si>
  <si>
    <t xml:space="preserve">717 HYUNDAI SANTA FE GRIS </t>
  </si>
  <si>
    <t>5XYZW4LA8GG318938</t>
  </si>
  <si>
    <t>ACTIVO 
10-JUL-2024</t>
  </si>
  <si>
    <t>1FADP321L285683</t>
  </si>
  <si>
    <t>719 HYUNDAI SONATA NEGRA 2015</t>
  </si>
  <si>
    <t>5NPE34A4FH039919</t>
  </si>
  <si>
    <t>ACTIVO 
11-JUL-2024</t>
  </si>
  <si>
    <t>Cualquier Hora - Cte. Fracisco Daniel / Contacto Tel. 8136191211</t>
  </si>
  <si>
    <t>REVISION 
18-JUL-2024</t>
  </si>
  <si>
    <t>UNIDAD NO ENCIENDE, SE RELIZAN PRUEBAS SIN GPS Y PERSISTE LA FALLA, SE DESINSTALA EQUIPO</t>
  </si>
  <si>
    <t>BAJA 
18-JULIO-2024</t>
  </si>
  <si>
    <t>BAJA 
716</t>
  </si>
  <si>
    <t xml:space="preserve"> NOS COMUNICAMOS CON EL PERSONAL DEL LOTE Y NOS SOLICITARON CANCELAR LA CITA YA QUE A LA UNIDAD SE LE HIZO UN CAMBIO DE BOMBA DE GASOLINA </t>
  </si>
  <si>
    <t>ACTIVO 
19-JUL-2024</t>
  </si>
  <si>
    <t xml:space="preserve">721 FORD FUSION 2015 AZUL METALICO </t>
  </si>
  <si>
    <t>722 VW PASSAT ARENA</t>
  </si>
  <si>
    <t>ACTIVO 
22-JUL-2024</t>
  </si>
  <si>
    <t>Particular 
(Santa Cecilia, Apodaca)</t>
  </si>
  <si>
    <t xml:space="preserve">723 TOYOTA CAMRY 2010 PLATA </t>
  </si>
  <si>
    <t>ACTIVO 
25-JUL-2024</t>
  </si>
  <si>
    <t>724 SEAT IBIZA 2015 ROJO</t>
  </si>
  <si>
    <t>ACTIVO 
26-JUL-2024</t>
  </si>
  <si>
    <t>Particular 
(Control Vehicular - Citadel)</t>
  </si>
  <si>
    <t>Particular 
(Parque Rio La Silla, Guadalupe)
(Niño Artillero, Monterrey)</t>
  </si>
  <si>
    <t>725 MITSUBISHI LANCER NEGRO</t>
  </si>
  <si>
    <t>TEH-560-B</t>
  </si>
  <si>
    <t>ACTIVO 
29-JUL-2024</t>
  </si>
  <si>
    <t>5:30 pm - Cte. Ramiro Alonso</t>
  </si>
  <si>
    <t>726 CHEVROLET EQUINOX 2012</t>
  </si>
  <si>
    <t>2GNALBEKXE1141212</t>
  </si>
  <si>
    <t>ACTIVO 
31-JUL-2024</t>
  </si>
  <si>
    <t>727 FORD ESCAPE 2015 NEGRA</t>
  </si>
  <si>
    <t>1FMCU0G98GUB89887</t>
  </si>
  <si>
    <t>ACTIVO 
02-AGO-2024</t>
  </si>
  <si>
    <t xml:space="preserve">728 HONDA CIVIC NEGRO </t>
  </si>
  <si>
    <t>2HGFB2E59FH513791</t>
  </si>
  <si>
    <t>BAJA
02-AGO-2024</t>
  </si>
  <si>
    <t>DES-INSTALACION Y RE-INSTALACION UNIDAD 729</t>
  </si>
  <si>
    <t>BAJA 
02-AGO-2024</t>
  </si>
  <si>
    <t xml:space="preserve">EDGAR CORONADO CUBRIRA COSTO DE SERVICIOS </t>
  </si>
  <si>
    <t>Particular 
(Pradeas de Girasoles, Escobedo)</t>
  </si>
  <si>
    <t>SXF-627-A / SRE-51-30 / 1YVHZ8CB3D5M00111</t>
  </si>
  <si>
    <t>BAJA 
05-AGO-2024</t>
  </si>
  <si>
    <t>BAJA 
197</t>
  </si>
  <si>
    <t>ACTIVO 
06-AGO-2024</t>
  </si>
  <si>
    <t>EQUIPO BAJO RESGUARDO DE UBITEC No. 197
06-AGO-2024 RE-INSTALADO No. 729</t>
  </si>
  <si>
    <t>729 FORD FOCUS 2015 NEGRO</t>
  </si>
  <si>
    <t>ACTIVO 
09-AGO-2024</t>
  </si>
  <si>
    <t>730 CHRYSLER TOWN&amp;COUNTRY NEGRA</t>
  </si>
  <si>
    <t>2C4RC1BG9FR582502</t>
  </si>
  <si>
    <t>ACTIVO 
12-AGO-2024</t>
  </si>
  <si>
    <t>731 HONDA CIVIC 2010 GRIS</t>
  </si>
  <si>
    <t>ACTIVO 
13-AGO-2024</t>
  </si>
  <si>
    <t>Particular 
(Mitras Poniente, Garcia)</t>
  </si>
  <si>
    <t>Particulra 
(Mitras Poniente, García9</t>
  </si>
  <si>
    <t xml:space="preserve">732 FORD FOCUS 2016 GRIS </t>
  </si>
  <si>
    <t xml:space="preserve">CHEVROLET SONIC 2016 </t>
  </si>
  <si>
    <t>9:00 am - Cte. Irving Omar Tel. 8182533514</t>
  </si>
  <si>
    <t>1FADP3N27GL330466</t>
  </si>
  <si>
    <t>ACTIVO 
14-AGO-2024</t>
  </si>
  <si>
    <t>733 KIA SPORTAGE BLANCA</t>
  </si>
  <si>
    <t>ACTIVO 
16-AGO-2024</t>
  </si>
  <si>
    <t>734 VW JETTA BLANCO 2016</t>
  </si>
  <si>
    <t>Lote Concordia 
(Bosque Real, Apodaca)</t>
  </si>
  <si>
    <t xml:space="preserve">1:00 pm -  Cte. </t>
  </si>
  <si>
    <t>SKR-349-B / 3VW2W1AJ0GM330648</t>
  </si>
  <si>
    <t>Particular 
(Bosques Real I, Apodaca)</t>
  </si>
  <si>
    <t>REVISION 
19-AGOSTO-2024</t>
  </si>
  <si>
    <t>UNIDAD NO CUENTA CON GPS</t>
  </si>
  <si>
    <t>ACTIVO 
19-AGO-2024</t>
  </si>
  <si>
    <t>Particular 
(Villas de Santa Rosa, Apodaca)</t>
  </si>
  <si>
    <t>736 TOYOTA COROLLA 2010 PLATA</t>
  </si>
  <si>
    <t>Cualquier Horario - Cte. Maria Elisabeth Fernandez  8123886850 / Srta. Blanca Tel.  8136191211</t>
  </si>
  <si>
    <t>737 DODGE JOURNEY 2016 NEGRA</t>
  </si>
  <si>
    <t>3C4PDCGG7GT185331</t>
  </si>
  <si>
    <t>5NPDH4AE5FH574519</t>
  </si>
  <si>
    <t xml:space="preserve">HYUNDAI ELANTRA NEGRO </t>
  </si>
  <si>
    <t>VW seat 2016</t>
  </si>
  <si>
    <t>Particular 
(Metroplex, Apodaca)</t>
  </si>
  <si>
    <t>Cte. Argelia Natali Del Angel  Tel. 8134032943</t>
  </si>
  <si>
    <t>CLIENTE NO SE ENCONTRABA EN EL DOMICILIO Y COMENTA QUE LLEGARIA MAS TARDE Y NOS AVISARIA, YA NO SE REPORTO</t>
  </si>
  <si>
    <t>ACTIVO 
26-AGO-2024</t>
  </si>
  <si>
    <t>Avisar antes de ir - Cte. Gabriel Moreno Tel. 8123886850</t>
  </si>
  <si>
    <t>738 HYUNDAI SONATA ROJA (08719)</t>
  </si>
  <si>
    <t>U6YPC3AA0GL788792</t>
  </si>
  <si>
    <t>5NPE34AF3GH308719</t>
  </si>
  <si>
    <t>739 CHEVROLET EQUINOX 2015 NEGRA</t>
  </si>
  <si>
    <t>TDE-053-B / 2GNALAEK3F6113542</t>
  </si>
  <si>
    <t>Avisar antes de ir - Cte. Karina Gzz /  Contacto Tel. 8180126113</t>
  </si>
  <si>
    <t>REVISION 
28-AGO-2024</t>
  </si>
  <si>
    <t xml:space="preserve">NO APLIACABA EL BLOQUEO 
SE CAMBIA EL RELAY Y SE APLICA BLOQUO POR MENSAJES DE TEXTO </t>
  </si>
  <si>
    <t>ACTIVO 
28-AGO-2024</t>
  </si>
  <si>
    <t>Aurora Banda</t>
  </si>
  <si>
    <t>4:00 pm - Cte. Liliana Rosales Tel. 8127007667</t>
  </si>
  <si>
    <t>740 NISSAN VERSA 2016 GRIS</t>
  </si>
  <si>
    <t>TFR-396-B / 3N1CN7APXGL878103</t>
  </si>
  <si>
    <t>BAJA 
299</t>
  </si>
  <si>
    <t>BAJA 
15-AGO-2024</t>
  </si>
  <si>
    <t>BAJA 
0014</t>
  </si>
  <si>
    <t>YA ESTABA DADO DE BAJA 24-MAYO-2024</t>
  </si>
  <si>
    <t>BAJA 
139</t>
  </si>
  <si>
    <t xml:space="preserve"> BAJA 
15-AGO-2024</t>
  </si>
  <si>
    <t>YA ESTABA DADO DE BAJA 20-MAYO-2024</t>
  </si>
  <si>
    <t>BAJA 
148</t>
  </si>
  <si>
    <t>CTE. JONATHAN ALFONSO VAZQUEZ ALEJO TEL. 8121964504</t>
  </si>
  <si>
    <t>BAJA 
166</t>
  </si>
  <si>
    <t>CTE. EDUARDO JAVIER ALVAREZ ORTEGON / CTE. SILVIA PATRICIA PUGA HERNANDEZ</t>
  </si>
  <si>
    <t>BAJA 
185</t>
  </si>
  <si>
    <t>185 VW BORA ROJO 2009</t>
  </si>
  <si>
    <t>BAJA 
186</t>
  </si>
  <si>
    <t>186 CHEVROLET AVEO PLATA 2018</t>
  </si>
  <si>
    <t>BAJA 
188</t>
  </si>
  <si>
    <t>BAJA 
196</t>
  </si>
  <si>
    <t>BAJA 
198</t>
  </si>
  <si>
    <t>BAJA 
199</t>
  </si>
  <si>
    <t>199 VW JETTA PLATA 2010</t>
  </si>
  <si>
    <t>BAJA 
200</t>
  </si>
  <si>
    <t>BAJA
201</t>
  </si>
  <si>
    <t>BAJA 
202</t>
  </si>
  <si>
    <t>BAJA 
204</t>
  </si>
  <si>
    <t>BAJA 
205</t>
  </si>
  <si>
    <t>BAJA 
207</t>
  </si>
  <si>
    <t>BAJA 
221</t>
  </si>
  <si>
    <t>BAJA 
250</t>
  </si>
  <si>
    <t>BAJA 
260</t>
  </si>
  <si>
    <t xml:space="preserve">PEDIR REVISION DE BAJA, UNIDAD NO COINCIDE </t>
  </si>
  <si>
    <t>BAJA 
285</t>
  </si>
  <si>
    <t>285 VW JETTA NEGRO 2015</t>
  </si>
  <si>
    <t>BAJA 
297</t>
  </si>
  <si>
    <t>Cte. Ernesto Martinez Melendez</t>
  </si>
  <si>
    <t>297 CHRYSLER TOWN&amp;COUNTRY VINO 2013 (ROJA)</t>
  </si>
  <si>
    <t>BAJA 
298</t>
  </si>
  <si>
    <t>BAJA 
320</t>
  </si>
  <si>
    <t>BAJA 
321</t>
  </si>
  <si>
    <t xml:space="preserve">Cte. Ivan Santiago Ruiz Padilla </t>
  </si>
  <si>
    <t>321 CHEVROLET CRUZE GRIS 2011</t>
  </si>
  <si>
    <t>BAJA 
327</t>
  </si>
  <si>
    <t>BAJA 
331</t>
  </si>
  <si>
    <t>SXV-793-B / STP-71-97 / 3VWJW11K4AM041560</t>
  </si>
  <si>
    <t>BAJA 
370</t>
  </si>
  <si>
    <t>BAJA 
374</t>
  </si>
  <si>
    <t>BAJA 
377</t>
  </si>
  <si>
    <t xml:space="preserve">Cte. Luis Eduardo Gonzalez Vazquez </t>
  </si>
  <si>
    <t>TDT-919-A / 2GKALSEKXE6185582 / 
SBB-757-B</t>
  </si>
  <si>
    <t>BAJA 
392</t>
  </si>
  <si>
    <t>BAJA 
403</t>
  </si>
  <si>
    <t>Cte. Sergio Aaron Rangel Bracho</t>
  </si>
  <si>
    <t>403 CHEVROLET SONIC GRIS 2013 (AZUL)</t>
  </si>
  <si>
    <t>BAJA 
409</t>
  </si>
  <si>
    <t>Cte. Nash Arath Gomez Gonzalez 
Tel. 8129258631</t>
  </si>
  <si>
    <t>YA ESTABA DADO DE BAJA 24-OCT-2023</t>
  </si>
  <si>
    <t>BAJA 
416</t>
  </si>
  <si>
    <t>BAJA 
417</t>
  </si>
  <si>
    <t>BAJA 
433</t>
  </si>
  <si>
    <t>BAJA 
450</t>
  </si>
  <si>
    <t xml:space="preserve">Cte. Georgelia Elizabeth Carmona Cobos </t>
  </si>
  <si>
    <t>450 VW BEATLEE ROJO 2012</t>
  </si>
  <si>
    <t>BAJA 
452</t>
  </si>
  <si>
    <t>BAJA 
469</t>
  </si>
  <si>
    <t>BAJA 
470</t>
  </si>
  <si>
    <t>BAJA 
496</t>
  </si>
  <si>
    <t>BAJA 
529</t>
  </si>
  <si>
    <t>Cte. Gergorio Beltran Lopez</t>
  </si>
  <si>
    <t>BAJA 
553</t>
  </si>
  <si>
    <t>Cte. Saul Guadalupe Ruiz Villegas Tel. 8115656397</t>
  </si>
  <si>
    <t>BAJA 
561</t>
  </si>
  <si>
    <t>BAJA 
571</t>
  </si>
  <si>
    <t xml:space="preserve">Cte. Damaris Nallely Bujanos Rodriguez </t>
  </si>
  <si>
    <t>BAJA 
584</t>
  </si>
  <si>
    <t>Cte. Bladimir Santiago del Angel</t>
  </si>
  <si>
    <t>BAJA 
606</t>
  </si>
  <si>
    <t>Cte. Arturo Zambrano Zuniga</t>
  </si>
  <si>
    <t xml:space="preserve">6:00 p.m. - Cte. Arturo Zambrano Zuniga </t>
  </si>
  <si>
    <t>BAJA 
631</t>
  </si>
  <si>
    <t>BAJA 
638</t>
  </si>
  <si>
    <t>BAJA 
640</t>
  </si>
  <si>
    <t>BAJA 
718</t>
  </si>
  <si>
    <t xml:space="preserve">Cte. Jorge Eduardo Esquivel Bocanegra </t>
  </si>
  <si>
    <t xml:space="preserve">Cte. Alan Roberto Quilantan Montes </t>
  </si>
  <si>
    <t>638 FORD EXPLORER GRIS 2016</t>
  </si>
  <si>
    <t xml:space="preserve">10:00 a.m. - Cte. Alan Roberto Quilantan Montes </t>
  </si>
  <si>
    <t>Cualquier hora / Cte. Hernan Jesus Castorena Torres</t>
  </si>
  <si>
    <t>Cte. Hernan Jesus Castorena Torres</t>
  </si>
  <si>
    <t>Cualquier Hora - Cte. Carlos Guadalupe Jimenez Rodriguez Tel. 8136191211</t>
  </si>
  <si>
    <t>Cte. Carlos Guadalupe Jimenez Rodriguez</t>
  </si>
  <si>
    <t>718 FORD FOCUS ROJO 2015</t>
  </si>
  <si>
    <t>741 DODGE GRAND CARAVAN 2016 GRIS</t>
  </si>
  <si>
    <t>2C4RDGBG3FR557868</t>
  </si>
  <si>
    <t>ACTIVO 
04-AGO-2024</t>
  </si>
  <si>
    <t>Avisar antes - Cte. Jesus Gonzalez / Tel. 8123357734 Yadira</t>
  </si>
  <si>
    <t xml:space="preserve">742 BUICK ENCLAVE 2014 NEGRO </t>
  </si>
  <si>
    <t>ACTIVO 
07-SEP-2024</t>
  </si>
  <si>
    <t xml:space="preserve">743 FORD FUSION 2010 ROJO </t>
  </si>
  <si>
    <t>RPH-243-B / 3FAHP0GA3AR398664</t>
  </si>
  <si>
    <t>Particular 
(Pedregal de Linda Vista, Guadalupe)</t>
  </si>
  <si>
    <t>Cte. Maria Fernanda Salazar 
Contacto Dirigirse con Multiservicios Aircool mty / Moises Sepulveda Tel. 8126935220</t>
  </si>
  <si>
    <t>ACTIVO 
09-SEP-2024</t>
  </si>
  <si>
    <t>Particular 
(Guadalupe)</t>
  </si>
  <si>
    <t>744 DODGE RAM 400 2011 BLANCO</t>
  </si>
  <si>
    <t>ACTIVO 
11-SEP-2024</t>
  </si>
  <si>
    <t xml:space="preserve">745 TOYOTA YARIS 2014 PLATA </t>
  </si>
  <si>
    <t>Particular 
(Monte Alban III, Apodaca)</t>
  </si>
  <si>
    <t>5:00 pm - Cte. LITZY VALERIA CASTILLO RAMIREZ Tel. 8119809372</t>
  </si>
  <si>
    <t>SCV-292-B / JTDBT9K35E1429213</t>
  </si>
  <si>
    <t>ACTIVO 
17-SEP-2024</t>
  </si>
  <si>
    <t>746 CHEVROLET EQUINOX NEGRO</t>
  </si>
  <si>
    <t>ACTIVO 
18-SEP-2024</t>
  </si>
  <si>
    <t>747 VW BORA 2010 ROJO</t>
  </si>
  <si>
    <t>ACTIVO 
21-SEP-2024</t>
  </si>
  <si>
    <t xml:space="preserve">748 GMC TERRAIN 2014 PLATA </t>
  </si>
  <si>
    <t>Cte. Ivan De Jesus Luna Garcia  Tel. 8123390459</t>
  </si>
  <si>
    <t>Particular 
(Nueva Esperanza, Escobedo)</t>
  </si>
  <si>
    <t>Maria Zolia</t>
  </si>
  <si>
    <t>Particular 
(Virginia Tafich, Santa Catarina)</t>
  </si>
  <si>
    <t>ACTIVO 
23-SEP-2024</t>
  </si>
  <si>
    <t>749 CHEVROLET EQUINOX GRIS OXFORD</t>
  </si>
  <si>
    <t>SLX-34-17</t>
  </si>
  <si>
    <t>1GNALBEK6FZ116915</t>
  </si>
  <si>
    <t>ACTIVO 
25-SEP-2024</t>
  </si>
  <si>
    <t xml:space="preserve">Avisar antes de ir - Cte. Luis Mireles / Contacto Tel. 8123886850 </t>
  </si>
  <si>
    <t xml:space="preserve">750 DODGE JOURNEY BLANCA </t>
  </si>
  <si>
    <t xml:space="preserve">Avisar antes de ir - Cte. Francisco Javier / Contacto Tel. 8123886850 </t>
  </si>
  <si>
    <t>751 CHEVROLET MALIBU DORADO</t>
  </si>
  <si>
    <t>3C4PDCAB6FT630427</t>
  </si>
  <si>
    <t>1G1ZE5ST3GF321351</t>
  </si>
  <si>
    <t xml:space="preserve">752 MAZDA 2 GRIS OXFORD </t>
  </si>
  <si>
    <t>3MDDJBSV4RM516197</t>
  </si>
  <si>
    <t>ACTIVO 
28-SEP-2024</t>
  </si>
  <si>
    <t>753 HONDA CIVIC 2010 ARENA</t>
  </si>
  <si>
    <t>ACTIVO 
30-SEP-2024</t>
  </si>
  <si>
    <t>Contador Pedro Hinojosa Tel. 8117915814 / Cte. Mario del Angel</t>
  </si>
  <si>
    <t>1 pm En adelante  / Cte. Omar Alejandro Jimenez Tovar Tel. 8125921421</t>
  </si>
  <si>
    <t>Particular 
(La Nogalera, San Nicolas)</t>
  </si>
  <si>
    <t>CHEVROLET MALIBU 2016</t>
  </si>
  <si>
    <t>ECONOLINE 2011</t>
  </si>
  <si>
    <t xml:space="preserve">CAMBIO DE EQUIPO, SE ENCONTRABA APAGADO Y NO SE PUDO ENCENDER </t>
  </si>
  <si>
    <t>CAMBIO DE EQUIPO 
30-SEPTIEMBRE-2024</t>
  </si>
  <si>
    <t xml:space="preserve">EQUIPO TELTONIKA ESTABA APAGADO, YA NO ENCIENDE </t>
  </si>
  <si>
    <t xml:space="preserve">ESTA UNIDAD NO LA PUEDE VER NADIE MAS QUE SRTA. AURORA BANDA </t>
  </si>
  <si>
    <t>754 VW JETTA 2016 BLANCO</t>
  </si>
  <si>
    <t>Particular 
(Terminal, Monterrey)</t>
  </si>
  <si>
    <t>12 pm - Cte. Daniel Reta / Contacto Hector 8119907146</t>
  </si>
  <si>
    <t>755 CHEVROLET SILVERADO 3500 2005 BLANCO</t>
  </si>
  <si>
    <t>3GBJC34R43M102722</t>
  </si>
  <si>
    <t>REVISION 
05-OCT-2024</t>
  </si>
  <si>
    <t>ACTIVO 
08-OCT-2024</t>
  </si>
  <si>
    <t>4:30 pm - Cte. MELANY LYZBETH VALADEZ SADA - Contacto Gina Tel. 8123886850</t>
  </si>
  <si>
    <t>4:30 pm - Cte. José del Rosario  - Contacto Gina Tel. 8123886850</t>
  </si>
  <si>
    <t>756 KIA ELANTRA AZUL 2016</t>
  </si>
  <si>
    <t>5NPDH4AE5GH762653</t>
  </si>
  <si>
    <t>757 FORD FOCUS GRIS 2016 (PLATA)</t>
  </si>
  <si>
    <t>ACTIVO 
10-OCT-2024</t>
  </si>
  <si>
    <t>758 HYUNDAI ELANTRA 2016 GRIS</t>
  </si>
  <si>
    <t>5NPDH4AE4GH783476</t>
  </si>
  <si>
    <t>BAJA 
755</t>
  </si>
  <si>
    <t>BAJA 
16-OCT-2024</t>
  </si>
  <si>
    <t>BAJA
755</t>
  </si>
  <si>
    <t>Particular 
(Cantú, Monterrey)</t>
  </si>
  <si>
    <t xml:space="preserve">755 CHEVROLET SILVERADO 3500 2005 BLANCO </t>
  </si>
  <si>
    <t xml:space="preserve">EQUIPO BAJO RESGUARDO DE UBITEC </t>
  </si>
  <si>
    <t>ACTIVO 
17-OCT-2024</t>
  </si>
  <si>
    <t>Particular 
(Hacienda la Silla, Guadalupe)</t>
  </si>
  <si>
    <t>759 CHEVROLET SPARK VERDE</t>
  </si>
  <si>
    <t>ACTIVO 
21-OCT-2024</t>
  </si>
  <si>
    <t>Particular 
(Las Margaritas, Apodaca)</t>
  </si>
  <si>
    <t>761 FORD FOCUS 2016 ROJO</t>
  </si>
  <si>
    <t>RKN-183-C / 1FADP3F29GL237978</t>
  </si>
  <si>
    <t>ACTIVO 
25-OCT-2024</t>
  </si>
  <si>
    <t xml:space="preserve">762 DODGE CHALLENGER 2015 AZUL </t>
  </si>
  <si>
    <t xml:space="preserve">2C3CDZAT8FH877973 </t>
  </si>
  <si>
    <t>ACTIVO 
05-NOV-2024</t>
  </si>
  <si>
    <t>Pabellon Ciudadano</t>
  </si>
  <si>
    <t xml:space="preserve">763 CHRYSLER TOWN&amp;COUNTRY NEGRO </t>
  </si>
  <si>
    <t>ACTIVO 
08-NOV-2024</t>
  </si>
  <si>
    <t>Particular 
(V illa Azul, Garcia)</t>
  </si>
  <si>
    <t>764 FORD F350 2009</t>
  </si>
  <si>
    <t xml:space="preserve">765 GMC TERRAIN 2016 GRIS OBSCURO </t>
  </si>
  <si>
    <t>ACTIVO 
12-NOV-2024</t>
  </si>
  <si>
    <t>766 CHEVROLET CAMARO 2015 ROJO</t>
  </si>
  <si>
    <t xml:space="preserve">767 VW JETTA 2016 PLATA </t>
  </si>
  <si>
    <t>3VW267AJ7GM209828</t>
  </si>
  <si>
    <t>ACTIVO 
15-NOV-2024</t>
  </si>
  <si>
    <t>Cualquier horario, avisar antes - Cte. Julio Alonso / 
Contacto 8123886850</t>
  </si>
  <si>
    <t xml:space="preserve">768 HYUNDAI ELANTRA 2017 GRIS </t>
  </si>
  <si>
    <t>5NPD74LF9HH126005</t>
  </si>
  <si>
    <t>Optima 2017 serie 77252</t>
  </si>
  <si>
    <t xml:space="preserve">NO SE ENCONTRABA LA UNIDAD EN EL LOTE, SE LA LLEVARON A UN TALLER </t>
  </si>
  <si>
    <t>ACTIVO 
16-NOV-2024</t>
  </si>
  <si>
    <t>Particular 
(Vivienda Digna, Apodaca)</t>
  </si>
  <si>
    <t>Cte. Emma Adriana Jacobo Torres Tel. 8180288966</t>
  </si>
  <si>
    <t>RLE-048-C / 3FA6P0G75GR377786</t>
  </si>
  <si>
    <t>769 FORD FUSION 2016 GRIS PLATA (OBSCURO)</t>
  </si>
  <si>
    <t>Cte. Sergio Valadez 
Contacto. 8123886850</t>
  </si>
  <si>
    <t>770 KIA OPTIMA 2017</t>
  </si>
  <si>
    <t>ACTIVO 
20-NOV-2024</t>
  </si>
  <si>
    <t>Particular 
(Las Plazas, Monterrey)</t>
  </si>
  <si>
    <t>771 AUDI A5 BLANCO</t>
  </si>
  <si>
    <t>ACTIVO 
21-NOV-2024</t>
  </si>
  <si>
    <t>Cualquier hora, avisar antes de ir Tel. Tel. 8123886850 - Cte. Mario Alberto Garcia Cardenas</t>
  </si>
  <si>
    <t>772 KIA SORENTO CAFÉ 2017</t>
  </si>
  <si>
    <t>5XYPKDA54GG017561</t>
  </si>
  <si>
    <t>ACTIVO 
23-NOV-2024</t>
  </si>
  <si>
    <t xml:space="preserve">773 CHEVROLET AVEO 2012 ROJO </t>
  </si>
  <si>
    <t>ACTIVO 
26-NOV-2024</t>
  </si>
  <si>
    <t>10:30 / 11 am - Cte. Porfirio Santos</t>
  </si>
  <si>
    <t>774 VW JETTA 2015 AZUL</t>
  </si>
  <si>
    <t>3VWD07AJ5FM264190</t>
  </si>
  <si>
    <t>ACTIVO 
28-NOV-2024</t>
  </si>
  <si>
    <t>Particural 
(Villas de San Antonio, Guadalupe)</t>
  </si>
  <si>
    <t>775 CHEVROLET MALIBU GUINDO</t>
  </si>
  <si>
    <t>Lote Car Wash y Estética Automotriz SS Clean - Guadalupe
(Cerro de la Silla, Guadalupe)</t>
  </si>
  <si>
    <t>ACTIVO 
03-DIC-2024</t>
  </si>
  <si>
    <t>Particular 
(Pabellon Ciudadano)</t>
  </si>
  <si>
    <t xml:space="preserve">LA PERSONA QUE TRAIA LAS LLAVES NO LLEGO </t>
  </si>
  <si>
    <t>ACTIVO 
04-DIC-2024</t>
  </si>
  <si>
    <t>11:00 am - Cte. Heriberto 
Contacto Tel. 8136191211</t>
  </si>
  <si>
    <t xml:space="preserve">MITSUBISHI LANCER 2009 GUINDO </t>
  </si>
  <si>
    <t>776 GMC TERRAIN 2016 BLANCA</t>
  </si>
  <si>
    <t xml:space="preserve">777 FORD ESCAPE TITANIUM NEGRA </t>
  </si>
  <si>
    <t>1FMCU0J99HUD56283</t>
  </si>
  <si>
    <t>ACTIVO 
07-DIC-2024</t>
  </si>
  <si>
    <t>Particular 
(Las Golondirinas, Apodaca)</t>
  </si>
  <si>
    <t>BAJA 
07-DIC-2024</t>
  </si>
  <si>
    <t>778 MITSUBISHI LANCER 2009 ROJO</t>
  </si>
  <si>
    <t>SPR-773-B</t>
  </si>
  <si>
    <t>6:00 pm - Cte. Jesus Manuel Cardona Chavez Tel. 8129792293</t>
  </si>
  <si>
    <t>10 am - Cte. Lourdes Esthela Tel. 8186935795</t>
  </si>
  <si>
    <t>Particular 
(Vistas de San Juan, Juarez)</t>
  </si>
  <si>
    <t>3VWRW11K0AM036178 / TFK-417-A</t>
  </si>
  <si>
    <t>DESINTALACION</t>
  </si>
  <si>
    <t>BAJA 
528</t>
  </si>
  <si>
    <t>DES-INSTALACION
07-DIC-2024</t>
  </si>
  <si>
    <t>ACTIVO 
09-DIC-2024</t>
  </si>
  <si>
    <t>779 CHRYSLER TOWN&amp;COUNTRY GRIS</t>
  </si>
  <si>
    <t xml:space="preserve">Cualquier horario avisar antes de ir - Contacto 8136191211 
Cte. Jose Luis </t>
  </si>
  <si>
    <t>RLZ-979-C / 2C4RC1BG3GR142339</t>
  </si>
  <si>
    <t>ACTIVO 
12-DIC-2024</t>
  </si>
  <si>
    <t>Cualquier horario ( solo avisar antes) - Cte. Silvia Ivonne Martinez 
Contacto. 8115843926</t>
  </si>
  <si>
    <t xml:space="preserve">780 HYUNDAI SONATA NEGRO </t>
  </si>
  <si>
    <t>Autos Importados Prados 
(Apodaca, Prados de la Cieneguita)</t>
  </si>
  <si>
    <t>5NPE34AFXFH199951</t>
  </si>
  <si>
    <t>Cte. Eber Velazquez Nava Tel. 9212037277</t>
  </si>
  <si>
    <t>Particular 
(Canelos, Benito Juarez)</t>
  </si>
  <si>
    <t xml:space="preserve">781 HONDA ACCORD 2009 BLANCO </t>
  </si>
  <si>
    <t>1HGCS12719A009211 / SUD-33-01</t>
  </si>
  <si>
    <t>ACTIVO 
19-DIC-2024</t>
  </si>
  <si>
    <t>782 CHEVROLET MATIZ 2012</t>
  </si>
  <si>
    <t>ACTIVO 
20-DIC-2024</t>
  </si>
  <si>
    <t>783 FORD FOCUS 2014 GRIS OBSCURO</t>
  </si>
  <si>
    <t>1FADP3F27FL296039</t>
  </si>
  <si>
    <t>ACTIVO 
23-DIC-2024</t>
  </si>
  <si>
    <t>ACTIVO 
24-DIC-2024</t>
  </si>
  <si>
    <t>ACTIVO 
30-DIC-2024</t>
  </si>
  <si>
    <t>Domicilio Particular 
(Valle de los Reyes, Guadalupe)</t>
  </si>
  <si>
    <t xml:space="preserve">787 CHEVROLET SONIC 2015 BLANCO </t>
  </si>
  <si>
    <t>0scar Alejandro Oliva</t>
  </si>
  <si>
    <t>784 HYUNDAI SONATA AZUL 2016</t>
  </si>
  <si>
    <t>5NPE34AF4GH316280</t>
  </si>
  <si>
    <t>1 pm - Cte. Josue Angel / Contacto Tel. 8136191211</t>
  </si>
  <si>
    <t>1 pm - Cte. Melissa / contacto Tel. 8115843926</t>
  </si>
  <si>
    <t>5XXGT4L35GG057208</t>
  </si>
  <si>
    <t>785 KIA OPTIMA BLANCO 2016</t>
  </si>
  <si>
    <t xml:space="preserve">786 KIA SORENTO CAFÉ </t>
  </si>
  <si>
    <t>5XYPHDA15GG027902</t>
  </si>
  <si>
    <t xml:space="preserve">EQUIPO BAJO RESGUARDO DE UBITEC LO TIENE OSCAR 
09-ENE-2025 RE-INSTALADO RODRIGO SOTO UNIDAD 20 VW JETTA </t>
  </si>
  <si>
    <t>ACTIVO 
09-ENE-2025</t>
  </si>
  <si>
    <t>ACTIVO 
07-ENE-2025</t>
  </si>
  <si>
    <t>3 pm - Cte. Cte. Bryan Kalef
Contacto. 8136191211</t>
  </si>
  <si>
    <t xml:space="preserve">788 CHEVROLET MALIBU 2017 NEGRO </t>
  </si>
  <si>
    <t>1G1ZH5SX9HF127998</t>
  </si>
  <si>
    <t>ACTIVO 
10-ENE-2025</t>
  </si>
  <si>
    <t>2:30 pm - Cte. Oscar Yahir Escamilla Perez / Contacto Tel. 8136191211</t>
  </si>
  <si>
    <t>789 VW JETTA ROJO</t>
  </si>
  <si>
    <t>3VWD17AJ2GM324831</t>
  </si>
  <si>
    <t>BAJA 
10-ENE-2025</t>
  </si>
  <si>
    <t>EQUIPO BAJO RESGUARDO DE UBITEC</t>
  </si>
  <si>
    <t>DES-INSTALACION 
10-ENERO-2025</t>
  </si>
  <si>
    <t>ACTIVO 
15-ENE-2025</t>
  </si>
  <si>
    <t>Particular 
(Hacienda del Pastor, Jardines de la Silla)</t>
  </si>
  <si>
    <t>RZL-709-B</t>
  </si>
  <si>
    <t>790 HONDA CIVIC 2011 PLATA</t>
  </si>
  <si>
    <t>BAJA 
15-ENE-2025</t>
  </si>
  <si>
    <t>Particular 
(Mision de las Flores Residencial, Apodaca)</t>
  </si>
  <si>
    <t>ACTIVO 
18-ENE-2025</t>
  </si>
  <si>
    <t>Particular 
(Residencial Villa Luz, San Nicolas de Los Garza)</t>
  </si>
  <si>
    <t>2 pm - Cte. Leonardo Ernesto Salinas Mata Tel. 8186919596</t>
  </si>
  <si>
    <t>791 MITSUBISHI LANCER 2013 BLANCO</t>
  </si>
  <si>
    <t>8952020524340278-125</t>
  </si>
  <si>
    <t>TCN-429-A</t>
  </si>
  <si>
    <t>ACTIVO 
22-ENE-2025</t>
  </si>
  <si>
    <t>REVISION 
23-ENE-2025</t>
  </si>
  <si>
    <t>9 am - Cte. / Contacto Aurora Banda 8182596045</t>
  </si>
  <si>
    <t>JEEP WRANGLER PLATA</t>
  </si>
  <si>
    <t>UNIDAD NO TIENE GPS, SE REPROGRAMARA PARA INSTALACION</t>
  </si>
  <si>
    <t>BAJA 
24-ENE-2025</t>
  </si>
  <si>
    <t>Particular 
(Revolución, Hidalgo Centro)</t>
  </si>
  <si>
    <t xml:space="preserve">568 JEEP COMPASS NEGRA </t>
  </si>
  <si>
    <t>DES-INSTALACION 
24-ENE-2025</t>
  </si>
  <si>
    <t>BAJA 
568</t>
  </si>
  <si>
    <t>ACTIVO 
24-ENE-2025</t>
  </si>
  <si>
    <t>792 KIA OPTIMA 2016 AZUL</t>
  </si>
  <si>
    <t>BAJA 
792</t>
  </si>
  <si>
    <t>REINSTALADO 793</t>
  </si>
  <si>
    <t>793 CHEVROLET EQUINOX BLANCA</t>
  </si>
  <si>
    <t>2GNALDEK7H6296965</t>
  </si>
  <si>
    <t>VW BORA 2009</t>
  </si>
  <si>
    <t xml:space="preserve">VISITA EN FALSO, ESTABA LA UNIDAD PERO  NO ATENDIERON EN EL DOMICILIO Y CLIENTE TAMPOCO CONTESTO </t>
  </si>
  <si>
    <t>Particular 
(Honduras 134, Centro América)</t>
  </si>
  <si>
    <t>Particular 
(Benito Juárez, Juárez, N.L.)</t>
  </si>
  <si>
    <t>MAZDA 2015</t>
  </si>
  <si>
    <t xml:space="preserve">303 FORD FOCUS 12 PLATA </t>
  </si>
  <si>
    <t>Particular 
( Popular, Carmen, N.L. )</t>
  </si>
  <si>
    <t>BAJA 
303</t>
  </si>
  <si>
    <t>BAJA 
25-ENE-2025</t>
  </si>
  <si>
    <t>DES-INSTALACION 
25-ENE-2025</t>
  </si>
  <si>
    <t>SUH-252-A / 1FAHP3H22CL297108</t>
  </si>
  <si>
    <t>ACTIVO 
25-ENE-2025</t>
  </si>
  <si>
    <t>TECNICO NO LOCALIZA A CLIENTE</t>
  </si>
  <si>
    <t>794 MAZDA 2015 ROJO</t>
  </si>
  <si>
    <t>Particular 
(Paseo de Guadalupe, Guadalupe)</t>
  </si>
  <si>
    <t xml:space="preserve">795 JEEP 2014 LIMITED GRIS </t>
  </si>
  <si>
    <t>ANTERIOR 268</t>
  </si>
  <si>
    <t>REINSTALADO 794</t>
  </si>
  <si>
    <t>ANTERIOR 173</t>
  </si>
  <si>
    <t>REINSTALADO 795</t>
  </si>
  <si>
    <t>ANTERIOR 792</t>
  </si>
  <si>
    <t>REVISION 
27-ENE-2025</t>
  </si>
  <si>
    <t>Particular 
(Golondrinas, Apodaca)</t>
  </si>
  <si>
    <t>742 BUICK ENCLAVE 2014 NEGRO</t>
  </si>
  <si>
    <t xml:space="preserve">El técnico acude a domicilio, tal como lo comenta el cliente la unidad no enciende, pero esto no a causa del GPS, desconocemos la falla. </t>
  </si>
  <si>
    <t>ACTIVO
28-ENE-2025</t>
  </si>
  <si>
    <t>Autos Villarreal 
(San Nicolas de los Garza)</t>
  </si>
  <si>
    <t>796 DODGE DURANGO SR NEGRA</t>
  </si>
  <si>
    <t>ANTERIOR 303</t>
  </si>
  <si>
    <t>1C4SDHCT2GC484084</t>
  </si>
  <si>
    <t>REINSTALADO 796</t>
  </si>
  <si>
    <t>JEEP PATRIOT 2009</t>
  </si>
  <si>
    <t>TECNICO ACUDE AL DOMICILIO, NO ATIENDEN EN EL DOMICILIO Y CLIENTE NO CONTESTA LAS LLAMADAS</t>
  </si>
  <si>
    <t>ACTIVO 
31-ENE-2025</t>
  </si>
  <si>
    <t>797 RAV 4 2008 BLANCA</t>
  </si>
  <si>
    <t>Particular 
(Monte Cristal, Juarez)</t>
  </si>
  <si>
    <t>798 KIA SORENTO 2016 BLANCA</t>
  </si>
  <si>
    <t>5XYPK4A53GG018023</t>
  </si>
  <si>
    <t>ACTIVO 
05-FEB-2025</t>
  </si>
  <si>
    <t xml:space="preserve">799 KIA RIO 2016 GRIS PLATA </t>
  </si>
  <si>
    <t>ACTIVO 
11-FEB-2025</t>
  </si>
  <si>
    <t>ELANTRA 2016 GRIS PLATA</t>
  </si>
  <si>
    <t>SE CAMBIA EL HORARIO DE 1 A 4 PM Y POR OPERACIÓN DE UBITEC SE SOLICITA REAGENDAR PARA MAÑANA</t>
  </si>
  <si>
    <t>800 HYUNDAI ELANTRA 2016 GRIS PLATA</t>
  </si>
  <si>
    <t>ACTIVO 
14-FEB-2025</t>
  </si>
  <si>
    <t xml:space="preserve">801 HUINDAY ELANTRA 2016 NEGRO </t>
  </si>
  <si>
    <t>5NPDH4AE0GH758977</t>
  </si>
  <si>
    <t xml:space="preserve">5NPDH4AE4GH669669 </t>
  </si>
  <si>
    <t>BAJA 
155</t>
  </si>
  <si>
    <t>BAJA 
14-FEB-2025</t>
  </si>
  <si>
    <t>Cte.  Javier Torres Martinez</t>
  </si>
  <si>
    <t>PETICION DE BAJA SIN RETIRO</t>
  </si>
  <si>
    <t>BAJA 
14-FEBRERO-2025</t>
  </si>
  <si>
    <t>BAJA 
195</t>
  </si>
  <si>
    <t>Cte. Federico Cortez Garanzuay</t>
  </si>
  <si>
    <t xml:space="preserve">195 CHEVROLET TRAVERSE BLANCA 2012 </t>
  </si>
  <si>
    <t>BAJA 
203</t>
  </si>
  <si>
    <t xml:space="preserve">Cte. Walter Alan Garibaldi Gutierrez </t>
  </si>
  <si>
    <t>BAJA 
210</t>
  </si>
  <si>
    <t>Cte. Jesus Gerardo Rodriguez Fernandez</t>
  </si>
  <si>
    <t>BAJA 
216</t>
  </si>
  <si>
    <t xml:space="preserve">216 NISSAN ALTIMA ARENA </t>
  </si>
  <si>
    <t>1N4AL3P7DN467309</t>
  </si>
  <si>
    <t>Cte. Rafael Amador Bustos Platas</t>
  </si>
  <si>
    <t>BAJA 
217</t>
  </si>
  <si>
    <t>217 CHEVROLET MALIBU ARENA 2009</t>
  </si>
  <si>
    <t xml:space="preserve">Cte. Sergio Guadalupe Quezada Gonzalez </t>
  </si>
  <si>
    <t>BAJA 
218</t>
  </si>
  <si>
    <t>Cte. Santiago Olmedo Gallegos</t>
  </si>
  <si>
    <t>BAJA 
264</t>
  </si>
  <si>
    <t>Cte. Zabdiel Gomez Ramirez</t>
  </si>
  <si>
    <t>BAJA 
275</t>
  </si>
  <si>
    <t xml:space="preserve">Cte. Hector Ivan Zul Lopez </t>
  </si>
  <si>
    <t>BAJA 
279</t>
  </si>
  <si>
    <t>Cte. Leoncio Alvarado Moreno</t>
  </si>
  <si>
    <t>BAJA 
300</t>
  </si>
  <si>
    <t>SNX-098-A</t>
  </si>
  <si>
    <t>BAJA 
326</t>
  </si>
  <si>
    <t>BAJA 
427</t>
  </si>
  <si>
    <t>BAJA 
482</t>
  </si>
  <si>
    <t>482 VW WORKER BLANCO2010</t>
  </si>
  <si>
    <t>Cte. Jose Luis Lopez Zertuche</t>
  </si>
  <si>
    <t>BAJA 
497</t>
  </si>
  <si>
    <t>497 CHEVROLET MALIBU PLATA 2012</t>
  </si>
  <si>
    <t>BAJA 
519</t>
  </si>
  <si>
    <t>519 SEAT IBIZA ROJO 2013</t>
  </si>
  <si>
    <t>BAJA 
604</t>
  </si>
  <si>
    <t>BAJA 
610</t>
  </si>
  <si>
    <t xml:space="preserve">610 HYUNDAI ELANTRA GRIS OBSCURO </t>
  </si>
  <si>
    <t>Cte. Jorge Alberto Garza Hernandez</t>
  </si>
  <si>
    <t>BAJA 
656</t>
  </si>
  <si>
    <t>Cte. Clauida Anais Davila Villarreal</t>
  </si>
  <si>
    <t>BAJA 
503</t>
  </si>
  <si>
    <t xml:space="preserve">503 FORD F150 BLANCA </t>
  </si>
  <si>
    <t>Cte. Azucena Hernandez Mendo</t>
  </si>
  <si>
    <t>BAJA 
599</t>
  </si>
  <si>
    <t>Cte.  Edgar Azueta Matias</t>
  </si>
  <si>
    <t>BAJA 
620</t>
  </si>
  <si>
    <t>Cte. Miriam Karely Hernandez Moreno</t>
  </si>
  <si>
    <t xml:space="preserve">620 FORD FUSION AZUL METALICO </t>
  </si>
  <si>
    <t>210 WV BORA ROJO 2010</t>
  </si>
  <si>
    <t>BAJA 
268</t>
  </si>
  <si>
    <t>BAJA 
173</t>
  </si>
  <si>
    <t>BAJA
172</t>
  </si>
  <si>
    <t>DES-INSTALACION 
16-OCT-2024</t>
  </si>
  <si>
    <t>BAJA 
95</t>
  </si>
  <si>
    <t>BAJA 
096</t>
  </si>
  <si>
    <t>BAJA
098</t>
  </si>
  <si>
    <t>ACTIVO 
06-NOV-2020</t>
  </si>
  <si>
    <t>865011032760572 865011032757651</t>
  </si>
  <si>
    <t>ACTIVO 
09-NOV-2020</t>
  </si>
  <si>
    <t>BAJA 
100</t>
  </si>
  <si>
    <t>BAJA
103</t>
  </si>
  <si>
    <t>ACTIVO 
14-NOV-2020</t>
  </si>
  <si>
    <t>BAJA 
104</t>
  </si>
  <si>
    <t xml:space="preserve">PETICION DE BAJA SIN RETIRO </t>
  </si>
  <si>
    <t>BAJA 
108</t>
  </si>
  <si>
    <t>BAJA
008</t>
  </si>
  <si>
    <t>PETICIO DE BAJA SIN RETIRO</t>
  </si>
  <si>
    <t>BAJA 
0013</t>
  </si>
  <si>
    <t>ACTIVO 
28-NOV-2020</t>
  </si>
  <si>
    <t>ANTERIOR 095</t>
  </si>
  <si>
    <t>REINSTALADO 097</t>
  </si>
  <si>
    <t>BAJA 
107</t>
  </si>
  <si>
    <t>BAJA 
110</t>
  </si>
  <si>
    <t>ACTIVO
01-DIC-2020</t>
  </si>
  <si>
    <t>ACTIVO 
04-DIC-2020</t>
  </si>
  <si>
    <t>BAJA 
111</t>
  </si>
  <si>
    <t>REINSTALADO 126</t>
  </si>
  <si>
    <t>ANTERIOR 112</t>
  </si>
  <si>
    <t>BAJA 
112</t>
  </si>
  <si>
    <t>ACTIVO 
11-DIC-2020</t>
  </si>
  <si>
    <t>BAJA 
113</t>
  </si>
  <si>
    <t>BAJA
114</t>
  </si>
  <si>
    <t>ACTIVO 
16-DIC-2020</t>
  </si>
  <si>
    <t>BAJA
117</t>
  </si>
  <si>
    <t>ACTIVO
19-DIC-2020</t>
  </si>
  <si>
    <t>BAJA
118</t>
  </si>
  <si>
    <t>ACTIVO
22-DIC-2020</t>
  </si>
  <si>
    <t>ANTERIOR 118</t>
  </si>
  <si>
    <t>BAJA
119</t>
  </si>
  <si>
    <t>BAJA
121</t>
  </si>
  <si>
    <t>ACTIVO
30-DIC-2020</t>
  </si>
  <si>
    <t>BAJA
122</t>
  </si>
  <si>
    <t>REINSTALADO 127</t>
  </si>
  <si>
    <t>ANTERIOR 122</t>
  </si>
  <si>
    <t>BAJA
124</t>
  </si>
  <si>
    <t>ACTIVO
06-ENE-2021</t>
  </si>
  <si>
    <t>BAJA
125</t>
  </si>
  <si>
    <t>ACTIVO
07-ENE-2021</t>
  </si>
  <si>
    <t xml:space="preserve"> -</t>
  </si>
  <si>
    <t>BAJA
129</t>
  </si>
  <si>
    <t>ACTIVO
19-ENE-2021</t>
  </si>
  <si>
    <t>ACTIVO
21-ENE-2021</t>
  </si>
  <si>
    <t>BAJA
131</t>
  </si>
  <si>
    <t>ACTIVO
22-ENE-2021</t>
  </si>
  <si>
    <t>BAJA
132</t>
  </si>
  <si>
    <t>ACTIVO
25-ENE-2021</t>
  </si>
  <si>
    <t>BAJA
136</t>
  </si>
  <si>
    <t>BAJA
134</t>
  </si>
  <si>
    <t>BAJA
137</t>
  </si>
  <si>
    <t>REINSTALADO 139</t>
  </si>
  <si>
    <t>ANTERIOR 137</t>
  </si>
  <si>
    <t>ACTIVO 
03-FEB-2021</t>
  </si>
  <si>
    <t>ACTIVO 
09-FEB-2021</t>
  </si>
  <si>
    <t>BAJA 
141</t>
  </si>
  <si>
    <t xml:space="preserve"> BAJA 
356</t>
  </si>
  <si>
    <t>ACTIVO 
15-JUL-2022</t>
  </si>
  <si>
    <t>DES-INSTALACION
29-JUN-2022</t>
  </si>
  <si>
    <t>REINSTALADO 356</t>
  </si>
  <si>
    <t>ANTERIOR 141</t>
  </si>
  <si>
    <t>RE-INSTALADO 
141</t>
  </si>
  <si>
    <t>PETICION DE BAJA SIN RETIRO 07-DICIEMBRE-2023</t>
  </si>
  <si>
    <t>BAJA 
142</t>
  </si>
  <si>
    <t>ACTIVO 
10-FEB-2021</t>
  </si>
  <si>
    <t>865011031937908
865011032715188</t>
  </si>
  <si>
    <t>BAJA
145</t>
  </si>
  <si>
    <t>ACTIVO 
22-FEB-2021</t>
  </si>
  <si>
    <t>BAJA 
146</t>
  </si>
  <si>
    <t>ACTIVO 
25-FEB-2021</t>
  </si>
  <si>
    <t>ACTIVO 
13-MAR-2021</t>
  </si>
  <si>
    <t>ACTIVO
16-MAR-2021</t>
  </si>
  <si>
    <t>BAJA
154</t>
  </si>
  <si>
    <t>ACTIVO
17-MAR-2021</t>
  </si>
  <si>
    <t>ACTIVO 
24-MAR-2021</t>
  </si>
  <si>
    <t>BAJA
156</t>
  </si>
  <si>
    <t>ACTIVO 
19-MAR-2021</t>
  </si>
  <si>
    <t>DES-INSTALACION
02-DIC-2021</t>
  </si>
  <si>
    <t>ACTIVO 
23-MAR-2021</t>
  </si>
  <si>
    <t>ACTIVO 
26-MAR-2021</t>
  </si>
  <si>
    <t>BAJA
158</t>
  </si>
  <si>
    <t>ACTIVO
30-MAR-2021</t>
  </si>
  <si>
    <t>BAJA
162</t>
  </si>
  <si>
    <t>ACTIVO
31-MAR-2021</t>
  </si>
  <si>
    <t>ACTIVO
06-ABR-2021</t>
  </si>
  <si>
    <t>BAJA
170</t>
  </si>
  <si>
    <t>BAJA
167</t>
  </si>
  <si>
    <t>ACTIVO
08-ABR-2021</t>
  </si>
  <si>
    <t>REINSTALADO 251</t>
  </si>
  <si>
    <t>ANTERIOR 251</t>
  </si>
  <si>
    <t>DES-INSTALACION
15-ABR-2021</t>
  </si>
  <si>
    <t>ANTERIOR 172</t>
  </si>
  <si>
    <t>REINSTALADO 173</t>
  </si>
  <si>
    <t>ACTIVO
14-ABR-2021</t>
  </si>
  <si>
    <t>ACTIVO
15-ABR-2021</t>
  </si>
  <si>
    <t>RE-INSTALADO
25-ENE-2025</t>
  </si>
  <si>
    <t>RE-INSTALADO 
15-ABR-2021</t>
  </si>
  <si>
    <t>ACTIVO
16-ABR-2021</t>
  </si>
  <si>
    <t>ACTIVO
01-MAY-2021</t>
  </si>
  <si>
    <t>ACTIVO
03-MAY-2021</t>
  </si>
  <si>
    <t>BAJA
180</t>
  </si>
  <si>
    <t>ACTIVO
14-MAY-2021</t>
  </si>
  <si>
    <t>PETICION DE BAJA SIN RETIO</t>
  </si>
  <si>
    <t>ACTIVO
21-MAY-2021</t>
  </si>
  <si>
    <t>BAJA
181</t>
  </si>
  <si>
    <t>BAJA
182</t>
  </si>
  <si>
    <t>ACTIVO
24-MAY-2021</t>
  </si>
  <si>
    <t>BAJA
183</t>
  </si>
  <si>
    <t>ANTERIOR 183</t>
  </si>
  <si>
    <t>REINSTALADO 383</t>
  </si>
  <si>
    <t>DES-INSTALACION 05-SEPTIEMBRE-2022
REINSTALADO 383</t>
  </si>
  <si>
    <t>ACTIVO
08-JUN-2021</t>
  </si>
  <si>
    <t>NO ESTA EN LA PLATAFORMO
- DES-INSTALACION LOTE CARLOS CORONADO</t>
  </si>
  <si>
    <t>BAJA
185</t>
  </si>
  <si>
    <t>ACTIVO
14-JUN-2021</t>
  </si>
  <si>
    <t>REINSTALADO 715</t>
  </si>
  <si>
    <t>ANTERIOR 188</t>
  </si>
  <si>
    <t>DES-INSTALACION 
06-JUL-2024</t>
  </si>
  <si>
    <t>RE-INSTALADO 
08-JUL-2024</t>
  </si>
  <si>
    <t>DESINSTALADO 06-JULIO-2024 (No. 188)
REINSTALADO 08-JULIO-2024 (No. 715)</t>
  </si>
  <si>
    <t>BAJA
191</t>
  </si>
  <si>
    <t>ACTIVO
24-JUN-2021</t>
  </si>
  <si>
    <t>BAJA
192</t>
  </si>
  <si>
    <t>ACTIVO
25-JUN-2021</t>
  </si>
  <si>
    <t xml:space="preserve">24-MARZO-2022 CAMBIO DE SIM </t>
  </si>
  <si>
    <t>ACTIVO
07-JUL-2021</t>
  </si>
  <si>
    <t>DES-INSTALACION
12-JUN-2024</t>
  </si>
  <si>
    <t>DESINSTALADO 12-JUNIO-2024 (No. 196)
REINSTALADO 12-JUNIO-2024 (No. 707)</t>
  </si>
  <si>
    <t>ANTERIOR 196</t>
  </si>
  <si>
    <t>RE-INSTALADO
12-JUN-2024</t>
  </si>
  <si>
    <t>DES-INSTALACION
05-AGO-2024</t>
  </si>
  <si>
    <t>RE-INSTALACION
06-AGOSTO-2024</t>
  </si>
  <si>
    <t>BAJA
197</t>
  </si>
  <si>
    <t>REINSTALADO 729</t>
  </si>
  <si>
    <t>DESINSTALACION 05-AGOSTO-2024 (No. 197)
REINSTALADO 06-AGOSTO-2024 (No. 729)</t>
  </si>
  <si>
    <t>RE-INSTALADO
06-AGOSTO-2024</t>
  </si>
  <si>
    <t>ACTIVO
17-FEB-2025</t>
  </si>
  <si>
    <t>Particular 
(Las Sombrillas, Santa Catarina)</t>
  </si>
  <si>
    <t>802 FORD ESCAPE 2016 NEGRA</t>
  </si>
  <si>
    <t>BAJA
206</t>
  </si>
  <si>
    <t>ACTIVO
23-JUL-2021</t>
  </si>
  <si>
    <t>BAJA
208</t>
  </si>
  <si>
    <t>ACTIVO
28-JUL-2021</t>
  </si>
  <si>
    <t>BAJA
211</t>
  </si>
  <si>
    <t>ACTIVO
19-AGO-2021</t>
  </si>
  <si>
    <t>BAJA
212</t>
  </si>
  <si>
    <t>ACTIVO
21-AGO-2021</t>
  </si>
  <si>
    <t>Particular
(Ignacio Zaragoza, Guadalupe)</t>
  </si>
  <si>
    <t>803 VW JETTA 2017 NEGRO</t>
  </si>
  <si>
    <t>ACTIVO 
30-AGO-2021</t>
  </si>
  <si>
    <t>ACTIVO
08-SEP-2021</t>
  </si>
  <si>
    <t>BAJA
222</t>
  </si>
  <si>
    <t>ACTIVO
13-SEP-2021</t>
  </si>
  <si>
    <t>BAJA
223</t>
  </si>
  <si>
    <t>ACTIVO 
14-SEP-2021</t>
  </si>
  <si>
    <t>BAJA
225</t>
  </si>
  <si>
    <t>ACTIVO
29-SEP-2021</t>
  </si>
  <si>
    <t>BAJA
229</t>
  </si>
  <si>
    <t>ACTIVO
26-OCT-2021</t>
  </si>
  <si>
    <t>BAJA
232</t>
  </si>
  <si>
    <t>ACTIVO 
28-OCT-2021</t>
  </si>
  <si>
    <t>BAJA
235</t>
  </si>
  <si>
    <t>BAJA
236</t>
  </si>
  <si>
    <t>ACTIVO
04-NOV-2021</t>
  </si>
  <si>
    <t>REINSTALADO 246</t>
  </si>
  <si>
    <t>ANTERIOR 236</t>
  </si>
  <si>
    <t>DES-INSTALACION
30-NOV-2021</t>
  </si>
  <si>
    <t>RE-INSTALADO
30-NOV-2021</t>
  </si>
  <si>
    <t>BAJA
238</t>
  </si>
  <si>
    <t>ACTIVO
05-NOV-2021</t>
  </si>
  <si>
    <t>ACTIVO
17-NOV-2021</t>
  </si>
  <si>
    <t>BAJA
242</t>
  </si>
  <si>
    <t>ACTIVO
19-NOV-2021</t>
  </si>
  <si>
    <t>ACTIVO
28-NOV-2020</t>
  </si>
  <si>
    <t>DES-INSTALACION
05-ABR-2024</t>
  </si>
  <si>
    <t>RE-INSTALADO 
11-ABR-2024</t>
  </si>
  <si>
    <t>BAJA
245</t>
  </si>
  <si>
    <t>ACTIVO
25-NOV-2021</t>
  </si>
  <si>
    <t>BAJA 
801</t>
  </si>
  <si>
    <t>BAJA 
18-FEB-2025</t>
  </si>
  <si>
    <t xml:space="preserve">804 HYUNDAI SONATA 2015 PLATA </t>
  </si>
  <si>
    <t>ACTIVO
18-FEB-2025</t>
  </si>
  <si>
    <t>Cerca de Autos Importados Margon 
(Apodaca, Prados de la Cieneguita)</t>
  </si>
  <si>
    <t>REINSTALADO 804</t>
  </si>
  <si>
    <t>ANTERIOR 801</t>
  </si>
  <si>
    <t>DES-INSTALACION
18-FEBRERO-2025</t>
  </si>
  <si>
    <t xml:space="preserve">801 HYUNDAI ELANTRA 2016 NEGRO </t>
  </si>
  <si>
    <t>RE-INSTALADO
18-FEB-2025</t>
  </si>
  <si>
    <t xml:space="preserve">805 KIA OPTIMA 2016 NEGRO </t>
  </si>
  <si>
    <t>FORD ESCAPE 2017</t>
  </si>
  <si>
    <t>5XXGV4L27GG077574</t>
  </si>
  <si>
    <t xml:space="preserve">12:37 PM SR. DEL ANGEL SOLICITA LA CANCELACION DE LA INSTALACION POR POSIBLE CAMBIO DE UNIDAD </t>
  </si>
  <si>
    <t>BAJA
247</t>
  </si>
  <si>
    <t>RE-INSTALACION
10-DICIEMBRE-2021</t>
  </si>
  <si>
    <t>BAJA
249</t>
  </si>
  <si>
    <t>ACTIVO
07-DIC-2021</t>
  </si>
  <si>
    <t xml:space="preserve">Cte. Adolfo Angel Rangel Martinez </t>
  </si>
  <si>
    <t>Cte. Juana Rangel Martinez</t>
  </si>
  <si>
    <t>BAJA
258</t>
  </si>
  <si>
    <t>ACTIVO
21-DIC-2021</t>
  </si>
  <si>
    <t>ANTERIOR 258</t>
  </si>
  <si>
    <t>DES-INSTALACION
16-FEBRERO-2022</t>
  </si>
  <si>
    <t>RE-INSTALACION
16-FEBRERO-2022</t>
  </si>
  <si>
    <t>ACTIVO
16-FEBRERO-2022</t>
  </si>
  <si>
    <t xml:space="preserve">Cte. Jose Omero García Medina </t>
  </si>
  <si>
    <t xml:space="preserve">REVISION DE BAJA, UNIDAD NO COINCIDE 
CONFIRMACION PENDIENTE SR. DEL ANGEL </t>
  </si>
  <si>
    <t xml:space="preserve">Cte. Juan Carlos Vega Castro </t>
  </si>
  <si>
    <t>BAJA
262</t>
  </si>
  <si>
    <t>ACTIVO
23-DIC-2021</t>
  </si>
  <si>
    <t>BAJA
263</t>
  </si>
  <si>
    <t>ACTIVO
27-DIC-2021</t>
  </si>
  <si>
    <t>UVJ-436-B / 2FMDK39C49BA76015 / SWC-960-A</t>
  </si>
  <si>
    <t>12:00 p.m. - Cte. ROSALIO RODRIGUEZ SALINAS / TEL. 8123199876</t>
  </si>
  <si>
    <t>DES-INSTALACION
18-MAYO-2023</t>
  </si>
  <si>
    <t>BAJA
266</t>
  </si>
  <si>
    <t>ACTIVO
28-DIC-2021</t>
  </si>
  <si>
    <t>BAJA
267</t>
  </si>
  <si>
    <t>ANTERIOR 267</t>
  </si>
  <si>
    <t>RE-INSTALACION
08-A BBRIL-2022</t>
  </si>
  <si>
    <t>DES-INSTALACION
05-ABRIL-2022</t>
  </si>
  <si>
    <t>ACTIVO
29-DIC-2021</t>
  </si>
  <si>
    <t>ACTIVO
30-DIC-2021</t>
  </si>
  <si>
    <t>RE-INSTALACION
25-ENE-2025</t>
  </si>
  <si>
    <t>REINSTALADO 299</t>
  </si>
  <si>
    <t>REINSTALADO 315</t>
  </si>
  <si>
    <t>DESINSTALADO 05-ABRIL-2024 (No. 164)
REINSTALADO 11-ABRIL-2024 (No. 680)</t>
  </si>
  <si>
    <t>DES-INSTALADO 05-ABRIL-2024 (No. 164)
REINSTALADO 11-ABRIL-2024 (No. 680)</t>
  </si>
  <si>
    <t>865011033832453
865011033830093</t>
  </si>
  <si>
    <t>ACTIVO
05-ENE-2022</t>
  </si>
  <si>
    <t>BAJA 
273</t>
  </si>
  <si>
    <t>YA ERA BAJA 13-ENERO-2022
REINSTALADO 13-ENE-2022 (No. 273)</t>
  </si>
  <si>
    <t>RE-INSTALACION
13-ENERO-2022</t>
  </si>
  <si>
    <t>DES-INSTALACION
13-ENERO-2022</t>
  </si>
  <si>
    <t>BAJA
274</t>
  </si>
  <si>
    <t>ACTIVO
08-ENE-2022</t>
  </si>
  <si>
    <t>ACTIVO
07-DIC-2023</t>
  </si>
  <si>
    <t>RE-INSTALACION
22-JULIO-2022</t>
  </si>
  <si>
    <t>864606047158281
865011034235326</t>
  </si>
  <si>
    <t>BAJA
276</t>
  </si>
  <si>
    <t>ACTIVO
20-ENE-2022</t>
  </si>
  <si>
    <t>BAJA
277</t>
  </si>
  <si>
    <t>ACTIVO
21-ENE-2022</t>
  </si>
  <si>
    <t>BAJA
280</t>
  </si>
  <si>
    <t>ACTIVO
03-FEB-2022</t>
  </si>
  <si>
    <t>BAJA
282</t>
  </si>
  <si>
    <t>ACTIVO
05-FEB-2022</t>
  </si>
  <si>
    <t>DES-INSTALACION
31-AGO-2022</t>
  </si>
  <si>
    <t>REINSTALADO 381</t>
  </si>
  <si>
    <t>ANTERIOR 282</t>
  </si>
  <si>
    <t>RE-INSTALACION
31-AGOSTO-2022</t>
  </si>
  <si>
    <t>BAJA
283</t>
  </si>
  <si>
    <t>ACTIVO
09-FEB-2022</t>
  </si>
  <si>
    <t>REINSTALADO 541</t>
  </si>
  <si>
    <t>ANTERIOR 283</t>
  </si>
  <si>
    <t>DES-INSTALACION
06-JUL-2023</t>
  </si>
  <si>
    <t>RE-INSTALACION
06-JULIO-2023</t>
  </si>
  <si>
    <t>BAJA
284</t>
  </si>
  <si>
    <t>BAJA
286</t>
  </si>
  <si>
    <t>Cte. Jorge Alberto Carrillo Cardenas</t>
  </si>
  <si>
    <t>DES-INSTALACION
18-FEBRERO-2022</t>
  </si>
  <si>
    <t>BAJA 
19-OCTUBRE-2023</t>
  </si>
  <si>
    <t>DES-INSTALACION
19-FEBRERO-2022</t>
  </si>
  <si>
    <t>BAJA
292</t>
  </si>
  <si>
    <t>BAJA
293</t>
  </si>
  <si>
    <t>ACTIVO
25-FEB-2022</t>
  </si>
  <si>
    <t>ACTIVO
01-MAR-2022</t>
  </si>
  <si>
    <t>DES-INSTALACION
01-MARZO-2022</t>
  </si>
  <si>
    <t>RE-INSTALACION
01-MARZO-2022</t>
  </si>
  <si>
    <t>DES-INSTALACION
30-NOVIEMBRE-2022</t>
  </si>
  <si>
    <t>REINSTALADO 293</t>
  </si>
  <si>
    <t>ANTERIOR 292</t>
  </si>
  <si>
    <t>ACTIVO
20-FEB-2025</t>
  </si>
  <si>
    <t>1FADP8N24GL307937
1FADP3N24GL307937
1FADR8N24GL307937
1FADR3N24GL307937</t>
  </si>
  <si>
    <t>ACTIVO
22-FEB-2025</t>
  </si>
  <si>
    <t>Particular 
(Joyas de Anahuac, Escobedo)</t>
  </si>
  <si>
    <t>ACTIVO
27-FEB-2025</t>
  </si>
  <si>
    <t>Particular 
(Portal de Huinala, Apodaca)</t>
  </si>
  <si>
    <t>808 NISSAN SENTRA 2016 GRIS</t>
  </si>
  <si>
    <t xml:space="preserve">2022-02-18 FECHA DE INSTALACION DIFERENTE EN LA PLATAFORMA </t>
  </si>
  <si>
    <t>ACTIVO
04-MAR-2022</t>
  </si>
  <si>
    <t>ACTIVO 
04-FEB-2022</t>
  </si>
  <si>
    <t>Particular 
(Maria Luisa, Monterrey)</t>
  </si>
  <si>
    <t>11:00 a.m. - Cte. Gonzalo de la Rosa Lozano Tel. 8134003513</t>
  </si>
  <si>
    <t>Cte. Gonzalo de la Rosa Lozano Tel. 8134003513</t>
  </si>
  <si>
    <t>Cte. Maria Del Consuelo Torres Jacobo</t>
  </si>
  <si>
    <t>325 DODGE AVENGER BLANCO 2010</t>
  </si>
  <si>
    <t>314 HONDA ODYSSEY PLATA 2010</t>
  </si>
  <si>
    <t>Cte. Mariano Flores Aviles</t>
  </si>
  <si>
    <t>Cte. Jose Guadalupe Pineda Covarrubias</t>
  </si>
  <si>
    <t>Cte. Gabriel Alejandro Rodriguez Perez</t>
  </si>
  <si>
    <t>346 MERCURY MARINE NEGRA 2010</t>
  </si>
  <si>
    <t xml:space="preserve">NISSAN PATHFINDER 2008 </t>
  </si>
  <si>
    <t>BAJA
347</t>
  </si>
  <si>
    <t>ACTIVO
14-JUN-2022</t>
  </si>
  <si>
    <t>Cte. Hector Azael Mendez Garcia / 
Cte. Cosme Baltazar Martinez Miguel</t>
  </si>
  <si>
    <t xml:space="preserve">720 DODGE GRAND CARAVAN 2015 BEIGE </t>
  </si>
  <si>
    <t>2C4RDGCG8FR563695</t>
  </si>
  <si>
    <t>BAJA
360</t>
  </si>
  <si>
    <t>ACTIVO
27-JUL-2022</t>
  </si>
  <si>
    <t>ACTIVO 
05-DIC-2022</t>
  </si>
  <si>
    <t>372 DODGE CALIBER BLANCA 2010 (2020)</t>
  </si>
  <si>
    <t>Particular 
(La Estanzuela, Monterrey)</t>
  </si>
  <si>
    <t>Particular 
(Benito Juarez, Juarez)</t>
  </si>
  <si>
    <t>Particular 
(Enrique Rangel, Santa Catarina)</t>
  </si>
  <si>
    <t>Cte. Luis Fernando Nevarez Mapula</t>
  </si>
  <si>
    <t>376 GMC TERRAIN 2013 NEGRA</t>
  </si>
  <si>
    <t xml:space="preserve">Cte. Jorge Alberto Lopez Aguilar </t>
  </si>
  <si>
    <t>385 CHEVROLET AVEO ROJO 2009</t>
  </si>
  <si>
    <t>301 CHEVROLET BEAT NEGRO 2020</t>
  </si>
  <si>
    <t>CTE. Perla Cecilia Bazan Hernandez</t>
  </si>
  <si>
    <t>Cte. Paulina Johana Perez Cortes 
Tel. 8137172724</t>
  </si>
  <si>
    <t>Particular 
(Paseo Santa Rosa, Apodaca)</t>
  </si>
  <si>
    <t>Particular 
(Unidad Modelo, Monterrey)</t>
  </si>
  <si>
    <t>2CTALSEC9B6473498 / ZCTALSEC986473498</t>
  </si>
  <si>
    <t>Particular 
(Tres Caminos, Guadalupe)</t>
  </si>
  <si>
    <t>399 FORD EDGE PLATA 2013</t>
  </si>
  <si>
    <t>760 FORD ESCAPE ROJA 2016 (2015)</t>
  </si>
  <si>
    <t>412 MAZDA 6 ROJA 2012</t>
  </si>
  <si>
    <t>Cte. Alejandro Arzola Rivera</t>
  </si>
  <si>
    <t xml:space="preserve">701 HONDA ODYSSEY 2007 PLATA </t>
  </si>
  <si>
    <t>2G1FD1E32F9195310</t>
  </si>
  <si>
    <t>ACTIVO
25-FEB-2021</t>
  </si>
  <si>
    <t>Cte. Jesus Gaytan Ovalle</t>
  </si>
  <si>
    <t>Particular
(Niños Heroes, Guadalupe)</t>
  </si>
  <si>
    <t>Particular
(Nogales de la Sierra, Monterrey)</t>
  </si>
  <si>
    <t>448 CHEVROLET CRUZE 2010 ROJO</t>
  </si>
  <si>
    <t>Cte. Alfredo Hilario Francisco</t>
  </si>
  <si>
    <t>ACTIVO 
10-NOV-2022</t>
  </si>
  <si>
    <t xml:space="preserve">Cte. Jazmin Padron Garcia </t>
  </si>
  <si>
    <t>Cte. Edgar Humberto Martinez Sauceda</t>
  </si>
  <si>
    <t>467 VW JETTA GRIS 2008</t>
  </si>
  <si>
    <t>641 JEEP PATRIOT NEGRA 2016</t>
  </si>
  <si>
    <t>BAJA 
466</t>
  </si>
  <si>
    <t>477 CHEVROLET EQUINOX BLANCA 2013</t>
  </si>
  <si>
    <t>Cte. Rosa Isela Herrera Alvarez</t>
  </si>
  <si>
    <t>485 VW BORA NEGRO 2009</t>
  </si>
  <si>
    <t>Cte. Eleazar Martinez Luna</t>
  </si>
  <si>
    <t>Cte. Arely Sarahi Martinez Hernandez</t>
  </si>
  <si>
    <t>492 FORD FIGO BLANCO 2016</t>
  </si>
  <si>
    <t>735 FORD ESCAPE 2015 BLANCA 2017</t>
  </si>
  <si>
    <t>BAJA 
348</t>
  </si>
  <si>
    <t>332 CHEVROLET CAPTIVA PLATA 2013</t>
  </si>
  <si>
    <t xml:space="preserve">Cte. Francisco Rosas Molina </t>
  </si>
  <si>
    <t>C4PJLCB6FW620741 / 1C4PJLCB6FW620741</t>
  </si>
  <si>
    <t>654 JEEP CHEROKEE PLATA 2015</t>
  </si>
  <si>
    <t>405 WV JETTA BLANCO 2013</t>
  </si>
  <si>
    <t>Cte. Cecilia MarcelaOlivares Uribe</t>
  </si>
  <si>
    <t>414 GMC TERRAIN BLANCA 2013</t>
  </si>
  <si>
    <t>Cte. Jesus Lopez Aguilera</t>
  </si>
  <si>
    <t>423 GMC TERRAIN NEGRA 2015</t>
  </si>
  <si>
    <t>443 CHEVROLET MALIBU GRIS 2010 (2009)</t>
  </si>
  <si>
    <t xml:space="preserve">481 DODGE DURANGO 2011 PLATA (2014 ARENA) </t>
  </si>
  <si>
    <t xml:space="preserve">10:00 am - Cte. Jesus Salvador Limon Maldonado Tel. 8117787985 </t>
  </si>
  <si>
    <t>Cte. Victor Hugo Sanchez Rodriguez</t>
  </si>
  <si>
    <t>Cte. Gerardo Mauricio Castillo Jimenez Tel. 8184764363</t>
  </si>
  <si>
    <t>Cte. Manuel Gallegos Bello</t>
  </si>
  <si>
    <t>BAJA 
310</t>
  </si>
  <si>
    <t>310 FORD FOCUS CELESTE 2012</t>
  </si>
  <si>
    <t>Cte. Sofia Guajardo Oyervides</t>
  </si>
  <si>
    <t>BAJA 
11-MARZO-2025</t>
  </si>
  <si>
    <t>BAJA 
329</t>
  </si>
  <si>
    <t>Cte. Miguel Kuri Name</t>
  </si>
  <si>
    <t xml:space="preserve">329 FORD EXPLORER BLANCA 2009 </t>
  </si>
  <si>
    <t>BAJA 
325</t>
  </si>
  <si>
    <t>BAJA 
213</t>
  </si>
  <si>
    <t xml:space="preserve">Cte. Jaime Apolinar Fernández Pacheco </t>
  </si>
  <si>
    <t>BAJA 
290</t>
  </si>
  <si>
    <t xml:space="preserve">Cte. Rogelio Manuel Torres Villanueva </t>
  </si>
  <si>
    <t>BAJA 
295</t>
  </si>
  <si>
    <t xml:space="preserve">Cte. Franco Horacio Cantu Alanis </t>
  </si>
  <si>
    <t>BAJA 
301</t>
  </si>
  <si>
    <t xml:space="preserve">Cte. Perla Cecilia Bazan Hernandez </t>
  </si>
  <si>
    <t>BAJA 
307</t>
  </si>
  <si>
    <t>Cte. Guillermo Zamarripa Hernandez</t>
  </si>
  <si>
    <t>BAJA
314</t>
  </si>
  <si>
    <t xml:space="preserve">Cte. Mario Flores Avilés </t>
  </si>
  <si>
    <t>BAJA 
332</t>
  </si>
  <si>
    <t>3GNAL3EK6DS536495</t>
  </si>
  <si>
    <t xml:space="preserve">Cte. Sandra Ramos Coronado </t>
  </si>
  <si>
    <t>BAJA
335</t>
  </si>
  <si>
    <t xml:space="preserve">335 VW BORA PLATA 2008 </t>
  </si>
  <si>
    <t xml:space="preserve">Cte. José Guadalupe Pineda Covarrubias </t>
  </si>
  <si>
    <t>BAJA
346</t>
  </si>
  <si>
    <t>BAJA 
345</t>
  </si>
  <si>
    <t>Cte. Francisco Javier Silva Blanco</t>
  </si>
  <si>
    <t>BAJA
349</t>
  </si>
  <si>
    <t>Cte. Victor Garcia Sifuentes</t>
  </si>
  <si>
    <t>BAJA
351</t>
  </si>
  <si>
    <t>351 DODGE DAKOTA GRIS 2010</t>
  </si>
  <si>
    <t>BAJA 
360</t>
  </si>
  <si>
    <t>BAJA 
362</t>
  </si>
  <si>
    <t xml:space="preserve">Cte. Jesus Paras Reyes </t>
  </si>
  <si>
    <t>BAJA
368</t>
  </si>
  <si>
    <t xml:space="preserve">Cte. Manuel Gallegos Bello </t>
  </si>
  <si>
    <t>BAJA
372</t>
  </si>
  <si>
    <t>BAJA
373</t>
  </si>
  <si>
    <t>BAJA
376</t>
  </si>
  <si>
    <t>376 GMC TERRAIN NEGRA 2013</t>
  </si>
  <si>
    <t xml:space="preserve">Cte. Luis Fernando Nevarez Mapula </t>
  </si>
  <si>
    <t>BAJA
379</t>
  </si>
  <si>
    <t>BAJA
380</t>
  </si>
  <si>
    <t>380 DODGE DURANGO GRIS 2014</t>
  </si>
  <si>
    <t>1B4RDHAGXEC382842</t>
  </si>
  <si>
    <t>Cte. Raul Antonio Chavez Rodriguez</t>
  </si>
  <si>
    <t>BAJA 
381</t>
  </si>
  <si>
    <t xml:space="preserve">Cte. Monica Magaly Morales Chavez </t>
  </si>
  <si>
    <t>BAJA
384</t>
  </si>
  <si>
    <t>BAJA
385</t>
  </si>
  <si>
    <t>Cte. Jorge Alberto Lopez Aguilar</t>
  </si>
  <si>
    <t>BAJA
389</t>
  </si>
  <si>
    <t>BAJA 
390</t>
  </si>
  <si>
    <t>BAJA
391</t>
  </si>
  <si>
    <t>391 DODGE CALIBER ROJA (GUINDA 2012)</t>
  </si>
  <si>
    <t>BAJA
399</t>
  </si>
  <si>
    <t xml:space="preserve">Cte. Roberto Alonso Juarez </t>
  </si>
  <si>
    <t>2FMDK3KC8D8C07241</t>
  </si>
  <si>
    <t>BAJA
401</t>
  </si>
  <si>
    <t>401 CHEVROLET MALIBU PLATA 2012</t>
  </si>
  <si>
    <t>BAJA
405</t>
  </si>
  <si>
    <t>Cte. Cecilia Marcela Olivares Uribe</t>
  </si>
  <si>
    <t>405 VW JETTA BLANCO 2013</t>
  </si>
  <si>
    <t>BAJA
412</t>
  </si>
  <si>
    <t>BAJA
414</t>
  </si>
  <si>
    <t>BAJA
423</t>
  </si>
  <si>
    <t>BAJA
425</t>
  </si>
  <si>
    <t>BAJA
429</t>
  </si>
  <si>
    <t xml:space="preserve">Cte. J Eleuterio Velez Garcia </t>
  </si>
  <si>
    <t>BAJA
443</t>
  </si>
  <si>
    <t>1G1ZH57BX9F242267</t>
  </si>
  <si>
    <t>BAJA
444</t>
  </si>
  <si>
    <t>1FA6P0G71E5363903</t>
  </si>
  <si>
    <t>BAJA
448</t>
  </si>
  <si>
    <t>448 CHEVROLET CRUZE ROJO 2010</t>
  </si>
  <si>
    <t>BAJA
455</t>
  </si>
  <si>
    <t>455 DODGE AVENGER BLANCO 2012</t>
  </si>
  <si>
    <t>BAJA
457</t>
  </si>
  <si>
    <t>BAJA
462</t>
  </si>
  <si>
    <t>BAJA
467</t>
  </si>
  <si>
    <t xml:space="preserve">Cte. Edgar Humberto Martinez Sauceda </t>
  </si>
  <si>
    <t>BAJA
473</t>
  </si>
  <si>
    <t>Cte. Yessica Flor Rodriguez Velazcos</t>
  </si>
  <si>
    <t>473 FORD RANGER BLANCA 2009</t>
  </si>
  <si>
    <t>BAJA
474</t>
  </si>
  <si>
    <t>BAJA
477</t>
  </si>
  <si>
    <t>BAJA
481</t>
  </si>
  <si>
    <t>BAJA
485</t>
  </si>
  <si>
    <t>BAJA
488</t>
  </si>
  <si>
    <t>BAJA
492</t>
  </si>
  <si>
    <t>BAJA
495</t>
  </si>
  <si>
    <t>495 VW JETTA ROJO 2009</t>
  </si>
  <si>
    <t>BAJA
506</t>
  </si>
  <si>
    <t>BAJA
510</t>
  </si>
  <si>
    <t>BAJA
511</t>
  </si>
  <si>
    <t xml:space="preserve">Cte. Jesus Salvador Limon Maldonado </t>
  </si>
  <si>
    <t>BAJA
564</t>
  </si>
  <si>
    <t>Cte. Diana Elizabetnh Garcia Cordero</t>
  </si>
  <si>
    <t>Cte. Miriam Aleida De Leon Medina</t>
  </si>
  <si>
    <t>BAJA
641</t>
  </si>
  <si>
    <t>BAJA
646</t>
  </si>
  <si>
    <t>Cte. Rovin David Ramirez Martinez</t>
  </si>
  <si>
    <t>BAJA
654</t>
  </si>
  <si>
    <t>Cte. Maria Magda Garcia Lopez</t>
  </si>
  <si>
    <t xml:space="preserve">654 JEEP CHEROKEE PLATA 2015 </t>
  </si>
  <si>
    <t>Cte. Patricia Verónica Galarza</t>
  </si>
  <si>
    <t>BAJA
664</t>
  </si>
  <si>
    <t>BAJA
720</t>
  </si>
  <si>
    <t>Cte. Mauricio Villasana Martinez</t>
  </si>
  <si>
    <t>2C4RDGCG8R563695</t>
  </si>
  <si>
    <t>BAJA
731</t>
  </si>
  <si>
    <t xml:space="preserve">Cte. Hernan Martinez Araujo </t>
  </si>
  <si>
    <t>BAJA
735</t>
  </si>
  <si>
    <t>BAJA
754</t>
  </si>
  <si>
    <t>Cte. Juan Humberto Rodriguez Banda</t>
  </si>
  <si>
    <t>BAJA
760</t>
  </si>
  <si>
    <t>Cte. Norma Julia Estrada Aguirre</t>
  </si>
  <si>
    <t>BAJA
766</t>
  </si>
  <si>
    <t>Cte. Carlos Alberto Everardo Ibarra Lopez</t>
  </si>
  <si>
    <t>BAJA
765</t>
  </si>
  <si>
    <t>Cte. Josue Ivan Mendoza Vazquez</t>
  </si>
  <si>
    <t>Particular 
(Hacienda las Yucas, Apodaca)</t>
  </si>
  <si>
    <t xml:space="preserve">Horario </t>
  </si>
  <si>
    <t>Placas</t>
  </si>
  <si>
    <t>SNE-49- 09</t>
  </si>
  <si>
    <t>3VWRG11K28M171864</t>
  </si>
  <si>
    <t>WMWMF31057TS54454</t>
  </si>
  <si>
    <t>SXU-398-A</t>
  </si>
  <si>
    <t xml:space="preserve"> SXU-398-A</t>
  </si>
  <si>
    <t>MA6CC5CD1LT069914</t>
  </si>
  <si>
    <t>SLJ-873-A</t>
  </si>
  <si>
    <t>1C4NJPFA1ED779145</t>
  </si>
  <si>
    <t>SYG-106-A</t>
  </si>
  <si>
    <t>1FAHP3F24CL352452</t>
  </si>
  <si>
    <t>SPX-735-A</t>
  </si>
  <si>
    <t>SKBRL3862AB803275</t>
  </si>
  <si>
    <t xml:space="preserve">SJL-78-78 </t>
  </si>
  <si>
    <t>SJL-78-78</t>
  </si>
  <si>
    <t>1B3AC4FBXAN104948</t>
  </si>
  <si>
    <t xml:space="preserve"> SRC-73-85</t>
  </si>
  <si>
    <t>SRC-73-85</t>
  </si>
  <si>
    <t>Cte. Miguel Kuri Mane</t>
  </si>
  <si>
    <t>1FMEU63E89UA09308</t>
  </si>
  <si>
    <t>Particular
(Villa las Puentes, San Nicolas)</t>
  </si>
  <si>
    <t>SZW-934-A</t>
  </si>
  <si>
    <t xml:space="preserve">REVISION SIN COBRO, LA UNIDAD TENIA UN CABLE SUELTO </t>
  </si>
  <si>
    <t>BAJA
11-MAR-2025</t>
  </si>
  <si>
    <t>3VWRG11K78M171083</t>
  </si>
  <si>
    <t>SMB-25-57</t>
  </si>
  <si>
    <t>4M2CN8HGXAKJ20290</t>
  </si>
  <si>
    <t>TBT-878-A</t>
  </si>
  <si>
    <t>1B3AC4PB8AN156692</t>
  </si>
  <si>
    <t>STL-990-A</t>
  </si>
  <si>
    <t>17CE3GK6AS212999</t>
  </si>
  <si>
    <t>RB-0575-A</t>
  </si>
  <si>
    <t>1D7CE3GK6AS212999</t>
  </si>
  <si>
    <t>Particular
(Hacienda las Palamas, Apodaca)</t>
  </si>
  <si>
    <t xml:space="preserve">Taller Mecanico
(Las Provincias, Apodaca) </t>
  </si>
  <si>
    <t>Cte. Rigoberto Estrada Gascon / Tel. 8132781919</t>
  </si>
  <si>
    <t>2GKALSEK0E6295024</t>
  </si>
  <si>
    <t>TCL-421-A</t>
  </si>
  <si>
    <t>WVGGV75N2BW538983</t>
  </si>
  <si>
    <t>SSY-49-70</t>
  </si>
  <si>
    <t xml:space="preserve">362 VW TIGUAN 2011 PLATA (GRIS) </t>
  </si>
  <si>
    <t>BAJA
364</t>
  </si>
  <si>
    <t>ANTERIOR 364</t>
  </si>
  <si>
    <t>REINSTALADO 368</t>
  </si>
  <si>
    <t>RE-INSTALADO
09-AGOSTO-2022</t>
  </si>
  <si>
    <t xml:space="preserve">Cte. Alma Nelly Rodriguez Catill
Tel. 8182030094 </t>
  </si>
  <si>
    <t>3G1J85CC9GS604545</t>
  </si>
  <si>
    <t>STT-48-24</t>
  </si>
  <si>
    <t>2GKFL8E31D6288308</t>
  </si>
  <si>
    <t>SHJ-625-A</t>
  </si>
  <si>
    <t>Edificio Multiusos
(Alameda de la Hacienda, Guadalupe)</t>
  </si>
  <si>
    <t>1FMCU0GX6DUC91148</t>
  </si>
  <si>
    <t>Coporativo Apfel 
(Valle de Mesquite, San Pedro)</t>
  </si>
  <si>
    <t>2CTALMEC5B6208282</t>
  </si>
  <si>
    <t>SGZ-831-A</t>
  </si>
  <si>
    <t>3G1TX52609L133972</t>
  </si>
  <si>
    <t>SXA-373-A</t>
  </si>
  <si>
    <t>Cte. Jose Luis Esteva Marquez  Tel. 8116400990</t>
  </si>
  <si>
    <t>COMENTA QUE DESDE INSTALACION DE GPS, SE LE DESCARGA LA BATERIA, REVISION PARA DESCARAGAR. 
FALLA AJENA AL GPS</t>
  </si>
  <si>
    <t>RKC-493-B</t>
  </si>
  <si>
    <t>VSSCE61P17R110363 / VSSCE81P17R110363</t>
  </si>
  <si>
    <t xml:space="preserve">TFJ-030-A </t>
  </si>
  <si>
    <t>TFJ-030-A</t>
  </si>
  <si>
    <t>1C3ADWCBXCD552826</t>
  </si>
  <si>
    <t>SLY-49-79</t>
  </si>
  <si>
    <t xml:space="preserve">Cte. Itzel Ivonne Martinez Vega </t>
  </si>
  <si>
    <t>1G1ZA5E07CF287616</t>
  </si>
  <si>
    <t>SXN-668-A</t>
  </si>
  <si>
    <t>3VWDV49M8DM025681</t>
  </si>
  <si>
    <t>STL-36-43</t>
  </si>
  <si>
    <t>SMA-35-21</t>
  </si>
  <si>
    <t>HZ8CCH1C5M14091 / IYVHZ8CH1C5M14091</t>
  </si>
  <si>
    <t>2GKALYEK1D6369584 / 2GKLYEK1D6369584</t>
  </si>
  <si>
    <t xml:space="preserve">TEZ-598-A </t>
  </si>
  <si>
    <t>TEZ-598-A</t>
  </si>
  <si>
    <t>RE-INSTALADO 423</t>
  </si>
  <si>
    <t>ANTERIOR 423</t>
  </si>
  <si>
    <t>2GKALUEK9D6107143</t>
  </si>
  <si>
    <t>RUF-521-B</t>
  </si>
  <si>
    <t>ACTIVO
30-NOV-2022</t>
  </si>
  <si>
    <t>3VWHG11K69M127681</t>
  </si>
  <si>
    <t>RUM-712-B</t>
  </si>
  <si>
    <t>3VWHG11K69M127881</t>
  </si>
  <si>
    <t>NO APLIACABA EL BLOQUEO 
SE CAMBIA EL RELAY Y SE APLICA BLOQUEO</t>
  </si>
  <si>
    <t>Oficina Apfel 
(Valle Poniente, San Pedro)</t>
  </si>
  <si>
    <t>RSU-362-A</t>
  </si>
  <si>
    <t>3VWHW11K7AM007305</t>
  </si>
  <si>
    <t>Particular
(Jardines de San Rafael, Guadalupe)</t>
  </si>
  <si>
    <t>SYF-931-A</t>
  </si>
  <si>
    <t>Particular 
(Residencial Santa Maria, Guadalupe)</t>
  </si>
  <si>
    <t>RZM-485-B</t>
  </si>
  <si>
    <t>1C3ADZAB0CN186759</t>
  </si>
  <si>
    <t>SJF-774-A</t>
  </si>
  <si>
    <t>3FAHP0JA3AR223088 / 3FAHP0JA6AR223088</t>
  </si>
  <si>
    <t>RWK-869-B</t>
  </si>
  <si>
    <t>3FAHP0JA3AR223088</t>
  </si>
  <si>
    <t>Particular
(Emiliano Zapata, Escobedo9</t>
  </si>
  <si>
    <t>1B3KC56K78N260336</t>
  </si>
  <si>
    <t>RLD-034-B</t>
  </si>
  <si>
    <t>SRZ-14-15</t>
  </si>
  <si>
    <t>3VWYV49MX8M601360</t>
  </si>
  <si>
    <t>RD-5700-A</t>
  </si>
  <si>
    <t>1FTYRI0U78PA49197</t>
  </si>
  <si>
    <t>BAJA
472</t>
  </si>
  <si>
    <t>ACTIVO
04-FEB-2023</t>
  </si>
  <si>
    <t>Particular
(Reseindeical San Nicolas, San Nicolas)</t>
  </si>
  <si>
    <t>ANTERIOR 472</t>
  </si>
  <si>
    <t>REINSTALADO 474</t>
  </si>
  <si>
    <t>RE-INSTALACION
11-FEB-2023</t>
  </si>
  <si>
    <t>SNP-012-4</t>
  </si>
  <si>
    <t>RWY-915-B</t>
  </si>
  <si>
    <t>1G1ZC5E08CF388173</t>
  </si>
  <si>
    <t>3G1J85CC4FS594165</t>
  </si>
  <si>
    <t>TCB-959-A</t>
  </si>
  <si>
    <t>2GNFLGEK8D6271557 / 2GNF1GEK8D6271557</t>
  </si>
  <si>
    <t>SJP-537-A</t>
  </si>
  <si>
    <t>1D4RD2GG0BC617042</t>
  </si>
  <si>
    <t>RUV-837-B</t>
  </si>
  <si>
    <t>3VWRG11K29M135688</t>
  </si>
  <si>
    <t>STX-52-76</t>
  </si>
  <si>
    <t>MAJFP1MD6GA121599</t>
  </si>
  <si>
    <t>3VWRV09M89M643847</t>
  </si>
  <si>
    <t>SDZ-071-B</t>
  </si>
  <si>
    <t>JE3AU86W19U002083</t>
  </si>
  <si>
    <t>SRJ-21-58</t>
  </si>
  <si>
    <t>3VWRX7AJ5AM015978</t>
  </si>
  <si>
    <t>SWR-581-A</t>
  </si>
  <si>
    <t>1J4RR4GG0BC505488</t>
  </si>
  <si>
    <t>SGW-833-</t>
  </si>
  <si>
    <t>VSSSK46J7AR136583</t>
  </si>
  <si>
    <t>RVG-070-B</t>
  </si>
  <si>
    <t>Cte. Diana Elizabetn Garcia Cordero / Cte. 8110224072</t>
  </si>
  <si>
    <t>Cte. Miriam Aleida 
Contacto Juan Pablo 8116913857</t>
  </si>
  <si>
    <t>Cualquier hora</t>
  </si>
  <si>
    <t>ACTIVO 
26-OCT-2024</t>
  </si>
  <si>
    <t>Particular
(Fracc. Dos Rios, Guadalupe)</t>
  </si>
  <si>
    <t>Cte. David Javier Pérez Montoya Tel. 8116228993</t>
  </si>
  <si>
    <t xml:space="preserve">763 HONDA CIVIC 2010 AZUL </t>
  </si>
  <si>
    <t>RLB-893-A</t>
  </si>
  <si>
    <t>19XFA1652AE903260</t>
  </si>
  <si>
    <t xml:space="preserve">Cte. Rovin Ramirez / Lic. Zulema Tel. 8110224072 </t>
  </si>
  <si>
    <t>Cte. Maria Magda Garcia Lopez   Tel. 8134191953</t>
  </si>
  <si>
    <t>Cte. Patricia Verónica Galarza  Tel. 8126070422</t>
  </si>
  <si>
    <t>3WKADR9X72F606009</t>
  </si>
  <si>
    <t xml:space="preserve"> 3WKADR9X72F606009</t>
  </si>
  <si>
    <t>PV-3017-B / 065230</t>
  </si>
  <si>
    <t>Cte. Mauricio Villasana Martinez / Contacto Tel. 8136191211</t>
  </si>
  <si>
    <t>Cte. Hernan Martinez Araujo</t>
  </si>
  <si>
    <t>TFP-637-B</t>
  </si>
  <si>
    <t>19FA1684AE900130 / 19XFA1684AE900130</t>
  </si>
  <si>
    <t xml:space="preserve"> TFP-637-B</t>
  </si>
  <si>
    <t>TFB-052-B</t>
  </si>
  <si>
    <t>Cte. Javier Rodriguez Rios Tel. 8125652836</t>
  </si>
  <si>
    <t>1FMCU0LJ98FUB13979 / 1FMCU0J98FUB13979</t>
  </si>
  <si>
    <t xml:space="preserve">Avisa antes de ir </t>
  </si>
  <si>
    <t xml:space="preserve">Cte. Juan Humberto / Contacto Srta. Blanca 8136191211 </t>
  </si>
  <si>
    <t>3VWD17AJ1GM412690</t>
  </si>
  <si>
    <t>RKB-555-C</t>
  </si>
  <si>
    <t>Cte. Norma Julia Estrada Aguirre
Contacto Srta. Gina Tel. 8123886850</t>
  </si>
  <si>
    <t>1FMCU0G97FUB88468</t>
  </si>
  <si>
    <t>RKP-878-C</t>
  </si>
  <si>
    <t>Cte. Josue Ivan Mendoza Vazquez / Contacto 8136191211</t>
  </si>
  <si>
    <t>2GKFLSEK7G6109472</t>
  </si>
  <si>
    <t>RLC-098-C</t>
  </si>
  <si>
    <t>Cte. Carlos Alberto Everardo Ibarra Lopez / Contacto Tel. 8136191211</t>
  </si>
  <si>
    <t>Antes de la 1 pm</t>
  </si>
  <si>
    <t>Cte. Gpe Ricardo Almaguer / Contacto Tel. 8115843926</t>
  </si>
  <si>
    <t>Cte. Gpe. Ricardo Almaguer / Contacto Tel. 8115843926</t>
  </si>
  <si>
    <t>RRA-931-C</t>
  </si>
  <si>
    <t>TCG-927-B</t>
  </si>
  <si>
    <t>5NPE34AF3FH078825</t>
  </si>
  <si>
    <t>SPP-996-A / RYR-829-A</t>
  </si>
  <si>
    <t>3FA6P0K95ER117099 / 3FAHP08186R102947</t>
  </si>
  <si>
    <t>CAMBIO DE SIM</t>
  </si>
  <si>
    <t>REVISION
24-MAR-2022</t>
  </si>
  <si>
    <t>3VWJZ71K68M088786</t>
  </si>
  <si>
    <t>SRT-009-A</t>
  </si>
  <si>
    <t>SLA-32-01</t>
  </si>
  <si>
    <t>3VWJW11K0AM087709</t>
  </si>
  <si>
    <t>Cte. Sergio Javier Gaona / Contacto Tel. 8123886850</t>
  </si>
  <si>
    <t>1G17K57B59F178642</t>
  </si>
  <si>
    <t>RLD-724-A</t>
  </si>
  <si>
    <t>STT-64-30</t>
  </si>
  <si>
    <t>XL1PJ5C56CK578619</t>
  </si>
  <si>
    <t>Cte. Blanca Iris Anaya Marquez 
Cte. Blanca Iris Ayala Marquez</t>
  </si>
  <si>
    <t>Particular
(Topo Grande, Escobedo)</t>
  </si>
  <si>
    <t xml:space="preserve">Cte. Francia Josefina Lara Rios / Contacto  Tel. 8117050013 </t>
  </si>
  <si>
    <t>WAUAYA8X6CB226795</t>
  </si>
  <si>
    <t>SUB-32-72 / SZN-944-A</t>
  </si>
  <si>
    <t>RWY-554-B</t>
  </si>
  <si>
    <t>Cte. Julio Ismael Sanchez Garcia
Tel. 8127475376</t>
  </si>
  <si>
    <t>3D4PG5FB8AT237200</t>
  </si>
  <si>
    <t>RB-4635-B</t>
  </si>
  <si>
    <t>3VWXV52R0AM950038</t>
  </si>
  <si>
    <t>Cte. Manuel Fermin Cisneros Torres
Tel. 8134724952</t>
  </si>
  <si>
    <t>Particular
(Campestre Huiala, Apodaca)</t>
  </si>
  <si>
    <t>SRX-54-42</t>
  </si>
  <si>
    <t>1G1Z95E03CF109517</t>
  </si>
  <si>
    <t xml:space="preserve">1G1Z95E03CF109517 </t>
  </si>
  <si>
    <t>RUB-314-B</t>
  </si>
  <si>
    <t>Particular
(GAS LP, Blvd. Gustavo Díaz Ordaz)</t>
  </si>
  <si>
    <t>9:30 am / 2 pm</t>
  </si>
  <si>
    <t>Cte. Irving Omar Cardenas Montano Tel. 8182533514</t>
  </si>
  <si>
    <t>VSSMK46J2DR109238</t>
  </si>
  <si>
    <t>STX-607-B</t>
  </si>
  <si>
    <t>VSSGB26J2GR096741</t>
  </si>
  <si>
    <t>Particular
(Miguel Aleman, San Nicolas)</t>
  </si>
  <si>
    <t>Cte. Argelia Nataly Del Angel Lozano  Tel. 8184712713</t>
  </si>
  <si>
    <t>SUW-823-B</t>
  </si>
  <si>
    <t>5NPDH4AE6EH485282</t>
  </si>
  <si>
    <t xml:space="preserve">Cte. Miriam Karely Hernandez Moreno
Contacto Zulema  Tel. 8110224072 </t>
  </si>
  <si>
    <t>Cte. Gustavo Adolfo González García Tel. 8126427400</t>
  </si>
  <si>
    <t>RRJ-402-C</t>
  </si>
  <si>
    <t>1FMCU0GX7GUB00681</t>
  </si>
  <si>
    <t>Cte. Eliud Isaac López Martínez  Tel. 8125800867</t>
  </si>
  <si>
    <t>RLY-115-C</t>
  </si>
  <si>
    <t>3VW2B7AJ9HM211464</t>
  </si>
  <si>
    <t>Cte. Adrian Rdz Niño
Contacto Tel. 8123886850</t>
  </si>
  <si>
    <t>Cte. Yolanda Espiricueta / Contacto 8123886850</t>
  </si>
  <si>
    <t>9 / 9:30 am</t>
  </si>
  <si>
    <t>Cte. Edgar Uriel Gutierez Collazo Tel. 8124483280</t>
  </si>
  <si>
    <t>SWW-163-B</t>
  </si>
  <si>
    <t>CY5ASTXPL2CS</t>
  </si>
  <si>
    <t>Cte. Sergio Felix Colunga Tel. 8134565461</t>
  </si>
  <si>
    <t>RRR-062-C</t>
  </si>
  <si>
    <t>3N1AB7AP1GY286642</t>
  </si>
  <si>
    <t>ACTIVO 
18-MAR-2025</t>
  </si>
  <si>
    <t>Cte. Jose Candelario 
Contacto Lote 8115843926</t>
  </si>
  <si>
    <t>809 FORD EXPLORER 2016 NEGRO</t>
  </si>
  <si>
    <t>1FM5K8D8XGGA29646</t>
  </si>
  <si>
    <t>BAJA 
18-MARZO-2025</t>
  </si>
  <si>
    <t>BAJA
18-MAR-2025</t>
  </si>
  <si>
    <t>BAJA
106</t>
  </si>
  <si>
    <t>Cte. Jose Jorge Nunez Pineda</t>
  </si>
  <si>
    <t>WDDGF4JBXCA562903</t>
  </si>
  <si>
    <t>Cte. Arnulfo Garcia Caballero</t>
  </si>
  <si>
    <t>BAJA
165</t>
  </si>
  <si>
    <t>ML3AB26J4HH010296</t>
  </si>
  <si>
    <t>400 NISSAN PATHFIDER PLATA 2008</t>
  </si>
  <si>
    <t xml:space="preserve">404 VW BORA ROJO </t>
  </si>
  <si>
    <t>411 GMC ACADIA BLANCA</t>
  </si>
  <si>
    <t>420 FORD FOCUS GRIS 2014</t>
  </si>
  <si>
    <t>487 CHEVROLET MALIBU PLATA</t>
  </si>
  <si>
    <t xml:space="preserve">532 FORD FOCUS 2014 ROJO </t>
  </si>
  <si>
    <t xml:space="preserve">538 MKX LINCOLN NEGRA </t>
  </si>
  <si>
    <t>545 CHEVROLET MALIBU PLATA 2009</t>
  </si>
  <si>
    <t>558 VW JETTA SE PLATA</t>
  </si>
  <si>
    <t>570 FORD F-150 CAFÉ</t>
  </si>
  <si>
    <t xml:space="preserve">583 JEEP PATRIOT GRIS </t>
  </si>
  <si>
    <t xml:space="preserve">663 SEAT IBIZA 2011 NEGRO </t>
  </si>
  <si>
    <t>Cte. Monica Aguirre Hansen</t>
  </si>
  <si>
    <t>Cte. Alejandro Constantino Olivares Fornue</t>
  </si>
  <si>
    <t>Cte. Edgar Yamil Amaya Portillo</t>
  </si>
  <si>
    <t>Cte. Brandon Alejandro Gamez Silva</t>
  </si>
  <si>
    <t>Cte. Gabriela Adriana Cerda Camacho</t>
  </si>
  <si>
    <t>Cte. Jaime Humberto Rosales Luna</t>
  </si>
  <si>
    <t>Cte. Adrian Alejandro Esquivel Pena</t>
  </si>
  <si>
    <t>Cte. Briones Silva Rosalinda</t>
  </si>
  <si>
    <t>Cte. Hector Trejo Flores</t>
  </si>
  <si>
    <t>Cte. Jhonatan Perez Damian</t>
  </si>
  <si>
    <t>Cte. Argelia Evangelina Ruiz Alvarado</t>
  </si>
  <si>
    <t>Cte. Jaime Tienda Diaz</t>
  </si>
  <si>
    <t>Cte. Jaime Andres Chapa Becerra</t>
  </si>
  <si>
    <t>Cte. Ricardo Torres Lopez</t>
  </si>
  <si>
    <t>Cte. Adriana Anahi Carreon Moreno</t>
  </si>
  <si>
    <t>Cte. Ricardo Salais Rivera</t>
  </si>
  <si>
    <t>Cte. Renzo Ossio Serrano Ibarra</t>
  </si>
  <si>
    <t>Cte. Rocio Del Carmen Gonzalez Ramirez</t>
  </si>
  <si>
    <t>Cte. Tania Vargas Sifuentes</t>
  </si>
  <si>
    <t>Cte. Yanett Vicencio Cruz</t>
  </si>
  <si>
    <t>Cte. Esmeralda Hernandez Hernandez</t>
  </si>
  <si>
    <t>Cte. Alejandro Hernandez Salazar</t>
  </si>
  <si>
    <t>Cte. Alexia Ayde Escamilla Vazquez</t>
  </si>
  <si>
    <t>BAJA
193</t>
  </si>
  <si>
    <t>BAJA
270</t>
  </si>
  <si>
    <t>BAJA
296</t>
  </si>
  <si>
    <t>BAJA
404</t>
  </si>
  <si>
    <t>BAJA
411</t>
  </si>
  <si>
    <t>BAJA
413</t>
  </si>
  <si>
    <t>BAJA
400</t>
  </si>
  <si>
    <t>BAJA
420</t>
  </si>
  <si>
    <t>BAJA
421</t>
  </si>
  <si>
    <t>BAJA
434</t>
  </si>
  <si>
    <t>BAJA
447</t>
  </si>
  <si>
    <t>BAJA
471</t>
  </si>
  <si>
    <t>BAJA
487</t>
  </si>
  <si>
    <t>BAJA
489</t>
  </si>
  <si>
    <t>BAJA
508</t>
  </si>
  <si>
    <t>BAJA
509</t>
  </si>
  <si>
    <t>BAJA
512</t>
  </si>
  <si>
    <t>BAJA
531</t>
  </si>
  <si>
    <t>BAJA
532</t>
  </si>
  <si>
    <t>BAJA
533</t>
  </si>
  <si>
    <t>BAJA
534</t>
  </si>
  <si>
    <t>BAJA
535</t>
  </si>
  <si>
    <t>BAJA
538</t>
  </si>
  <si>
    <t>BAJA
542</t>
  </si>
  <si>
    <t>BAJA
544</t>
  </si>
  <si>
    <t>BAJA
545</t>
  </si>
  <si>
    <t>BAJA
548</t>
  </si>
  <si>
    <t>BAJA
553</t>
  </si>
  <si>
    <t>BAJA
558</t>
  </si>
  <si>
    <t>BAJA
560</t>
  </si>
  <si>
    <t>BAJA
570</t>
  </si>
  <si>
    <t>BAJA
573</t>
  </si>
  <si>
    <t>BAJA
576</t>
  </si>
  <si>
    <t>BAJA
580</t>
  </si>
  <si>
    <t>BAJA
583</t>
  </si>
  <si>
    <t>BAJA
605</t>
  </si>
  <si>
    <t>BAJA
621</t>
  </si>
  <si>
    <t>BAJA
655</t>
  </si>
  <si>
    <t>BAJA
663</t>
  </si>
  <si>
    <t>BAJA
668</t>
  </si>
  <si>
    <t>BAJA
680</t>
  </si>
  <si>
    <t>BAJA
683</t>
  </si>
  <si>
    <t>BAJA
694</t>
  </si>
  <si>
    <t>BAJA
702</t>
  </si>
  <si>
    <t>BAJA
704</t>
  </si>
  <si>
    <t>BAJA
709</t>
  </si>
  <si>
    <t>BAJA
733</t>
  </si>
  <si>
    <t>BAJA
742</t>
  </si>
  <si>
    <t>BAJA
748</t>
  </si>
  <si>
    <t>BAJA
773</t>
  </si>
  <si>
    <t>BAJA
799</t>
  </si>
  <si>
    <t>KNDJN3A1XJ7559868</t>
  </si>
  <si>
    <t>RRT-263-A</t>
  </si>
  <si>
    <t>2T3BK31VX9W001504</t>
  </si>
  <si>
    <t>2GNALDEK8D1106761</t>
  </si>
  <si>
    <t>SXU-570-A</t>
  </si>
  <si>
    <t>5N1AR18U08C661962</t>
  </si>
  <si>
    <t>SDV-171-A</t>
  </si>
  <si>
    <t>Cte. Dora Elia Garza Aguilera / 
Cte. Ricardo Ojeda Garza</t>
  </si>
  <si>
    <t>3VWFS71KX8M019433</t>
  </si>
  <si>
    <t>STB-073-A</t>
  </si>
  <si>
    <t>1FADP3F2XEL345474</t>
  </si>
  <si>
    <t>RMP-105-B</t>
  </si>
  <si>
    <t>3FAHP0JA3AR174741</t>
  </si>
  <si>
    <t>RUG-906-B</t>
  </si>
  <si>
    <t>VSSMK46J6BR118831</t>
  </si>
  <si>
    <t>SXP-532-A</t>
  </si>
  <si>
    <t>1G1ZC5E02AF145391</t>
  </si>
  <si>
    <t>SCS-241-B</t>
  </si>
  <si>
    <t>3G1TA5AFXEL155314</t>
  </si>
  <si>
    <t>SKR-43-66</t>
  </si>
  <si>
    <t>Cte. Elizabeth Vargas Lopez
Cte. Elisabet Vargas Lopes</t>
  </si>
  <si>
    <t>3VWD17AJ5FM234961</t>
  </si>
  <si>
    <t>SGL-950-B</t>
  </si>
  <si>
    <t>2HGFG11859H901018</t>
  </si>
  <si>
    <t>EXA-194-B</t>
  </si>
  <si>
    <t>1FADP3F26EL400582 / 1FADP3F26EL400583</t>
  </si>
  <si>
    <t>3VWHG11KX9M041974</t>
  </si>
  <si>
    <t>SNW-55-24</t>
  </si>
  <si>
    <t>JE3AU86W99U000744</t>
  </si>
  <si>
    <t>1FTFW1CT8CKD42373</t>
  </si>
  <si>
    <t>PZ-4251-A</t>
  </si>
  <si>
    <t>1G1ZC5EU5BF134311</t>
  </si>
  <si>
    <t>VSSXK46JXCR1014655</t>
  </si>
  <si>
    <t>SND-817-B</t>
  </si>
  <si>
    <t>3VWD17AJ8FM246716</t>
  </si>
  <si>
    <t>SRB-845-B</t>
  </si>
  <si>
    <t>SYV-793-A</t>
  </si>
  <si>
    <t>1FTRX12W46KD40680</t>
  </si>
  <si>
    <t>2HGFG11897H900001</t>
  </si>
  <si>
    <t>SZN-516-A</t>
  </si>
  <si>
    <t>1FADP3K26DL202798</t>
  </si>
  <si>
    <t>RWW-085-B</t>
  </si>
  <si>
    <t>JM3ER293090233367</t>
  </si>
  <si>
    <t>SBX-740-B</t>
  </si>
  <si>
    <t>2GNALDEK2D6152959</t>
  </si>
  <si>
    <t>TAB-473-A</t>
  </si>
  <si>
    <t>VSSMK46J0BR091951</t>
  </si>
  <si>
    <t>RKE-885-A</t>
  </si>
  <si>
    <t>1GCEC19J29Z267132</t>
  </si>
  <si>
    <t>RL-8015-A</t>
  </si>
  <si>
    <t>2HGFG12809H900681</t>
  </si>
  <si>
    <t>TDR-799-B</t>
  </si>
  <si>
    <t>2B3KA43D19H584608</t>
  </si>
  <si>
    <t>SEG-587-B</t>
  </si>
  <si>
    <t>5GAKRBKD6EJ285798 / 5GAKRBKD6EJ285797</t>
  </si>
  <si>
    <t>TGJ-135-B</t>
  </si>
  <si>
    <t>2GKALSEKXE6185582</t>
  </si>
  <si>
    <t>SBB-757-B</t>
  </si>
  <si>
    <t>3G1TB5BF3CL158547</t>
  </si>
  <si>
    <t>SPP-326-A</t>
  </si>
  <si>
    <t>KNADM4A37G6658442</t>
  </si>
  <si>
    <t>TFV-618-A</t>
  </si>
  <si>
    <t>Cte. Alejandro Constantino Olivares  Fomue</t>
  </si>
  <si>
    <t>Cte. Oscar de la Cruz Tel. 8123585506
Cte. Oscar Saucedo Cruz</t>
  </si>
  <si>
    <t>Cte. Celestino Morales Nazario Tel. 8129049406</t>
  </si>
  <si>
    <t>Particular
(Praderas del Oriente, Juarez)</t>
  </si>
  <si>
    <t>Particular
(Colina de San Bernabe, Monterrey)</t>
  </si>
  <si>
    <t>Cte. Adalberto Salazar Garcia 
Tel. 8111772026
Cte. Jonathan David Hinojosa Veliz</t>
  </si>
  <si>
    <t>Particular
(Monterrey)</t>
  </si>
  <si>
    <t>Particular
(Fracc. Las Puentes, San Nicolas)</t>
  </si>
  <si>
    <t>Particular 
(Cordilleras del Virrey, Santa Catarina)</t>
  </si>
  <si>
    <t>Cte. Ruben Juventino Aleman Ramos  Tel. 8124247448</t>
  </si>
  <si>
    <t>Particular
(Hacienda los Pinos III, Apodaca)</t>
  </si>
  <si>
    <t>Cte. Oswaldo Palacios Hernandez 
Victor - Tel. 8110076489</t>
  </si>
  <si>
    <t>Particular
Garages y Talleres, Monterrey)</t>
  </si>
  <si>
    <t>Cte. Brayan Arturo Munoz Rivera  Tel. 8115900869</t>
  </si>
  <si>
    <t xml:space="preserve">Cte. Edgar Alfonso Rohan Garza 
Tel. 8123428056 /  8127249029 </t>
  </si>
  <si>
    <t>Particular 
(Balcones de Santa Rosa, Apodaca)</t>
  </si>
  <si>
    <t>Cte. Manuel De Jesus Camargo Moreno Tel. 8124013976</t>
  </si>
  <si>
    <t>Particular 
(Eje Metropolitano, Guadalupe)</t>
  </si>
  <si>
    <t>Cte. Jaime Tenda Diaz</t>
  </si>
  <si>
    <t>Particular
(Talaverna, San Nicolas)</t>
  </si>
  <si>
    <t>Cte. Georgina Saldaña Rodriguez 
tel. 8112432724</t>
  </si>
  <si>
    <t>Automotriz San Miguel
(Villa de San Miguel, Guadalupe)</t>
  </si>
  <si>
    <t xml:space="preserve">Cte. Alejandro Lopez Cano 
Tel. 8114874011 </t>
  </si>
  <si>
    <t>Cte. Denisse Maribel Rodriguez Galindo Tel. 8110224072</t>
  </si>
  <si>
    <t>4T1BF3EK8AU075330 / 4T1BF3EK8AU0753300</t>
  </si>
  <si>
    <t>Particular
(Nuevo Repueblo, Monterrey)</t>
  </si>
  <si>
    <t>Cte. Felix Alexander Martinez Esquivel 
Erick Martinez - 8117946293</t>
  </si>
  <si>
    <t>Auto Climas Morales 
(Chapultepec, San Nicolas)</t>
  </si>
  <si>
    <t>Cte. Luis Javier Delgado Arredondo  Tel. 8131759006</t>
  </si>
  <si>
    <t>Particular
(Residencial Las Flores, Escobedo)</t>
  </si>
  <si>
    <t>Cte. Miguel Alejandro García Urbina  Tel. 8131910717</t>
  </si>
  <si>
    <t>Cte. Tania Sifuetes Vargas</t>
  </si>
  <si>
    <t xml:space="preserve">TAB-473-A </t>
  </si>
  <si>
    <t xml:space="preserve">Cte. Rafael Alejandro Gonzales Cordero Tel. 8129705354  </t>
  </si>
  <si>
    <t>Particular 
(Misión de Santa Catarina)</t>
  </si>
  <si>
    <t>Cte Jonathan Alfonso Vázquez Alejo  Tel. 8121964504</t>
  </si>
  <si>
    <t>Cte. Maria de los Angeles  Tel. 8134191953</t>
  </si>
  <si>
    <t>1B3AD4FB6BN563280</t>
  </si>
  <si>
    <t>ACTIVO 
07-ABR-2021</t>
  </si>
  <si>
    <t>Cte. Alejandro Hernandez Salazar
Contacto Erick 8180126113</t>
  </si>
  <si>
    <t>Cte. Yahir Alexander Medina Gallegos  Tel. 8135279375</t>
  </si>
  <si>
    <t>Cte. Noe Alejandro Ramos Rodriguez  Tel. 8132495224</t>
  </si>
  <si>
    <t>Cte. Alexis / Contacto 81361912
Cte. Rolando Javier Coronado Serratos</t>
  </si>
  <si>
    <t>Cte. Victor Eduardo Luna Godina 
Contacto 8134444175 Misael Lot</t>
  </si>
  <si>
    <t>Cte. Víctor Eduardo Luna Godina Tel. 8132434326</t>
  </si>
  <si>
    <t xml:space="preserve">Cte. Luis Montiel Espinoza Tel. 8121911747 </t>
  </si>
  <si>
    <t>Cte. Hector Elias Moron Guajardo / Contacto 8123886850</t>
  </si>
  <si>
    <t xml:space="preserve">Cualquier hora - Avisar Antes </t>
  </si>
  <si>
    <t>Contacto 8123886850</t>
  </si>
  <si>
    <t>RPL-270-C</t>
  </si>
  <si>
    <t>JTMZD33V385086486</t>
  </si>
  <si>
    <t>Particular 
(Adolfo Lopez Mateos, Santa Catarina)</t>
  </si>
  <si>
    <t>Mario Alberto Moreno Becerra
 Tel. 8135601746</t>
  </si>
  <si>
    <t>Cte. Sandra Elizabeth Moreno Hernandez  Tel. 8110422110</t>
  </si>
  <si>
    <t>Cte. Nancy Maribel Arellano Silva Tel. 8118208505</t>
  </si>
  <si>
    <t>Cte. Claudia Ruiz Nava Tel. 8110035940</t>
  </si>
  <si>
    <t>Cte. Jesús Angel Caballero Gámez Tel. 8186572298</t>
  </si>
  <si>
    <t>Cte. Gustavo Lara / Contacto 8123886850</t>
  </si>
  <si>
    <t>Cte. Karen Liset Torres Quezada  Tel. 8130778313</t>
  </si>
  <si>
    <t>Cte. Maricela Priscila Berenice Treviño Lozano Tel. 8136183765</t>
  </si>
  <si>
    <t>1C4NJCBB8ED769770</t>
  </si>
  <si>
    <t>STA-442-B</t>
  </si>
  <si>
    <t>1FAHP3H22CL297108</t>
  </si>
  <si>
    <t>SUH-252-A</t>
  </si>
  <si>
    <t>3MZBM2V70FM165743</t>
  </si>
  <si>
    <t>RWV-711-B</t>
  </si>
  <si>
    <t>1C4NJCCB1ED825918</t>
  </si>
  <si>
    <t>SYE-551-B</t>
  </si>
  <si>
    <t>ACTIVO 
02-NOV-2020</t>
  </si>
  <si>
    <t>5LTPW188586</t>
  </si>
  <si>
    <t>DES-INSTALACION
05-NOVIEMBRE-2020</t>
  </si>
  <si>
    <t>RE-INSTALACION
05-NOVIEMBRE-2020</t>
  </si>
  <si>
    <t xml:space="preserve">Cte. Dora Hilda Flores </t>
  </si>
  <si>
    <t>ACTIVO
04-NOV-2020</t>
  </si>
  <si>
    <t>Eder</t>
  </si>
  <si>
    <t>3VWHG11K78M042420</t>
  </si>
  <si>
    <t>RRD-421-A</t>
  </si>
  <si>
    <t>Cte. Fredis Fernando Cruz Diaz</t>
  </si>
  <si>
    <t>YA ERA BAJA - DES-INSTALACION 18-FEBRERO-2022</t>
  </si>
  <si>
    <t>ACTIVO
13-NOV-2020</t>
  </si>
  <si>
    <t xml:space="preserve">Cte. Alejandro Constantino Olivares Fomue </t>
  </si>
  <si>
    <t xml:space="preserve">BAJA - MIGRACION DE UNIDAD 
SE GENERA CTA. GABRIELA JUAREZ </t>
  </si>
  <si>
    <t xml:space="preserve">Particular 
(ExHacinedo el Rosario, Juarez) </t>
  </si>
  <si>
    <t>Cte. Liliana Laureano Callejas</t>
  </si>
  <si>
    <t>SET-403-A</t>
  </si>
  <si>
    <t>2CNALDEC4B6210712</t>
  </si>
  <si>
    <t>SSB-50-68</t>
  </si>
  <si>
    <t>1N4AL21D08C260603</t>
  </si>
  <si>
    <t>ACTIVO
27-NOV-2020</t>
  </si>
  <si>
    <t>3GNBAAFW6BS645066</t>
  </si>
  <si>
    <t>SEC-799-A</t>
  </si>
  <si>
    <t xml:space="preserve">Cte. Samuel Alejandro Alanis Martinez </t>
  </si>
  <si>
    <t>Cte. Paul Michelle Aquino Saucedo</t>
  </si>
  <si>
    <t>ACTIVO 
27-MAR-2025</t>
  </si>
  <si>
    <t>Cualquier horario</t>
  </si>
  <si>
    <t>Cte. Luis Manuel Gamez Hernandez / Contacto 8115843929</t>
  </si>
  <si>
    <t>810 HYUNDAI SONATA 2016 AZUL</t>
  </si>
  <si>
    <t>5NPE24AF3GH378658</t>
  </si>
  <si>
    <t>BAJA 
001</t>
  </si>
  <si>
    <t>BAJA
28-MAR-2025</t>
  </si>
  <si>
    <t>Cte. Samuel Alejandro Alanis Martinez</t>
  </si>
  <si>
    <t xml:space="preserve">BAJA NO ESTABA EN LA LISTADO DE ACTIVO </t>
  </si>
  <si>
    <t>BAJA 
397</t>
  </si>
  <si>
    <t>BAJA
505</t>
  </si>
  <si>
    <t>BAJA
513</t>
  </si>
  <si>
    <t>BAJA
516</t>
  </si>
  <si>
    <t>BAJA
517</t>
  </si>
  <si>
    <t>JE3AU86W99U034490</t>
  </si>
  <si>
    <t>SDX-744-B</t>
  </si>
  <si>
    <t>1G1ZA5E04AF114777</t>
  </si>
  <si>
    <t>SBU-059-A</t>
  </si>
  <si>
    <t>BAJA
518</t>
  </si>
  <si>
    <t>BAJA
520</t>
  </si>
  <si>
    <t>BAJA
522</t>
  </si>
  <si>
    <t>BAJA
557</t>
  </si>
  <si>
    <t>BAJA
586</t>
  </si>
  <si>
    <t>BAJA
603</t>
  </si>
  <si>
    <t>BAJA
644</t>
  </si>
  <si>
    <t>BAJA
752</t>
  </si>
  <si>
    <t>BAJA
677</t>
  </si>
  <si>
    <t xml:space="preserve">518 DODGE JOURNEY GRIS </t>
  </si>
  <si>
    <t>3C4PDCBB0FT572507</t>
  </si>
  <si>
    <t>3C4PDCBG1CT199548</t>
  </si>
  <si>
    <t>SJZ-434-B</t>
  </si>
  <si>
    <t xml:space="preserve">Cte. Karina Patricia Hernandez Lopez </t>
  </si>
  <si>
    <t>Cte. Jose Adrian Martinez Luna</t>
  </si>
  <si>
    <t>Cte. Alvaro Frias Nava</t>
  </si>
  <si>
    <t xml:space="preserve">Cte. Samantha Montserrat Quintanilla Correa </t>
  </si>
  <si>
    <t>Cte. Carlos Alberto Santana Luna</t>
  </si>
  <si>
    <t>Cte. Emmanuel Salazar Hernandez</t>
  </si>
  <si>
    <t>Cte. Carlos Alberto Gonzalez Lucio</t>
  </si>
  <si>
    <t>3N1CN7AD6DL853393</t>
  </si>
  <si>
    <t>SUN-321-B</t>
  </si>
  <si>
    <t>644 FORD FOCUS 2015 PLATA</t>
  </si>
  <si>
    <t>TGT-642-B</t>
  </si>
  <si>
    <t xml:space="preserve">Cte. Mario del Angel </t>
  </si>
  <si>
    <t>MALB25BC6NM262058</t>
  </si>
  <si>
    <t>SZG-315-A</t>
  </si>
  <si>
    <t>BAJA 
002</t>
  </si>
  <si>
    <t>BAJA
003</t>
  </si>
  <si>
    <t>Cte. Cesar Rolando Ramirez Martinez</t>
  </si>
  <si>
    <t>BAJA
004</t>
  </si>
  <si>
    <t>BAJA
005</t>
  </si>
  <si>
    <t>Cte. Luz Del Carmen Cavazos Rodriguez</t>
  </si>
  <si>
    <t>BAJA
006</t>
  </si>
  <si>
    <t>Cte. Raymundo Ricardo Villalobos Sanchez</t>
  </si>
  <si>
    <t>BAJA
007</t>
  </si>
  <si>
    <t>BAJA
009</t>
  </si>
  <si>
    <t>Cte. Carlos Alfredo Alvarado Alvarado</t>
  </si>
  <si>
    <t>Cte. Diego Sandoval Leal</t>
  </si>
  <si>
    <t>BAJA
010</t>
  </si>
  <si>
    <t>Cte. Guillermo De La Rosa Beltran</t>
  </si>
  <si>
    <t>BAJA
012</t>
  </si>
  <si>
    <t>Cte. Adolfo Andres Macias Coronado</t>
  </si>
  <si>
    <t>BAJA
018</t>
  </si>
  <si>
    <t>Cte. Santiago Arzola Gonzalez</t>
  </si>
  <si>
    <t>BAJA
019</t>
  </si>
  <si>
    <t>Cte. Jose Luis Dominguez Gonzalez</t>
  </si>
  <si>
    <t>BAJA
024</t>
  </si>
  <si>
    <t>Cte. Ruben Netro Lara</t>
  </si>
  <si>
    <t>BAJA
027</t>
  </si>
  <si>
    <t>Cte. Jose Luis Trejo Salazar</t>
  </si>
  <si>
    <t>BAJA
028</t>
  </si>
  <si>
    <t xml:space="preserve">028 DODGE AVENGER 2013 </t>
  </si>
  <si>
    <t>Cte. Jonathan Elías Vega</t>
  </si>
  <si>
    <t>BAJA
097</t>
  </si>
  <si>
    <t>Cte. Dora Hilda Flores</t>
  </si>
  <si>
    <t>BAJA
099</t>
  </si>
  <si>
    <t>Cte. Fredis Fernando Cruz Díaz</t>
  </si>
  <si>
    <t>BAJA
102</t>
  </si>
  <si>
    <t xml:space="preserve">102 LINCOLN BLANCA </t>
  </si>
  <si>
    <t>BAJA
105</t>
  </si>
  <si>
    <t>BAJA
115</t>
  </si>
  <si>
    <t>115 JEEP PATRIOT NEGRA</t>
  </si>
  <si>
    <t>1J4FT28B29D102435</t>
  </si>
  <si>
    <t>RTN-870-A</t>
  </si>
  <si>
    <t xml:space="preserve">Cte. Jorge Alberto de la Vega García </t>
  </si>
  <si>
    <t>BAJA
116</t>
  </si>
  <si>
    <t>MA6CC6CD0HT000547</t>
  </si>
  <si>
    <t>SUA-13-49</t>
  </si>
  <si>
    <t>Cte. Manuel Puente Álvarez</t>
  </si>
  <si>
    <t xml:space="preserve">120 FORD LOBO KING RANCH BLANCA </t>
  </si>
  <si>
    <t>BAJA
120</t>
  </si>
  <si>
    <t>Cte. Fernando Fernández García</t>
  </si>
  <si>
    <t>BAJA
123</t>
  </si>
  <si>
    <t>2A8HR54P98</t>
  </si>
  <si>
    <t>SSM-24-74</t>
  </si>
  <si>
    <t>Cte. Federico Ramírez Salazar</t>
  </si>
  <si>
    <t>BAJA
126</t>
  </si>
  <si>
    <t>98D197566F3250221</t>
  </si>
  <si>
    <t>XEM-192-A</t>
  </si>
  <si>
    <t xml:space="preserve">Cte. Aylin Guadalupe Chiquito González  </t>
  </si>
  <si>
    <t>BAJA
127</t>
  </si>
  <si>
    <t>3G1TC5CF3DL192937</t>
  </si>
  <si>
    <t>SMW-534-A</t>
  </si>
  <si>
    <t>Cte. Hansel Haded González Ramos</t>
  </si>
  <si>
    <t>BAJA
133</t>
  </si>
  <si>
    <t>2GNALDEK9G659X602</t>
  </si>
  <si>
    <t>98467Z2</t>
  </si>
  <si>
    <t>Cte. Mónica Victoria Alemán Oteaba</t>
  </si>
  <si>
    <t>BAJA
140</t>
  </si>
  <si>
    <t>140 GMC TERRAIN ROJA</t>
  </si>
  <si>
    <t>BAJA
143</t>
  </si>
  <si>
    <t>1G1ZH57N28F234978</t>
  </si>
  <si>
    <t>SLB-20-14</t>
  </si>
  <si>
    <t>Cte. José Luis Rocha</t>
  </si>
  <si>
    <t>BAJA
144</t>
  </si>
  <si>
    <t>161 FORD FOCUS AMARILLO 2012</t>
  </si>
  <si>
    <t>BAJA
161</t>
  </si>
  <si>
    <t xml:space="preserve">Cte. Héctor Raúl Carrizalez Graciano </t>
  </si>
  <si>
    <t xml:space="preserve">175 CHEVROLET EQUINOX AZUL </t>
  </si>
  <si>
    <t>BAJA
175</t>
  </si>
  <si>
    <t xml:space="preserve">176 DODGE GRAN CARAVAN PLATA </t>
  </si>
  <si>
    <t>BAJA
176</t>
  </si>
  <si>
    <t>BAJA
177</t>
  </si>
  <si>
    <t>1GTN29EC4FZ350341</t>
  </si>
  <si>
    <t>PK-3773-A</t>
  </si>
  <si>
    <t>BAJA
189</t>
  </si>
  <si>
    <t xml:space="preserve">Cte. Amelia Berenice Flores Salas </t>
  </si>
  <si>
    <t>BAJA
190</t>
  </si>
  <si>
    <t>3HGRM3850CG006606</t>
  </si>
  <si>
    <t>SRG-43-03</t>
  </si>
  <si>
    <t xml:space="preserve">Cte. Zulema Anais Salazar Galarza </t>
  </si>
  <si>
    <t>BAJA
194</t>
  </si>
  <si>
    <t>194 DODGE JOURNEY PLATA</t>
  </si>
  <si>
    <t>3D4BG4FB7BT505062</t>
  </si>
  <si>
    <t>SKM-26-10</t>
  </si>
  <si>
    <t>Cte. Liliana Marisol Capetillo Mercado</t>
  </si>
  <si>
    <t>BAJA
209</t>
  </si>
  <si>
    <t xml:space="preserve">209 CHEVROLET SILVERADO BLANCA </t>
  </si>
  <si>
    <t>BAJA
214</t>
  </si>
  <si>
    <t>BAJA
220</t>
  </si>
  <si>
    <t>Cte. Jesús Torres Medellín</t>
  </si>
  <si>
    <t>BAJA
224</t>
  </si>
  <si>
    <t>Cte. Leticia Ortiz Juarez</t>
  </si>
  <si>
    <t>BAJA
227</t>
  </si>
  <si>
    <t xml:space="preserve">Cte. Eber Arturo López Ramos </t>
  </si>
  <si>
    <t>BAJA
230</t>
  </si>
  <si>
    <t xml:space="preserve">Cte. Cinthia Aurora Franco Leal </t>
  </si>
  <si>
    <t>BAJA
231</t>
  </si>
  <si>
    <t>STS-74-57</t>
  </si>
  <si>
    <t>Cte. Jesus Torres Medellin</t>
  </si>
  <si>
    <t>BAJA
233</t>
  </si>
  <si>
    <t>VSSPK46J8CRJ8CR029146</t>
  </si>
  <si>
    <t>SN-012-A</t>
  </si>
  <si>
    <t>Cte. Gregorio Jinez Renovato</t>
  </si>
  <si>
    <t>BAJA
237</t>
  </si>
  <si>
    <t>BAJA
239</t>
  </si>
  <si>
    <t>JM1BL1W57D1826787</t>
  </si>
  <si>
    <t>SSZ-23-85</t>
  </si>
  <si>
    <t>Cte. Francisco Javier Buenrostro Iracheta</t>
  </si>
  <si>
    <t>BAJA
240</t>
  </si>
  <si>
    <t>Cte. Iram Hernandez Ramirez</t>
  </si>
  <si>
    <t>BAJA
244</t>
  </si>
  <si>
    <t xml:space="preserve">Cte. Leticia Elizabeth Rodriguez Flores </t>
  </si>
  <si>
    <t>BAJA
246</t>
  </si>
  <si>
    <t xml:space="preserve">Cte. Jose Otilio Gamez Santillan </t>
  </si>
  <si>
    <t>BAJA
248</t>
  </si>
  <si>
    <t>RMZ-089-4</t>
  </si>
  <si>
    <t>Cte. José Alejandro Garza Flores</t>
  </si>
  <si>
    <t>BAJA
252</t>
  </si>
  <si>
    <t xml:space="preserve">252 MAZDA 6 NEGRO </t>
  </si>
  <si>
    <t>BAJA
253</t>
  </si>
  <si>
    <t>253 CHEVROLET TRAX 2015</t>
  </si>
  <si>
    <t>BAJA
254</t>
  </si>
  <si>
    <t>Cte. Norma Muñoz</t>
  </si>
  <si>
    <t>BAJA
256</t>
  </si>
  <si>
    <t>Cte. Luz Andrea Devany Ramos</t>
  </si>
  <si>
    <t>BAJA
259</t>
  </si>
  <si>
    <t>BAJA
260</t>
  </si>
  <si>
    <t>260 FORD FUSSION BLANCO 2012</t>
  </si>
  <si>
    <t>3FAHP0HA6AR386233</t>
  </si>
  <si>
    <t>SMC-48-60</t>
  </si>
  <si>
    <t xml:space="preserve">Cte. Eduardo Nephtaly García Medina </t>
  </si>
  <si>
    <t>BAJA
261</t>
  </si>
  <si>
    <t xml:space="preserve">261 FORD FIESTA PLATA 2011 </t>
  </si>
  <si>
    <t>BAJA
265</t>
  </si>
  <si>
    <t>265 FORD EXPLORER PLATA</t>
  </si>
  <si>
    <t>Cte. Rosendo Cantu Ortiz</t>
  </si>
  <si>
    <t>BAJA
269</t>
  </si>
  <si>
    <t xml:space="preserve">Cte. Jose Angel Perez Martinez </t>
  </si>
  <si>
    <t>BAJA
272</t>
  </si>
  <si>
    <t>2C3CDYAG6DH718931</t>
  </si>
  <si>
    <t>SPL-088-A</t>
  </si>
  <si>
    <t xml:space="preserve">Cte. Juan Carlos Hernandez Trejo </t>
  </si>
  <si>
    <t>BAJA
273</t>
  </si>
  <si>
    <t xml:space="preserve">Cte. Abel Osvaldo Sanchez De La Paz </t>
  </si>
  <si>
    <t>8112814639 / 8952020021441534-605 - Baja de SIM por error</t>
  </si>
  <si>
    <t xml:space="preserve">Cte. Ana Felipa Amaparan Eliserio </t>
  </si>
  <si>
    <t>BAJA
278</t>
  </si>
  <si>
    <t>Cte. Teofilo Cuevas Herrera</t>
  </si>
  <si>
    <t>BAJA
287</t>
  </si>
  <si>
    <t>287 DODGE RAM NEGRA 2009</t>
  </si>
  <si>
    <t xml:space="preserve">Cte. Raul Alberto Montemayor Mata </t>
  </si>
  <si>
    <t>BAJA
289</t>
  </si>
  <si>
    <t>BAJA
294</t>
  </si>
  <si>
    <t xml:space="preserve">302 CHEVROLET EQUINOX NEGRA 2013 </t>
  </si>
  <si>
    <t>BAJA
302</t>
  </si>
  <si>
    <t>BAJA
304</t>
  </si>
  <si>
    <t>304 DODGE CHARGUER AZUL</t>
  </si>
  <si>
    <t>BAJA
305</t>
  </si>
  <si>
    <t>305 VW BORA BLANCO 2009</t>
  </si>
  <si>
    <t>3VWRG11K49M058502</t>
  </si>
  <si>
    <t>SPL-66-81</t>
  </si>
  <si>
    <t>Cte. Blanca Iris Ayala Marquez</t>
  </si>
  <si>
    <t>BAJA
313</t>
  </si>
  <si>
    <t xml:space="preserve">313 FORD FUSSION GRIS </t>
  </si>
  <si>
    <t xml:space="preserve">315 DODGE CARAVAN BLANCA </t>
  </si>
  <si>
    <t>BAJA
315</t>
  </si>
  <si>
    <t xml:space="preserve">322 HONDA CIVIC GRIS </t>
  </si>
  <si>
    <t>BAJA
322</t>
  </si>
  <si>
    <t>BAJA
323</t>
  </si>
  <si>
    <t>BAJA
324</t>
  </si>
  <si>
    <t>324 JEEP CHEROKEE GRIS</t>
  </si>
  <si>
    <t>1J8HR78307C593909</t>
  </si>
  <si>
    <t>SXJ-034-A</t>
  </si>
  <si>
    <t xml:space="preserve">Cte. Uriel </t>
  </si>
  <si>
    <t>BAJA
333</t>
  </si>
  <si>
    <t>Cte. Angel Ariel Cuellar Salzar</t>
  </si>
  <si>
    <t>BAJA
334</t>
  </si>
  <si>
    <t>3GNAL4EK7DS604034</t>
  </si>
  <si>
    <t>SKZ-953-A</t>
  </si>
  <si>
    <t>Cte. Marco Antonio Villarreal Salazar</t>
  </si>
  <si>
    <t xml:space="preserve">336 CHEVROLET SONIC BLANCO </t>
  </si>
  <si>
    <t>BAJA
336</t>
  </si>
  <si>
    <t>3G1J85DC1ES671698</t>
  </si>
  <si>
    <t>SSH-85-01</t>
  </si>
  <si>
    <t>BAJA
343</t>
  </si>
  <si>
    <t>3VWLV49M2CM035004</t>
  </si>
  <si>
    <t>BAJA
344</t>
  </si>
  <si>
    <t>1FAHP3GN4BW107978</t>
  </si>
  <si>
    <t>SPX-479-A</t>
  </si>
  <si>
    <t>Cte. Cosme Baltazar Martinez Miguel</t>
  </si>
  <si>
    <t>BAJA
352</t>
  </si>
  <si>
    <t>Cte. Jose Andres Zamora Zamora</t>
  </si>
  <si>
    <t>358 CHEVROLET EQUINOX NEGRA</t>
  </si>
  <si>
    <t>BAJA
361</t>
  </si>
  <si>
    <t xml:space="preserve">SJL-611-A </t>
  </si>
  <si>
    <t>BAJA
363</t>
  </si>
  <si>
    <t>1J4BA3HI6BL551999</t>
  </si>
  <si>
    <t>SZE-429-A</t>
  </si>
  <si>
    <t>BAJA
365</t>
  </si>
  <si>
    <t xml:space="preserve">Cte. Demetrio Martínez Martínez </t>
  </si>
  <si>
    <t xml:space="preserve">367 CHEVROLET AVEO BLANCO </t>
  </si>
  <si>
    <t>BAJA
367</t>
  </si>
  <si>
    <t>LSGHD52HXJD029530</t>
  </si>
  <si>
    <t>RVZ-974-A</t>
  </si>
  <si>
    <t xml:space="preserve">Cte. Alberto Carrillo </t>
  </si>
  <si>
    <t>BAJA
371</t>
  </si>
  <si>
    <t>BAJA
375</t>
  </si>
  <si>
    <t xml:space="preserve">378 JEEP PATRIOT NEGRA </t>
  </si>
  <si>
    <t>BAJA
378</t>
  </si>
  <si>
    <t>BAJA
382</t>
  </si>
  <si>
    <t>2GNALBEK2F6211998</t>
  </si>
  <si>
    <t>TCB-039-A</t>
  </si>
  <si>
    <t xml:space="preserve">383 CHERVOLET TRAVERSE GRIS </t>
  </si>
  <si>
    <t>BAJA
383</t>
  </si>
  <si>
    <t>1GBKRFED6DJ146973</t>
  </si>
  <si>
    <t>SVL-831-A</t>
  </si>
  <si>
    <t xml:space="preserve">386 JEEP LBERTY NEGRA </t>
  </si>
  <si>
    <t>BAJA
386</t>
  </si>
  <si>
    <t>1J8GN28K38W260959</t>
  </si>
  <si>
    <t>SSE-29-32</t>
  </si>
  <si>
    <t>BAJA
387</t>
  </si>
  <si>
    <t>KL1JM5DE9CB081236</t>
  </si>
  <si>
    <t>RST-325-A</t>
  </si>
  <si>
    <t xml:space="preserve">388 CHEVROLET EQUINOX AZUL </t>
  </si>
  <si>
    <t>BAJA
388</t>
  </si>
  <si>
    <t>TEL-565-A</t>
  </si>
  <si>
    <t>BAJA
393</t>
  </si>
  <si>
    <t xml:space="preserve">393 VW BORA PLATA </t>
  </si>
  <si>
    <t>3VWRG11K39M096495</t>
  </si>
  <si>
    <t>SZA-609-A</t>
  </si>
  <si>
    <t xml:space="preserve">395 CHEVROLET MALIBU PLATA </t>
  </si>
  <si>
    <t>BAJA
395</t>
  </si>
  <si>
    <t>SCS-994-A</t>
  </si>
  <si>
    <t xml:space="preserve">396 CHERVOLET TRAX NEGRA </t>
  </si>
  <si>
    <t>BAJA
396</t>
  </si>
  <si>
    <t>3GNCJ7CE8KL202799</t>
  </si>
  <si>
    <t>SAL-642-A</t>
  </si>
  <si>
    <t xml:space="preserve">398 CHEVROLET AVEO BLANCO </t>
  </si>
  <si>
    <t>BAJA
398</t>
  </si>
  <si>
    <t>3G1TC5C60AL106740</t>
  </si>
  <si>
    <t>SPR-31-40</t>
  </si>
  <si>
    <t xml:space="preserve">402 DODGE NITRO ROJA </t>
  </si>
  <si>
    <t>BAJA
402</t>
  </si>
  <si>
    <t>1D8GU58K27W613106</t>
  </si>
  <si>
    <t>TEZ-103-A</t>
  </si>
  <si>
    <t>BAJA
406</t>
  </si>
  <si>
    <t>1B3AD4FBIBN559668</t>
  </si>
  <si>
    <t>STJ-38-31</t>
  </si>
  <si>
    <t>BAJA
408</t>
  </si>
  <si>
    <t>BAJA
415</t>
  </si>
  <si>
    <t>BAJA
422</t>
  </si>
  <si>
    <t>BAJA
430</t>
  </si>
  <si>
    <t>3G1J85CC4HS569396</t>
  </si>
  <si>
    <t>RXR-021-A</t>
  </si>
  <si>
    <t>BAJA
431</t>
  </si>
  <si>
    <t>BAJA
432</t>
  </si>
  <si>
    <t>BAJA
435</t>
  </si>
  <si>
    <t>432 DODGE ATITUD 2015 PLATA</t>
  </si>
  <si>
    <t>BAJA
439</t>
  </si>
  <si>
    <t>VSSMY46L29R038226</t>
  </si>
  <si>
    <t>SXE-353-A</t>
  </si>
  <si>
    <t>BAJA
441</t>
  </si>
  <si>
    <t>3VWHW11K4AM059734</t>
  </si>
  <si>
    <t>BAJA
445</t>
  </si>
  <si>
    <t>1G1ZC5EB3AF169913</t>
  </si>
  <si>
    <t>RST-861-A</t>
  </si>
  <si>
    <t xml:space="preserve">446 DODGE JOURNEY PLATA </t>
  </si>
  <si>
    <t>BAJA
446</t>
  </si>
  <si>
    <t>449 CHEVROLET CRUZE BLANCO 2012</t>
  </si>
  <si>
    <t>BAJA
449</t>
  </si>
  <si>
    <t>KL1JM5CE3CB047374</t>
  </si>
  <si>
    <t xml:space="preserve">Cte. Beatriz Adriana Santos Marquez </t>
  </si>
  <si>
    <t xml:space="preserve">451 NISSAN VERSA CAFE </t>
  </si>
  <si>
    <t>BAJA
451</t>
  </si>
  <si>
    <t>BAJA
453</t>
  </si>
  <si>
    <t>2GKALSEK1E6208800</t>
  </si>
  <si>
    <t>RYN-094-B</t>
  </si>
  <si>
    <t>BAJA
460</t>
  </si>
  <si>
    <t>3FAHP0GA9AR229684</t>
  </si>
  <si>
    <t>SNM-55-76</t>
  </si>
  <si>
    <t>BAJA
463</t>
  </si>
  <si>
    <t>3VW1V09M9CM057338</t>
  </si>
  <si>
    <t>RTK-418-B</t>
  </si>
  <si>
    <t>BAJA
464</t>
  </si>
  <si>
    <t>BAJA
468</t>
  </si>
  <si>
    <t>3KPA34AC9KE149206</t>
  </si>
  <si>
    <t>RZT-436-A</t>
  </si>
  <si>
    <t>475 CHEVROLET SPARK BLANCO HUESO</t>
  </si>
  <si>
    <t>BAJA
475</t>
  </si>
  <si>
    <t>KL8CM6CA5GC648122</t>
  </si>
  <si>
    <t>STW-86-23</t>
  </si>
  <si>
    <t>BAJA
476</t>
  </si>
  <si>
    <t>BAJA
479</t>
  </si>
  <si>
    <t>BAJA
483</t>
  </si>
  <si>
    <t>1BEJB48B79D123636</t>
  </si>
  <si>
    <t>SNH-52-03</t>
  </si>
  <si>
    <t>BAJA
484</t>
  </si>
  <si>
    <t>2GKALSEK6F6318288</t>
  </si>
  <si>
    <t>SBV-477-B</t>
  </si>
  <si>
    <t>BAJA
490</t>
  </si>
  <si>
    <t>1G1ZA5EU6CF221979</t>
  </si>
  <si>
    <t>RTL-233-A</t>
  </si>
  <si>
    <t xml:space="preserve">491 FORD F-150 BLANCA </t>
  </si>
  <si>
    <t>BAJA
491</t>
  </si>
  <si>
    <t>BAJA
493</t>
  </si>
  <si>
    <t>BAJA
494</t>
  </si>
  <si>
    <t>1D8GT28K07W728210</t>
  </si>
  <si>
    <t>SZM-350-A</t>
  </si>
  <si>
    <t>BAJA
498</t>
  </si>
  <si>
    <t>BAJA
499</t>
  </si>
  <si>
    <t>0135B058A962EDD7</t>
  </si>
  <si>
    <t>SDK-753-B</t>
  </si>
  <si>
    <t>BAJA
501</t>
  </si>
  <si>
    <t>2FMDK3JC2ABA19148</t>
  </si>
  <si>
    <t>SET-319-B</t>
  </si>
  <si>
    <t>BAJA
502</t>
  </si>
  <si>
    <t xml:space="preserve">504 VW BORA NEGRO </t>
  </si>
  <si>
    <t>BAJA
504</t>
  </si>
  <si>
    <t>3VWJG11K19M014180</t>
  </si>
  <si>
    <t>SME-58-84</t>
  </si>
  <si>
    <t>BAJA
507</t>
  </si>
  <si>
    <t>MAJFP1MD9HA155845</t>
  </si>
  <si>
    <t>RRC-801-A</t>
  </si>
  <si>
    <t>BAJA
514</t>
  </si>
  <si>
    <t>BAJA
515</t>
  </si>
  <si>
    <t>BAJA
521</t>
  </si>
  <si>
    <t>BAJA
523</t>
  </si>
  <si>
    <t>1B3JB48B69D176151</t>
  </si>
  <si>
    <t>RRL-020-B</t>
  </si>
  <si>
    <t>BAJA
526</t>
  </si>
  <si>
    <t>VSSMK46J9BR127796</t>
  </si>
  <si>
    <t>SNM-58-84</t>
  </si>
  <si>
    <t xml:space="preserve">527 CHEVROLET MALIBU ROJO </t>
  </si>
  <si>
    <t>BAJA
527</t>
  </si>
  <si>
    <t>BAJA
537</t>
  </si>
  <si>
    <t>BAJA
540</t>
  </si>
  <si>
    <t xml:space="preserve">540 CHEVROLET MALIBU BLANCO </t>
  </si>
  <si>
    <t>BAJA
549</t>
  </si>
  <si>
    <t>549 GMC TERRAIN NEGRA</t>
  </si>
  <si>
    <t>BAJA
550</t>
  </si>
  <si>
    <t>BAJA
552</t>
  </si>
  <si>
    <t>BAJA
555</t>
  </si>
  <si>
    <t>1YVHZ8CH0A5M29162</t>
  </si>
  <si>
    <t>SZA-570-B</t>
  </si>
  <si>
    <t>BAJA
561</t>
  </si>
  <si>
    <t>562 VW BORA ROJO 2009</t>
  </si>
  <si>
    <t>BAJA
562</t>
  </si>
  <si>
    <t>3VWJG11K49M146933</t>
  </si>
  <si>
    <t>SXR-317-A</t>
  </si>
  <si>
    <t>BAJA
563</t>
  </si>
  <si>
    <t>1G1Z95E18BF281761</t>
  </si>
  <si>
    <t>BAJA
566</t>
  </si>
  <si>
    <t>566 CHEVROLET SONIC NEGRO</t>
  </si>
  <si>
    <t>3G1J85DC5ES647655</t>
  </si>
  <si>
    <t>RLV-665-A</t>
  </si>
  <si>
    <t xml:space="preserve">567 CHEVROLET SONIC 2013 GRIS </t>
  </si>
  <si>
    <t>BAJA
567</t>
  </si>
  <si>
    <t>BAJA
572</t>
  </si>
  <si>
    <t>BAJA
579</t>
  </si>
  <si>
    <t>579  JEEP COMPAS BLANCA</t>
  </si>
  <si>
    <t>BAJA
584</t>
  </si>
  <si>
    <t>BAJA
588</t>
  </si>
  <si>
    <t>BAJA
592</t>
  </si>
  <si>
    <t>1D7RB1CTXBS592839</t>
  </si>
  <si>
    <t>PN-3851-B</t>
  </si>
  <si>
    <t>3FA6P0G71ER280940</t>
  </si>
  <si>
    <t>RMM-987-A</t>
  </si>
  <si>
    <t>BAJA
593</t>
  </si>
  <si>
    <t>BAJA
596</t>
  </si>
  <si>
    <t xml:space="preserve">596  JEEP CHEROKEE NEGRA </t>
  </si>
  <si>
    <t>BAJA
602</t>
  </si>
  <si>
    <t>BAJA
615</t>
  </si>
  <si>
    <t>Cte. Johnatan Ivan Martinez Garza</t>
  </si>
  <si>
    <t>BAJA
617</t>
  </si>
  <si>
    <t>BAJA
625</t>
  </si>
  <si>
    <t>Cte. Hernan Castorena</t>
  </si>
  <si>
    <t>BAJA
628</t>
  </si>
  <si>
    <t xml:space="preserve">Cte. Marcelino Aleman </t>
  </si>
  <si>
    <t>BAJA
634</t>
  </si>
  <si>
    <t xml:space="preserve">Cte. Bertha </t>
  </si>
  <si>
    <t>BAJA
643</t>
  </si>
  <si>
    <t>1C4NJCEBXED699829</t>
  </si>
  <si>
    <t>SUX-345-B</t>
  </si>
  <si>
    <t xml:space="preserve">647  FORD F-150 BLANCA </t>
  </si>
  <si>
    <t>BAJA
647</t>
  </si>
  <si>
    <t>BAJA
652</t>
  </si>
  <si>
    <t>1GNKR8ED1CJ260034</t>
  </si>
  <si>
    <t>TAG-133-B</t>
  </si>
  <si>
    <t xml:space="preserve">Cte. Jose Nestor Colomo </t>
  </si>
  <si>
    <t>BAJA
659</t>
  </si>
  <si>
    <t>Cte. Salvador Di Gabrielle</t>
  </si>
  <si>
    <t>BAJA
661</t>
  </si>
  <si>
    <t xml:space="preserve">661 FORD FOCUS GRIS PLATA </t>
  </si>
  <si>
    <t>1FADP3J241FL229583</t>
  </si>
  <si>
    <t>SNX-670-B</t>
  </si>
  <si>
    <t xml:space="preserve">Cte. Maria Elena </t>
  </si>
  <si>
    <t>BAJA
662</t>
  </si>
  <si>
    <t>1MTRVV08L42KC02013</t>
  </si>
  <si>
    <t>RA-4848-B</t>
  </si>
  <si>
    <t>BAJA
671</t>
  </si>
  <si>
    <t>3D4PG5FB2BT543116</t>
  </si>
  <si>
    <t>SDF-143-B</t>
  </si>
  <si>
    <t>BAJA
672</t>
  </si>
  <si>
    <t>672 DODGE JOURNEY 2013 PLATA</t>
  </si>
  <si>
    <t>3C4PDCAB8DT584502</t>
  </si>
  <si>
    <t xml:space="preserve">STP-511-B </t>
  </si>
  <si>
    <t>BAJA
682</t>
  </si>
  <si>
    <t xml:space="preserve">682 FORD FOCUS 2014 GRIS </t>
  </si>
  <si>
    <t>1FADP3N27EL122990</t>
  </si>
  <si>
    <t>TFE-186-A</t>
  </si>
  <si>
    <t>BAJA
685</t>
  </si>
  <si>
    <t>1FM5K7D89EG40194</t>
  </si>
  <si>
    <t>SKA-919-B</t>
  </si>
  <si>
    <t>BAJA
695</t>
  </si>
  <si>
    <t>695 DODGE CARAVAN AZUL MARINO</t>
  </si>
  <si>
    <t>2C4RDGCG3FR535917</t>
  </si>
  <si>
    <t>TDF-448-B</t>
  </si>
  <si>
    <t>BAJA
701</t>
  </si>
  <si>
    <t xml:space="preserve">701 HONDA ODISSEY 2007 PLATA </t>
  </si>
  <si>
    <t>5KBRL38276B802658</t>
  </si>
  <si>
    <t>SFA-724-B</t>
  </si>
  <si>
    <t>BAJA
707</t>
  </si>
  <si>
    <t xml:space="preserve">Cte. José David González Martínez </t>
  </si>
  <si>
    <t>BAJA
712</t>
  </si>
  <si>
    <t>Cte. Efraín</t>
  </si>
  <si>
    <t>BAJA
715</t>
  </si>
  <si>
    <t>BAJA
716</t>
  </si>
  <si>
    <t>PK-0295-B</t>
  </si>
  <si>
    <t>Cte. Christian</t>
  </si>
  <si>
    <t>BAJA
744</t>
  </si>
  <si>
    <t>3D6WN5ET6BG536195</t>
  </si>
  <si>
    <t>RD-7433-B</t>
  </si>
  <si>
    <t>Cte. Julio Cesar</t>
  </si>
  <si>
    <t>BAJA
767</t>
  </si>
  <si>
    <t>Cte. Carlos de Jesús Oyervides</t>
  </si>
  <si>
    <t>BAJA
806</t>
  </si>
  <si>
    <t xml:space="preserve">806 FORD FOCUS 2016 BLANCO </t>
  </si>
  <si>
    <t>1FADP3N24GL307937</t>
  </si>
  <si>
    <t xml:space="preserve">Cte. Yolanda Espiricueta </t>
  </si>
  <si>
    <t>BAJA
807</t>
  </si>
  <si>
    <t xml:space="preserve">807 MITSUBISHI LANCE 2011 GRIS </t>
  </si>
  <si>
    <t>BAJA
808</t>
  </si>
  <si>
    <t>ACTIVO
03-ABR-2025</t>
  </si>
  <si>
    <t>Cte. Jesus Israel Avitia Sosa</t>
  </si>
  <si>
    <t>Cte. Luis Gerardo Botello Sanchez / Victor 8110076489</t>
  </si>
  <si>
    <t>Cte. Jerson Jacob Sandoval Herrera Tel. 8120966838 / 6342466740</t>
  </si>
  <si>
    <t xml:space="preserve"> JE3AU86W99U034490</t>
  </si>
  <si>
    <t>Cte. Jose Guadalupe Rangel Martinez  Tel. 8125429924</t>
  </si>
  <si>
    <t>3VWWB6AU2FM086228</t>
  </si>
  <si>
    <t>SSX-63-23 / RXL-290-B</t>
  </si>
  <si>
    <t>DES-INSTALACION
04-AGO-2023</t>
  </si>
  <si>
    <t>RE-INSTALACION
05-AGOSTO-2023</t>
  </si>
  <si>
    <t>Particular
(Soriana Hiper Miguel Aleman)</t>
  </si>
  <si>
    <t>Particular 
(San Ignacio, Apodaca)</t>
  </si>
  <si>
    <t>Cte. Luis Rey Sosa Arroyo 
Tel. 8110224072</t>
  </si>
  <si>
    <t>Particular 
(Zona Valle Poniente, San Pedro Garza G)</t>
  </si>
  <si>
    <t>RG-0876-B</t>
  </si>
  <si>
    <t>1GTN2LEC2GZ239205</t>
  </si>
  <si>
    <t>811 GMC SIERRA 2016 BLANCA</t>
  </si>
  <si>
    <t>ACTIVO 
11-ABR-2025</t>
  </si>
  <si>
    <t>ACTIVO
12-ABR-2025</t>
  </si>
  <si>
    <t>813 CHEVROLET MALIBU 2010</t>
  </si>
  <si>
    <t>812 DODGE GRAND CARAVAN 2016 PLATA</t>
  </si>
  <si>
    <t>Cte. Jose Javier Antonio</t>
  </si>
  <si>
    <t xml:space="preserve">UNIDAD NO SE ENCONTRABA EN EL LOTE, COMENTAN LLEGARIA DESPUES DE LAS 11:30, SE REPORGRAMA POR LA TARDE </t>
  </si>
  <si>
    <t>2C4RDGBG1GR401894</t>
  </si>
  <si>
    <t>Cte. Luis Everardo Gonzalez Garcia</t>
  </si>
  <si>
    <t>REACTIVAR 
16-ABR-2025</t>
  </si>
  <si>
    <t>ACTIVO
21-ABR-2025</t>
  </si>
  <si>
    <t xml:space="preserve">12:30 p.m. </t>
  </si>
  <si>
    <t>Cte. Carlos Alberto Galvan</t>
  </si>
  <si>
    <t xml:space="preserve">Cte. Edgar Abelardo Alvarez Castillo </t>
  </si>
  <si>
    <t xml:space="preserve">Cte. José Néstor Colomo Tel. 8115901185 </t>
  </si>
  <si>
    <t xml:space="preserve">Cte. Jacinto Ramirez Oviedo Tel. </t>
  </si>
  <si>
    <t>3:30 / 4:00 p.m.</t>
  </si>
  <si>
    <t>5:00 p.m.</t>
  </si>
  <si>
    <t>Cte. Agustin Guerrero Vazquez 
Contacto Misael Tel. 8115901185</t>
  </si>
  <si>
    <t>2:00 / 4:30 p.m.</t>
  </si>
  <si>
    <t>Cte. Brandon Emmanuel Morales Gonzalez
Contacto Misael Tel. 8115901185 / Nuevo contacto 8131759006</t>
  </si>
  <si>
    <t>9:00 a.m.</t>
  </si>
  <si>
    <t>Cte. Jesus Manuel Cardona Chavez 
Contacto Tel. 8112088585</t>
  </si>
  <si>
    <t>Cte. David Antonio Aranda Tel. 8115901185</t>
  </si>
  <si>
    <t>814 CHEVROLET AVEO 2014 PLATA</t>
  </si>
  <si>
    <t>3G1TA5AFXEL206410</t>
  </si>
  <si>
    <t>RSG-179-C</t>
  </si>
  <si>
    <t xml:space="preserve">REINSTALADO 24/ABRIL/2025 
EDGAR CORONADO </t>
  </si>
  <si>
    <t>ACTIVO
26-ABR-2025</t>
  </si>
  <si>
    <t>Lote Autos Prados (Margon) 
(Apodaca, Prados de la Cieneguita)</t>
  </si>
  <si>
    <t>815 GRAND CARAVAN 2017 BLANCA</t>
  </si>
  <si>
    <t>Adrian Obed Ramirez</t>
  </si>
  <si>
    <t>Cte. Pedro Alejandro Vidal</t>
  </si>
  <si>
    <t>Cte. Selene Rubi Aldape</t>
  </si>
  <si>
    <t xml:space="preserve">816 HYUNDAI ELANTRA 2016 NEGRO </t>
  </si>
  <si>
    <t>ACTIVO
30-ABRIL-2025</t>
  </si>
  <si>
    <t>9 - 12 am</t>
  </si>
  <si>
    <t>Cte. Juan Antonio Gzz
Contacto lote Tel. 8115901185</t>
  </si>
  <si>
    <t>SYJ-860-B</t>
  </si>
  <si>
    <t>1HGCP368XBA900815</t>
  </si>
  <si>
    <t>817 HONDA ACCORD 2012 GRIS</t>
  </si>
  <si>
    <t>2GKFLVEK1G6151699</t>
  </si>
  <si>
    <t>RSE-066-C</t>
  </si>
  <si>
    <t>818 GMC DENALI BLANCA</t>
  </si>
  <si>
    <t>819 DODGE JOURNEY GRIS</t>
  </si>
  <si>
    <t>BAJA 
559</t>
  </si>
  <si>
    <t>BAJA
02-MAY-2025</t>
  </si>
  <si>
    <t>Juan Manuel Herrera Rdz</t>
  </si>
  <si>
    <t>BAJA
590</t>
  </si>
  <si>
    <t>BAJA
632</t>
  </si>
  <si>
    <t>BAJA
645</t>
  </si>
  <si>
    <t>BAJA
658</t>
  </si>
  <si>
    <t>BAJA
660</t>
  </si>
  <si>
    <t>BAJA
693</t>
  </si>
  <si>
    <t>BAJA
725</t>
  </si>
  <si>
    <t>BAJA
729</t>
  </si>
  <si>
    <t>BAJA
762</t>
  </si>
  <si>
    <t>BAJA
611</t>
  </si>
  <si>
    <t>BAJA
673</t>
  </si>
  <si>
    <t>2GNALDEK3D6250012</t>
  </si>
  <si>
    <t>TGE-174-A</t>
  </si>
  <si>
    <t>BAJA
02-MAYO-2025</t>
  </si>
  <si>
    <t>Cte. Victor Hugo Villalobos Mata</t>
  </si>
  <si>
    <t>KL1PD5C56BK123954</t>
  </si>
  <si>
    <t>RRU-578-B</t>
  </si>
  <si>
    <t>Cte. Martha Alicia Garcia Ramirez</t>
  </si>
  <si>
    <t xml:space="preserve">10 / 11 am </t>
  </si>
  <si>
    <t>Cte. Carlos Gerardo Martinez Loera
Tel. 8125018191</t>
  </si>
  <si>
    <t>E3AU86W49U010050</t>
  </si>
  <si>
    <t>TAB-343-A</t>
  </si>
  <si>
    <t>Cte. Jacinto Ramirez Oviedo Tel. 8115449385</t>
  </si>
  <si>
    <t>JE4LS21W7BU008507</t>
  </si>
  <si>
    <t xml:space="preserve">TCM-101-A </t>
  </si>
  <si>
    <t>Cte. Mario Cesar Parra</t>
  </si>
  <si>
    <t>Cte. Marcelo Rodriguez Ovalle</t>
  </si>
  <si>
    <t>Cte. Maria Guadalupe Rangel Mejia</t>
  </si>
  <si>
    <t>Cte. Cesar Josue Pacheco Martinez  Tel. 8128741381</t>
  </si>
  <si>
    <t>Cte. Vidal Hernandez Pinales  Tel. 8123886850</t>
  </si>
  <si>
    <t>Cte. Ma Florencia Garcia Gutierrez
Contacto Tel. 8129108425</t>
  </si>
  <si>
    <t>Cte. Aaron Magno Orozco Espinoza Tel. 8126072615</t>
  </si>
  <si>
    <t>2GKALREK1E6269590</t>
  </si>
  <si>
    <t>SUN-881-B</t>
  </si>
  <si>
    <t>Cte. Sandy Nallely Salguero Valdez</t>
  </si>
  <si>
    <t>ACTIVO
05-MAY-2025</t>
  </si>
  <si>
    <t>11 am - 2 pm</t>
  </si>
  <si>
    <t>Cte. Raul Efren Corpus</t>
  </si>
  <si>
    <t>820 FORD FOCUS 2016 ROJO</t>
  </si>
  <si>
    <t>1FADP3KE3GL313596</t>
  </si>
  <si>
    <t xml:space="preserve">BAJA NO ESTABA EN EL LISTADO DE ACTIVO </t>
  </si>
  <si>
    <t>Cte. Isis Betzabe Treviño Flores</t>
  </si>
  <si>
    <t>No. Serie</t>
  </si>
  <si>
    <t>MA6CC6D0HT000547</t>
  </si>
  <si>
    <t>MA6CB6AD5GT025884</t>
  </si>
  <si>
    <t>STR-81-18</t>
  </si>
  <si>
    <t>3VWRM71K98M057761</t>
  </si>
  <si>
    <t>RKB-108-A</t>
  </si>
  <si>
    <t>345901012471336
893407550000388216-5</t>
  </si>
  <si>
    <t>345901012713771
893407550000387441-0</t>
  </si>
  <si>
    <t>345901012471723
893407550000386492-4</t>
  </si>
  <si>
    <t>345901012562928
893407540001254405-6</t>
  </si>
  <si>
    <t>345901014207336
893407540001298193-6</t>
  </si>
  <si>
    <t>345901014438578
893407540001363126-6</t>
  </si>
  <si>
    <t>EMG-94-95 / FMG-94-95</t>
  </si>
  <si>
    <t>MA6CB6AD9CT026441
MA6CB6AD*CT026441</t>
  </si>
  <si>
    <t>Cte. Mauro Villegas Rojas</t>
  </si>
  <si>
    <t>Cte. Ramon</t>
  </si>
  <si>
    <t>9BWLB45Z074033997 / 1YVHZ8DH9C5M28656</t>
  </si>
  <si>
    <t>SUD-4545-A</t>
  </si>
  <si>
    <t>Cte. Jorge Arturo Esquivel Cruz
Cte. Jorge Arturo Escalante Cruz</t>
  </si>
  <si>
    <t>San Nicolas 
Coronado</t>
  </si>
  <si>
    <t>272 DODGE CHALLENGER BLANCO FRANJAS ROJAS</t>
  </si>
  <si>
    <t>DESINSTALADO 13-ENERO-2022 (No. 273)</t>
  </si>
  <si>
    <t>ANTERIOR 273</t>
  </si>
  <si>
    <t>ACTIVO
07-ENE-2022</t>
  </si>
  <si>
    <t>345901014209345
893407540001298223-1</t>
  </si>
  <si>
    <t>Particular
(Independencia, Monterrey)</t>
  </si>
  <si>
    <t>Particular 
(S.C.O.P., Guadalupe)</t>
  </si>
  <si>
    <t>Autos Valentino 
(Santa Maria, Guadalupe)</t>
  </si>
  <si>
    <t>Particular
(Joyas de Anahuac, Escobedo)</t>
  </si>
  <si>
    <t>Particular
(Colinas de San Juan, Juarez)</t>
  </si>
  <si>
    <t>Particular 
(Apodaca)</t>
  </si>
  <si>
    <t>Particular 
(Buenos Aires, Monterrey)</t>
  </si>
  <si>
    <t>Particular
(Solidaridad, Escobedo)</t>
  </si>
  <si>
    <t>Particular
(Aquiles Serdan, San Nicolas)</t>
  </si>
  <si>
    <t>86501103440250
865011034400250</t>
  </si>
  <si>
    <t>BAJA
358</t>
  </si>
  <si>
    <t>TCA-469-A / SKK-665-A</t>
  </si>
  <si>
    <t>1ZVBP8EM9D5237316</t>
  </si>
  <si>
    <t>865011033831521
865011034749516</t>
  </si>
  <si>
    <t>2GNALAEKXW6219095
2GNALAEKXE6219095</t>
  </si>
  <si>
    <t>1G1ZE5E15BF101843</t>
  </si>
  <si>
    <t>408 CHEVROLET EQUINOX NEGRA (GRIS)</t>
  </si>
  <si>
    <t>3FAHPD0GA9AR229684</t>
  </si>
  <si>
    <t>RZF-436-A</t>
  </si>
  <si>
    <t>BAJA
353</t>
  </si>
  <si>
    <t>3GCPKSE71DG331164</t>
  </si>
  <si>
    <t>RC-0055-A</t>
  </si>
  <si>
    <t>RE-INSTALADO 476</t>
  </si>
  <si>
    <t>RE-INSTALADO
15-FEB-2023</t>
  </si>
  <si>
    <t>ANTERIOR
353</t>
  </si>
  <si>
    <t>DESINSTALADO 13-FEBRERO-2023</t>
  </si>
  <si>
    <t>483 DODGE CALIBER PLATA 2009</t>
  </si>
  <si>
    <t>1G1Z5EU6CF221979</t>
  </si>
  <si>
    <t>869220040809327
869220040809372</t>
  </si>
  <si>
    <t xml:space="preserve">Cte. Cte. Tomás Cuéllar Rodriguez Tel. 8131143866 / Esposa - Tel. </t>
  </si>
  <si>
    <t>Particular
(San Miguel, Guadalupe)</t>
  </si>
  <si>
    <t>Particular
(Valla del Norte, Zuazua)</t>
  </si>
  <si>
    <t>Cte. Alan Cesar Garcia 
Tel. 8120510720</t>
  </si>
  <si>
    <t>Cte. Angel Antonio Hernandez Torres  
Tel. 8116107663</t>
  </si>
  <si>
    <t>Particular
(Agropecuaria Emiliano Zapata)</t>
  </si>
  <si>
    <t>Cte. Eleazar Moreno Gaytan 
Tel. 8110224072</t>
  </si>
  <si>
    <t>Lote Pablo Livas 
(Acapulco, Guadalupe)</t>
  </si>
  <si>
    <t>Cte. Jesus Arenas Mora  Tel. 8120294776 / Javier Tel. 8114142442</t>
  </si>
  <si>
    <t>Particular
(Guerra, Guadalupe)</t>
  </si>
  <si>
    <t xml:space="preserve">Cte. Ernesto Missael Herrera Reyna  
Tel. </t>
  </si>
  <si>
    <t>Particular
(Miravalle, Monterrey)</t>
  </si>
  <si>
    <t>Particular
(Centro, Monterrey)</t>
  </si>
  <si>
    <t>Cte. Maria Guadalupe Antunez Limon 
Tel. 8112862104</t>
  </si>
  <si>
    <t xml:space="preserve">Cte. Natalia Isabel Castillo Velazco 
Tel. </t>
  </si>
  <si>
    <t>ACTIVO
10-MAY-2025</t>
  </si>
  <si>
    <t>Cte. Guadalupe Segura Tel. 8127007667</t>
  </si>
  <si>
    <t xml:space="preserve">821 NISSAN ALTIMA 2016 BLANCO </t>
  </si>
  <si>
    <t>1N4AL3P8FN865857</t>
  </si>
  <si>
    <t>Cte. Julio Ismael Sanchez Garcia  Tel. 8127475376</t>
  </si>
  <si>
    <t>Cte. Jonatan Jahaziel Rodríguez Abundis  Tel. 8118206851</t>
  </si>
  <si>
    <t>2:30 - 5:00 pm</t>
  </si>
  <si>
    <t>Cte. Daniel Reta Cisneros Tel. 8120104202</t>
  </si>
  <si>
    <t>Cte. Daniel Reta 
Sr. Hector  Tel. 8119907146</t>
  </si>
  <si>
    <t>Cte. Carlos de Jesús Oyervides / Contacto 8136191211</t>
  </si>
  <si>
    <t>ACTIVO
14-MAY-2025</t>
  </si>
  <si>
    <t>Cte. Teresa de Jesús Ortiz</t>
  </si>
  <si>
    <t>822 CHEVROLET EQUINOX 2017 BLANCA</t>
  </si>
  <si>
    <t>2GNALCEK6H1602870</t>
  </si>
  <si>
    <t>BAJA
581</t>
  </si>
  <si>
    <t>BAJA
613</t>
  </si>
  <si>
    <t>BAJA
639</t>
  </si>
  <si>
    <t>BAJA
665</t>
  </si>
  <si>
    <t>BAJA
736</t>
  </si>
  <si>
    <t>BAJA
12-MAY-2025</t>
  </si>
  <si>
    <t>BAJA
12-MAYO-2025</t>
  </si>
  <si>
    <t>Cte. Miriam Lizbeth Hernandez Sanchez</t>
  </si>
  <si>
    <t>Cte.  Juvencio Bocanegra Barcenas</t>
  </si>
  <si>
    <t>Particular
Car Wash y Estética Automotriz SS Clean</t>
  </si>
  <si>
    <t>4:30 - 5 p.m.</t>
  </si>
  <si>
    <t>Cte. Juvencio Bocanegra Barcenas 
Tel. 8119603962</t>
  </si>
  <si>
    <t>3N1AB7AD3HL721620</t>
  </si>
  <si>
    <t>SAE-492-B</t>
  </si>
  <si>
    <t>12 / 2 pm</t>
  </si>
  <si>
    <t>Cte. Eleuterio Villegas Sánchez  Tel. 8110271837</t>
  </si>
  <si>
    <t>JM3ER293990233559</t>
  </si>
  <si>
    <t>SVU-957-B</t>
  </si>
  <si>
    <t>Cualquier Hora</t>
  </si>
  <si>
    <t>Cte. Marlene Alexandra Lopez Martinez Tel. 8114142442</t>
  </si>
  <si>
    <t>1C4RJFBG4FC644724</t>
  </si>
  <si>
    <t>TAK-762-B</t>
  </si>
  <si>
    <t>Cte Ramón Hernandez Cruz  Tel. 8111535408</t>
  </si>
  <si>
    <t>Avisa antes de ir</t>
  </si>
  <si>
    <t>2T1BU4EE3AC369077</t>
  </si>
  <si>
    <t>SLB-10-78</t>
  </si>
  <si>
    <t>Particular
(Reforma, Monterrey)</t>
  </si>
  <si>
    <t>Cte. Roberto Alonso Juarez Tel. 8181192716</t>
  </si>
  <si>
    <t>FORD EDGE 2013</t>
  </si>
  <si>
    <t>BAJA
822</t>
  </si>
  <si>
    <t>BAJA
15-MAY-2025</t>
  </si>
  <si>
    <t>ACTIVO
15-MAY-2025</t>
  </si>
  <si>
    <t>823 NISSAN ALTIMA PLATA 2016</t>
  </si>
  <si>
    <t>1N4AL3AP4GC249831</t>
  </si>
  <si>
    <t>RE-INSTALADO No. 823</t>
  </si>
  <si>
    <t>ANTERIOR No. 822</t>
  </si>
  <si>
    <t>BAJA
15-MAYO-2025</t>
  </si>
  <si>
    <t>NO ESTABA LA UNIDAD EN EL DOMICILIO Y EL CLIENTE NO CONTESTA LAS LLAMADAS Y MENSAJES</t>
  </si>
  <si>
    <t>ACTIVO
20-MAY-2025</t>
  </si>
  <si>
    <t>Cte. Josue Ivan Mendoza  Tel. 8123357734</t>
  </si>
  <si>
    <t>824 HONDA HRV 2016 BLANCA</t>
  </si>
  <si>
    <t>3CZRU5H54HM701426</t>
  </si>
  <si>
    <t>1 / 5 p.m.</t>
  </si>
  <si>
    <t>3G1J85DC9DS613174</t>
  </si>
  <si>
    <t>SSH-213-B</t>
  </si>
  <si>
    <t>86922004153329
869220041537329</t>
  </si>
  <si>
    <t xml:space="preserve">1J8HR68218C215603 </t>
  </si>
  <si>
    <t>Cte. Johnatan Ivan Martinez Garza 
Srta. Hilda</t>
  </si>
  <si>
    <t>Cte. Contacto Zulema  Tel. 8110224072</t>
  </si>
  <si>
    <t>Cte. Marcelino Aleman</t>
  </si>
  <si>
    <t>2 - 5 p.m.</t>
  </si>
  <si>
    <t xml:space="preserve">Cte.  </t>
  </si>
  <si>
    <t>Cte. Jose Nestor Colomo Tel. 8110277012</t>
  </si>
  <si>
    <t>Cte. Salvador Di Gabrielle 
Tel. 8134191953</t>
  </si>
  <si>
    <t>Cte. Maria Elena</t>
  </si>
  <si>
    <t>1FADP3J24FL229583</t>
  </si>
  <si>
    <t xml:space="preserve">Cte. Adolfo Esparza  Tel. 8126159807 </t>
  </si>
  <si>
    <t>Cte. Ángel Adolfo Pacheco Mazuca  Tel.  8114860382</t>
  </si>
  <si>
    <t>Cte. Brenda Elizabeth Tel. 8122149092</t>
  </si>
  <si>
    <t>Cte. Ericka Judith / Contacto Juan  Tel. 8180919829</t>
  </si>
  <si>
    <t xml:space="preserve">Cte. Jose David Gonzalez Martinez / Axel Tel.  8130537649 </t>
  </si>
  <si>
    <t>2 / 5 pm</t>
  </si>
  <si>
    <t>2G1FC1ED2B9158070</t>
  </si>
  <si>
    <t>SNP-416-A</t>
  </si>
  <si>
    <t>Cte. Efraín Tel. 8136191211</t>
  </si>
  <si>
    <t>8182532965
8952020923443010-411</t>
  </si>
  <si>
    <t xml:space="preserve">Cte. Lorenzo / con Juan 8180919829 </t>
  </si>
  <si>
    <t>.</t>
  </si>
  <si>
    <t>Cte. Saul Perez Hdz 
Gladis Perez Tel. 8186585201</t>
  </si>
  <si>
    <t>Cte. Saul Perez Hernandez 
Tel. 8121567222</t>
  </si>
  <si>
    <t>3D4PG5FV9AT158807</t>
  </si>
  <si>
    <t>SAD-668-A</t>
  </si>
  <si>
    <t xml:space="preserve">Cte. Christian / con Christian 8134027259 </t>
  </si>
  <si>
    <t>Cte. Julio Cesar / Contacto Tel. 8180126113</t>
  </si>
  <si>
    <t>Avisar antes</t>
  </si>
  <si>
    <t>Cte. Gerardo Limon Martinez  Tel. 8118062505</t>
  </si>
  <si>
    <t>Cte. Gerardo Limón Hernandez Tel. 8118062505</t>
  </si>
  <si>
    <t>1YVHZ8CB3D5M00111</t>
  </si>
  <si>
    <t>SXF-627-A / SRE-51-30</t>
  </si>
  <si>
    <t>Particular
(Riveras de Santa Maria, Benito Juarez)</t>
  </si>
  <si>
    <t>ANTERIOR 118
REINSTALADO 557</t>
  </si>
  <si>
    <t>Particular
(Colinas de San Bernabe, Fomerrey 25)</t>
  </si>
  <si>
    <t>Particular 
(Hacienda los Pinos, Apodaca)</t>
  </si>
  <si>
    <t>345901014437143
893407540001363138-1</t>
  </si>
  <si>
    <t>345901012471709
893407550000386479-1</t>
  </si>
  <si>
    <t>ACTIVO
22-MAY-2025</t>
  </si>
  <si>
    <t>antes de las 6</t>
  </si>
  <si>
    <t>Brayan Hernan  Tel. 8115901185</t>
  </si>
  <si>
    <t>SAJ-244-B</t>
  </si>
  <si>
    <t>825 NISSAN ALTIMA GRIS</t>
  </si>
  <si>
    <t>ACTIVO
28-MAY-2025</t>
  </si>
  <si>
    <t>Cte. Cesar Homero Berlanga</t>
  </si>
  <si>
    <t xml:space="preserve">826 NISSAN VERSA PLATEADO </t>
  </si>
  <si>
    <t>STR-19-35</t>
  </si>
  <si>
    <t>INSTALADO 20-MAYO-2025 CASA RODRIOGO SOTO 
MIGRADO A APFEL 29-MAYO-2025</t>
  </si>
  <si>
    <t>Particular
(Residencial del Prado)</t>
  </si>
  <si>
    <t>ACTIVO
29-MAY-2025</t>
  </si>
  <si>
    <t>1 / 6 p.m.</t>
  </si>
  <si>
    <t>Cte. Kevin Radhaid 
Contacto 8123357734</t>
  </si>
  <si>
    <t>Cte. Luciano Avilez 
Contacto 8129108425</t>
  </si>
  <si>
    <t>827 TOYOTA COROLLA 2013 NEGRO 2016</t>
  </si>
  <si>
    <t>5YFBURHE7GP384246</t>
  </si>
  <si>
    <t>828 KIA FORTE MOKA 2017</t>
  </si>
  <si>
    <t>3KPFK4A75HE077828</t>
  </si>
  <si>
    <t>ACTIVO
02-JUN-2025</t>
  </si>
  <si>
    <t>11 / 2 pm</t>
  </si>
  <si>
    <t>Cte. Jose Antonio Guerra
Contacto 8123357734</t>
  </si>
  <si>
    <t xml:space="preserve">829 HYUNDAI ELANTRA 2016 GRIS </t>
  </si>
  <si>
    <t>ACTIVO 
04-JUN-22025</t>
  </si>
  <si>
    <t>9 / 12 pm</t>
  </si>
  <si>
    <t>RUP-135-C</t>
  </si>
  <si>
    <t>5XXGU4L32GG062427</t>
  </si>
  <si>
    <t xml:space="preserve">830 KIA SONATA 2019 NEGRO </t>
  </si>
  <si>
    <t>Cte. Josue Navarro 
Contacto 8115843926</t>
  </si>
  <si>
    <t>RUR-069-C</t>
  </si>
  <si>
    <t>5NPDH4AEXGH776466</t>
  </si>
  <si>
    <t>ACEO 2020</t>
  </si>
  <si>
    <t>Particular
(Privadas Cantera, Apodaca)</t>
  </si>
  <si>
    <t>Cte. Abdon Ayamil  Tel. 8129521094</t>
  </si>
  <si>
    <t>CLIENTE NO TOMA LAS LLAMADAS Y NO LE DAN ACCESO EN LA CASETA AL TECNICO</t>
  </si>
  <si>
    <t>ACTIVO
11-JUN-2025</t>
  </si>
  <si>
    <t>Cte. Hector / Contacto 8115901185</t>
  </si>
  <si>
    <t>NISSAN ALTIMA</t>
  </si>
  <si>
    <t>SZK-892-A</t>
  </si>
  <si>
    <t>1C4NJPBA9ED545227</t>
  </si>
  <si>
    <t>CAMBIO DE UNIDAD EN EL LOTE</t>
  </si>
  <si>
    <t>CAMBIO DE UNIDAD</t>
  </si>
  <si>
    <t xml:space="preserve">831 JEEP NEGRA </t>
  </si>
  <si>
    <t>APFEL</t>
  </si>
  <si>
    <t>ACTIVO
16-JUN-2025</t>
  </si>
  <si>
    <t>Cte. Harold / Contacto 8115901185</t>
  </si>
  <si>
    <t>832 MITSUBISHI LANCER 2014 BLANCO</t>
  </si>
  <si>
    <t>TDD-473-B</t>
  </si>
  <si>
    <t>JE3AU86W0EU016597</t>
  </si>
  <si>
    <t>REVISION 
17-JUN-2025</t>
  </si>
  <si>
    <t>Particular
(Rincon de galicia, Apodaca)</t>
  </si>
  <si>
    <t>Paul Ivan Cabello Campos  Tel. 8119119016</t>
  </si>
  <si>
    <t>737 DODGE JOURNEY 2016 GRIS</t>
  </si>
  <si>
    <t>TFU-918-B</t>
  </si>
  <si>
    <t>Unidad no enciende.
Se reviso relay y se encuentra bien, no enciende debido a alguna otra falla. Equipo no reportaba correctamente ya que se encontró con sulfato el arnés, se corrige.
Ya se encuentra reportando la unidad</t>
  </si>
  <si>
    <t>ACTIVO
18-JUN-2025</t>
  </si>
  <si>
    <t>Cte. Galdino Moctezuma 
Contacto 8129108425</t>
  </si>
  <si>
    <t>2C4RC1BG4GR193560</t>
  </si>
  <si>
    <t>833 TOWN AND CONTRY 2016 AZUL</t>
  </si>
  <si>
    <t>ACTIVO
20-JUN-2025</t>
  </si>
  <si>
    <t>Cte. Maribel Mendoza
Contacto 81 2388 6850</t>
  </si>
  <si>
    <t>834 FORD MUSTSNG 2016 NEGRO</t>
  </si>
  <si>
    <t>1FA6P8TH7G5326600</t>
  </si>
  <si>
    <t>(Pendiente por confimar)
Marcos</t>
  </si>
  <si>
    <t>5:30 p.m.</t>
  </si>
  <si>
    <t>RK-6540-A</t>
  </si>
  <si>
    <t>8AFRR5AA4E6194272</t>
  </si>
  <si>
    <t>BAJA
24-JUNIO-2025</t>
  </si>
  <si>
    <t>BAJA
24-JUN-2025</t>
  </si>
  <si>
    <t>1:30 p.m.</t>
  </si>
  <si>
    <t>Cte. Cruz Antonio Ibarra
Contacto 8123886850</t>
  </si>
  <si>
    <t>835 FORD EXPLORER 2016</t>
  </si>
  <si>
    <t>1FM5K8HT2GGD09401</t>
  </si>
  <si>
    <t>ACTIVO
04-JUL-2025</t>
  </si>
  <si>
    <t>Cte. Hidoberto Quiroz
Contacto 8115901185</t>
  </si>
  <si>
    <t>836 CHEVROLET TRAX 2016 BLANCA</t>
  </si>
  <si>
    <t>RVV-201-C</t>
  </si>
  <si>
    <t>3GNCJ7EE6GL155776</t>
  </si>
  <si>
    <t>Cte. Marco Antonio Eligio
Contacto 8123886850</t>
  </si>
  <si>
    <t>837 HONDA CRV 2016 GRIS</t>
  </si>
  <si>
    <t>2HKRM3H34GH537401</t>
  </si>
  <si>
    <t>ACTIVO
08-JUL-2025</t>
  </si>
  <si>
    <t xml:space="preserve">Cte. Luis Alejandro 
Contacto 8123886850 </t>
  </si>
  <si>
    <t>838 KIA FORTE 2017 BLANCO</t>
  </si>
  <si>
    <t>3KPFN4A87HE004640</t>
  </si>
  <si>
    <t xml:space="preserve">839 NISSAN VERSA 2020 BLANCO </t>
  </si>
  <si>
    <t>Cte. Juan Calixto 
Contacto Luis Hernández Tel. 8119847834</t>
  </si>
  <si>
    <t>3N1CN8AE4LL814962</t>
  </si>
  <si>
    <t>BAJA
454</t>
  </si>
  <si>
    <t>BAJA 
08-JUL-2025</t>
  </si>
  <si>
    <t>BAJA
524</t>
  </si>
  <si>
    <t>BAJA
530</t>
  </si>
  <si>
    <t>BAJA
543</t>
  </si>
  <si>
    <t>BAJA
547</t>
  </si>
  <si>
    <t>BAJA
08-JULIO-2025</t>
  </si>
  <si>
    <t>Cte. Perez Medina Jose Alfredo</t>
  </si>
  <si>
    <t>RYN-080-B</t>
  </si>
  <si>
    <t xml:space="preserve"> 1C4NJRCB5ED551075</t>
  </si>
  <si>
    <t>Cte. Jonathan Javier Oyervides Gaona</t>
  </si>
  <si>
    <t>4:30 p.m.</t>
  </si>
  <si>
    <t>Cte. Bryan Guadalupe Carrillo Sifuentes 
Tel. 8130972732</t>
  </si>
  <si>
    <t>3VWHG11K29M005485</t>
  </si>
  <si>
    <t>RWJ-483-B</t>
  </si>
  <si>
    <t>Cte. Mauricio Jesus Cruz Zavala   Tel. 8113019970</t>
  </si>
  <si>
    <t xml:space="preserve">Avisar antes de ir </t>
  </si>
  <si>
    <t>Cte. Mauricio Jesus Cruz Zavala  Tel. 8184734122</t>
  </si>
  <si>
    <t>3:00 p.m.</t>
  </si>
  <si>
    <t>VSSMK46J7BR127831</t>
  </si>
  <si>
    <t>SND-787-B</t>
  </si>
  <si>
    <t>Particular
(San Migiel 3er Sector, Apodaca)</t>
  </si>
  <si>
    <t>Particular
(Unidad habiitacional Independencia, Apodaca)</t>
  </si>
  <si>
    <t>Cte. Alejandra Elizabeth Alvarez Garcia 
Tel. 8123803125 
Esposo 8116311742</t>
  </si>
  <si>
    <t>YA ERA BAJA 12-MAYO-2025</t>
  </si>
  <si>
    <t>ACTIVO
18-JUL-2025</t>
  </si>
  <si>
    <t>1:40 p.m.</t>
  </si>
  <si>
    <t>11:00 a.m.</t>
  </si>
  <si>
    <t xml:space="preserve">Cte. Roberto Garcia Saucedo
Contacto 8123886850 </t>
  </si>
  <si>
    <t xml:space="preserve">840 CHEVROLET CRUZE GRIS </t>
  </si>
  <si>
    <t>3G1BE6SM6HS548563</t>
  </si>
  <si>
    <t>ACTIVO
24-JUL-2025</t>
  </si>
  <si>
    <t>4:00 p.m.</t>
  </si>
  <si>
    <t xml:space="preserve">841 NISSAN VERSA AZUL 2017 </t>
  </si>
  <si>
    <t xml:space="preserve">Cte. Jose de Jesus 
Contacto 8123886850 </t>
  </si>
  <si>
    <t>3N1CN7AP1HL825193</t>
  </si>
  <si>
    <t>ACTIVO
28-JUL-2025</t>
  </si>
  <si>
    <t xml:space="preserve">842 SEAT IBIZA 2014 ROJO </t>
  </si>
  <si>
    <t>Cte. Adrian Alexander
Jovan Tel. 8121460737</t>
  </si>
  <si>
    <t>SJN-298-A</t>
  </si>
  <si>
    <t>VSSFK46J8ER022664</t>
  </si>
  <si>
    <t>ACTIVO
30-JUL-2025</t>
  </si>
  <si>
    <t>11:15 a.m.</t>
  </si>
  <si>
    <t>Cristóbal Hernández Tel. 8132736351</t>
  </si>
  <si>
    <t xml:space="preserve">843 CAMION 2005 DE PLATAFORMA BLANCO </t>
  </si>
  <si>
    <t xml:space="preserve">RK-7702-B </t>
  </si>
  <si>
    <t>ACTIVO
05-AGO-2025</t>
  </si>
  <si>
    <t>Particular 
(Camino A San Roque, Benito Juárez)</t>
  </si>
  <si>
    <t>Cte. Jose Alejandro Sánchez 8117000756</t>
  </si>
  <si>
    <t>844 CHEVROLET SILVERADO Z71 BLANCA</t>
  </si>
  <si>
    <t>PX-7945-B</t>
  </si>
  <si>
    <t>Particular
(Vistas del Río, Juarez)</t>
  </si>
  <si>
    <t>ACTIVO 
08-AGO-2025</t>
  </si>
  <si>
    <t>Cte. J Antonio Cabriales Tel. 8120346298</t>
  </si>
  <si>
    <t>CAMION RAM 2002</t>
  </si>
  <si>
    <t>El técnico acaba de acudir el técnico al domicilio y le comentan que la unidad no se encuentra disponible, nos vamos a comunicar mas tarde para reagendar la visita</t>
  </si>
  <si>
    <t>PZ-2117-B</t>
  </si>
  <si>
    <t>3B6MC36522M312869</t>
  </si>
  <si>
    <t xml:space="preserve">845 CAMION RAM 2002 BLANCO </t>
  </si>
  <si>
    <t>ACTIVO
12-AGO-2025</t>
  </si>
  <si>
    <t>Particular
(Area Comercial De La Esatacion Good Price Y Farmac, Guadalupe)</t>
  </si>
  <si>
    <t>Cte. Litzy Garza Tel. 8136052854</t>
  </si>
  <si>
    <t>846 FORD ESCAPE 2016 BLANCA</t>
  </si>
  <si>
    <t>RWS-734-C</t>
  </si>
  <si>
    <t>1FMCU9GX9GUA51035</t>
  </si>
  <si>
    <t>ACTIVO
15-AGO-2025</t>
  </si>
  <si>
    <t>Cte. Braulio Garcia
Contacto Tel. 8115843926</t>
  </si>
  <si>
    <t>847 KIA OPTIMA GRIS</t>
  </si>
  <si>
    <t>5XXGU4L30GG014019</t>
  </si>
  <si>
    <t>848 FORD FOCUS 2017</t>
  </si>
  <si>
    <t xml:space="preserve">CHEVROLET TRAX 2016 </t>
  </si>
  <si>
    <t>Cte. Nidia Morado
Contacto Tel. 8115901185</t>
  </si>
  <si>
    <t xml:space="preserve">Cte. Gregorio 
Contacto 8123886850 </t>
  </si>
  <si>
    <t>1FADP3J28HL238287</t>
  </si>
  <si>
    <t xml:space="preserve">YA NO ALCANZA A LLEGAR EL TECNICO SE REAGENDA PARA MAÑANA SABADO </t>
  </si>
  <si>
    <t>Particular
(Ventura de Asis, Apodaca)</t>
  </si>
  <si>
    <t>849 CHEVROLET TRAX 2016 VINO</t>
  </si>
  <si>
    <t>Cte. Nidia Morado
Tel. 8140150579</t>
  </si>
  <si>
    <t>RSR-365-B</t>
  </si>
  <si>
    <t>BAJA
565</t>
  </si>
  <si>
    <t>BAJA
616</t>
  </si>
  <si>
    <t>BAJA
650</t>
  </si>
  <si>
    <t>BAJA
684</t>
  </si>
  <si>
    <t>BAJA
839</t>
  </si>
  <si>
    <t>BAJA
15-AGO-2025</t>
  </si>
  <si>
    <t>BAJA
20-JULIO-2025</t>
  </si>
  <si>
    <t>1HGFA16918L901631</t>
  </si>
  <si>
    <t>RUD-744-A</t>
  </si>
  <si>
    <t>2:00 p.m.</t>
  </si>
  <si>
    <t>Cte. María Susana Sandoval Jasso  Tel. 8116833716</t>
  </si>
  <si>
    <t>JM1BL2UF4C1549712</t>
  </si>
  <si>
    <t>TAT-277-B</t>
  </si>
  <si>
    <t>1:00 p.m.</t>
  </si>
  <si>
    <t>Cte. Jose alejandro Sanchez Martinez  Tel. 8117000756</t>
  </si>
  <si>
    <t>3KPA34AC8JE016810</t>
  </si>
  <si>
    <t>TCA-437-B</t>
  </si>
  <si>
    <t>ACTIVO
20-AGO-2025</t>
  </si>
  <si>
    <t>Cliente Marcos
Contacto Tel. 8129108425</t>
  </si>
  <si>
    <t>5NPD84LF1HH186728</t>
  </si>
  <si>
    <t>Cliente. Raul Roman 
Contacto 8136191211</t>
  </si>
  <si>
    <t>5NPE3AF8GH331302</t>
  </si>
  <si>
    <t>ACTIVO
23-AGO-2025</t>
  </si>
  <si>
    <t>851 HYUNDAI SONATA LIMITED 2016 NEGRO #31302</t>
  </si>
  <si>
    <t>Cte. Angel
Contacto 8114859878</t>
  </si>
  <si>
    <t>F150 2016</t>
  </si>
  <si>
    <t xml:space="preserve">NO SE OBTUVI RESPUESTA DEL CONTACTO PARA LA PROGRAMACION </t>
  </si>
  <si>
    <t xml:space="preserve">NO GENERA CARGO PORQUE LA VISITA NO SE REALIZO </t>
  </si>
  <si>
    <t>ACTIVO
26-AGO-2025</t>
  </si>
  <si>
    <t>Particular 
(Barrio Acero, Monterrey)</t>
  </si>
  <si>
    <t>Cte. Angel Alvarez Tel. 8127710871</t>
  </si>
  <si>
    <t>PY-3367-B</t>
  </si>
  <si>
    <t>852 F150 2016 BLANCA</t>
  </si>
  <si>
    <t>ACTIVO
02-SEP-2025</t>
  </si>
  <si>
    <t>853 CHEVROLET TRAX 2016 GRIS</t>
  </si>
  <si>
    <t>Cte Valeria / Contacto 8115901185</t>
  </si>
  <si>
    <t>SVW-258-B</t>
  </si>
  <si>
    <t>3GNCJ7CE5GL131701</t>
  </si>
  <si>
    <t>ACTIVO
03-SEP-2025</t>
  </si>
  <si>
    <t>Cte. Leonardo / Contacto 8114859878</t>
  </si>
  <si>
    <t>854 FORD F150 2016 BLANCA</t>
  </si>
  <si>
    <t>1FTEW1CP7HKC76338</t>
  </si>
  <si>
    <t>ACTIVO
05-SEP-2025</t>
  </si>
  <si>
    <t>8:30 a.m.</t>
  </si>
  <si>
    <t xml:space="preserve">855 CHEVROLET COLORADO 2017 NEGRA </t>
  </si>
  <si>
    <t>1GCGSBEN9H121013</t>
  </si>
  <si>
    <t>10:30 a.m.</t>
  </si>
  <si>
    <t>Cte. Pedro Antonio / Contacto 8123886850</t>
  </si>
  <si>
    <t>Cte. Fabiola Rubi / Contacto 8114859878</t>
  </si>
  <si>
    <t>856 FORD ESCAPE 2016 PLATA</t>
  </si>
  <si>
    <t>1FMCU0F74GUB75050</t>
  </si>
  <si>
    <t>CANCELAFO</t>
  </si>
  <si>
    <t>Cte. Jorge Alexander / Contacto 8123886850</t>
  </si>
  <si>
    <t>KIA FORTE 2017</t>
  </si>
  <si>
    <t xml:space="preserve">3:57 p.m. SE COMUNICA ZULEMA - CLIENTE NO ESTA DEACUERDO, LLEVO A SU MECANICO Y NO SE REALIZO LA ENTREGA </t>
  </si>
  <si>
    <t>ACTIVO
11-SEP-2025</t>
  </si>
  <si>
    <t>857 NISSAN VERSA 2016 NEGRO</t>
  </si>
  <si>
    <t>Cte. Ricardo / Contacto 8129108425</t>
  </si>
  <si>
    <t>3N1CN7AP5GL828497</t>
  </si>
  <si>
    <t>ACTIVO
12-SEP-2025</t>
  </si>
  <si>
    <t>Cte. Carlos Uribe / Contacto 8129108425</t>
  </si>
  <si>
    <t>1FM5K8GT5GGC23775</t>
  </si>
  <si>
    <t>858 FORD EXPLORER 2016 CAFE</t>
  </si>
  <si>
    <t>Oficina UBITEC</t>
  </si>
  <si>
    <t>2:40 p.m.</t>
  </si>
  <si>
    <t xml:space="preserve">Cte. Jose Luis Oliva </t>
  </si>
  <si>
    <t xml:space="preserve">859 FORD F-150 CAFE </t>
  </si>
  <si>
    <t>1FTEW1EG6JKD66373</t>
  </si>
  <si>
    <t>ACTIVO
18-SEP-2025</t>
  </si>
  <si>
    <t>Particular 
(Nuevo Amanecer, Apodaca)</t>
  </si>
  <si>
    <t>860 HYUNDAI ELANTRA 2017 ROJO</t>
  </si>
  <si>
    <t>RYK-404-C</t>
  </si>
  <si>
    <t>5NPD84LF2HH199195</t>
  </si>
  <si>
    <t>Particular 
(Mision Santa Cruz, Apodaca)</t>
  </si>
  <si>
    <t>Cte. Joaquin Ruiz 8132664534</t>
  </si>
  <si>
    <t>Cte. Jorge Alexander / Telefono 8132685548</t>
  </si>
  <si>
    <t>440 CHEVROLET AVEO GRIS</t>
  </si>
  <si>
    <t xml:space="preserve">CLIENTE NO TOMA LAS LLAMADAS, NO CONTESTA LOS WHATSAPP, SE NOTIFICA EN EL GRUPO DE TELEGRAM Y SR. JUAN MANUEL HERRERA NO RESPONDE </t>
  </si>
  <si>
    <t>REVISION
29-SEP-2025</t>
  </si>
  <si>
    <t>SYC-160-A</t>
  </si>
  <si>
    <t>3G1TB5BFXCL126713</t>
  </si>
  <si>
    <t>Equipo e instalación sin manipulaciones, se realizan pruebas de bloqueo y desbloqueo.
Unidad se encuentra activa y reportando.
Se deja unidad habilitada
El cliente comento lo siguiente 
Estuvo unos días decargado, pero ahorita al momento ya tiene carga.
Este fue el motivo por el cual el equipo no tenía conexión y no recibía los comandos enviados.</t>
  </si>
  <si>
    <t>Particular
(El Refugio, San Nicolas de los Garza)</t>
  </si>
  <si>
    <t>ACTIVO
29-SEP-2025</t>
  </si>
  <si>
    <t>6:00:00 p.m.</t>
  </si>
  <si>
    <t>FORD ESCAPE 2017 NEGRO</t>
  </si>
  <si>
    <t>Cliente Adriana A
Contacto 8128809406</t>
  </si>
  <si>
    <t xml:space="preserve">EL CONTACTO NO RESPONDIA Y CUANDO LLEGO ADRIAN YA SE HABIA ENTREGADO LA UNIDAD </t>
  </si>
  <si>
    <t>11:00:00 a.m.</t>
  </si>
  <si>
    <t>Adriana 8116615757</t>
  </si>
  <si>
    <t>861 FORD ESCAPE 2017 NEGRO</t>
  </si>
  <si>
    <t>RYR-744-C</t>
  </si>
  <si>
    <t>REVISION
30-SEP-2025</t>
  </si>
  <si>
    <t>Particular
(Parque Stiva Barragan, San Nicolas de los Garza)</t>
  </si>
  <si>
    <t>2:00:00 p.m.</t>
  </si>
  <si>
    <t>804 HYUNDAI SONATA 2015 PLATA</t>
  </si>
  <si>
    <t>Dice que no prende nadamas
Unidad no enciende, el auto no detecta la llave, no abre ignición ni da marcha. 
El gps esta conectado a la bomba</t>
  </si>
  <si>
    <t>ACTIVO
09-OCT-2025</t>
  </si>
  <si>
    <t>1:00:00 p.m.</t>
  </si>
  <si>
    <t>Cliente Karina Resendez
Contacto Lote 8136191211</t>
  </si>
  <si>
    <t xml:space="preserve">862 ELANTRA 2017 GRIS PLATA </t>
  </si>
  <si>
    <t>5NPD84LF4HH002088</t>
  </si>
  <si>
    <t>ACTIVO
17-OCT-2025</t>
  </si>
  <si>
    <t>12:30:00 p.m.</t>
  </si>
  <si>
    <t>Cliente Pedro Guadalupe
Lote 8129108425</t>
  </si>
  <si>
    <t>El técnico se encuentra en el lote, pero le comentan que la unidad estaría disponible a las 3 pm, por lo que se van a retirar del sitio y se reprogramará el servicio.</t>
  </si>
  <si>
    <t>863 T&amp;C 2016 GRIS
CHRYSLER TOWN COUNTRY</t>
  </si>
  <si>
    <t>ACTIVO
20-OCT-2025</t>
  </si>
  <si>
    <t>1:30:00 p.m.</t>
  </si>
  <si>
    <t>Cliente Jose Luis Perez Belmares
Lote 8129108425</t>
  </si>
  <si>
    <t>864 HYUNDAI ELANTRA ROJO 2016</t>
  </si>
  <si>
    <t>5NPDH4AE6GH697344</t>
  </si>
  <si>
    <t>REVISION
18-OCT-2025</t>
  </si>
  <si>
    <t xml:space="preserve"> Barredoras Industriales en Monterrey Bagarza
(San Nicolas de los Garza)</t>
  </si>
  <si>
    <t>657 HONDA ACCORD GRIS</t>
  </si>
  <si>
    <t>NO CUENTA CON OTRO EQUIPO GPS LA UNIDAD</t>
  </si>
  <si>
    <t>HGCR2681GA901931</t>
  </si>
  <si>
    <t>SPC-590-B</t>
  </si>
  <si>
    <t>2C4RC1BG5GR118611</t>
  </si>
  <si>
    <t xml:space="preserve"> Cte. Pedro Guadalupe</t>
  </si>
  <si>
    <t>Cliente Gabriel Eduardo Celia Gonzalez Tel. 8131233474</t>
  </si>
  <si>
    <t>JE3AU86W4BU043104</t>
  </si>
  <si>
    <t>SRR-304-B</t>
  </si>
  <si>
    <t xml:space="preserve">Cliente Yoali Garcia
Contacto Misael Tel. 8115901185 </t>
  </si>
  <si>
    <t>865 VW VENTO 2016 NERO</t>
  </si>
  <si>
    <t>STS-58-8</t>
  </si>
  <si>
    <t>ACTIVO
25-OCT-2025</t>
  </si>
  <si>
    <t>Zulema</t>
  </si>
  <si>
    <t>Particular
(Centro de Pesqueria, Pesquería)</t>
  </si>
  <si>
    <t>Cliente Cristopher
Contacto 8123260781</t>
  </si>
  <si>
    <t>RZS-467-C</t>
  </si>
  <si>
    <t>Cliente Cristopher
Lote 8136191211</t>
  </si>
  <si>
    <t xml:space="preserve">866 NISSAN SENTRA 2017 AZUL METALICO </t>
  </si>
  <si>
    <t xml:space="preserve">TECNICO NO PUEDE LLEGAR A SERVICIO SE REPROGRAMA PARA MAÑANA EN EL DOMICILIO DEL CLIENTE </t>
  </si>
  <si>
    <t>Cliente Janeth
Lote 8123357734</t>
  </si>
  <si>
    <t>867 NISSAN VERSA 2016</t>
  </si>
  <si>
    <t>2:30:00 p.m.</t>
  </si>
  <si>
    <t xml:space="preserve"> Cte. Claudia Lizeth Ruiz Nava 
Tel. 8110035940</t>
  </si>
  <si>
    <t>3VWDX7AJ4BM346207</t>
  </si>
  <si>
    <t>SMD-802-A</t>
  </si>
  <si>
    <r>
      <t xml:space="preserve">Particular 
</t>
    </r>
    <r>
      <rPr>
        <sz val="10"/>
        <color theme="1"/>
        <rFont val="Calibri"/>
        <family val="2"/>
        <scheme val="minor"/>
      </rPr>
      <t xml:space="preserve">INSTITUTO DE CONTROL VEHICULAR SANTA CRUZ </t>
    </r>
  </si>
  <si>
    <t>5:00:00 p.m.</t>
  </si>
  <si>
    <t>Cte. Héctor Iván Villarreal Duron 
Tel. 8131317409</t>
  </si>
  <si>
    <t>Cte. Blanca Esthela Berzosa Gomez
Contacto 8123886850</t>
  </si>
  <si>
    <t>3N1CN7APXGL879168</t>
  </si>
  <si>
    <t>ACTIVO
28-OCT-2025</t>
  </si>
  <si>
    <t>11:30 a.m.</t>
  </si>
  <si>
    <t>Cliente Ivan
Contacto Lote Misael 8115901185</t>
  </si>
  <si>
    <t>868 NISSAN ALTIMA 2015 NEGRO</t>
  </si>
  <si>
    <t xml:space="preserve">Jorge Rivera </t>
  </si>
  <si>
    <t>SWB-192-B</t>
  </si>
  <si>
    <t>1N4AL3AP5FN356857</t>
  </si>
  <si>
    <t>ACTIVO
06-NOV-2025</t>
  </si>
  <si>
    <t>Cte. Edgar Alejandro Hernandez 
Contacto Lote 8136191211</t>
  </si>
  <si>
    <t>Cte. Jose Sauceda
Contacto Lote 8136191211</t>
  </si>
  <si>
    <t>1FA6P8TH8G522720</t>
  </si>
  <si>
    <t>1G1JC6SH4G4137505</t>
  </si>
  <si>
    <t>Cte. Carlos Alonzo
Contacto Lote 8115843926</t>
  </si>
  <si>
    <t>5NPE24AF1GH370624</t>
  </si>
  <si>
    <t>ACTIVO
13-NOV2025</t>
  </si>
  <si>
    <t>Particular
(Terminal, Monterrey)</t>
  </si>
  <si>
    <t>3:34 p.m.</t>
  </si>
  <si>
    <t>Cristóbal 8111867505</t>
  </si>
  <si>
    <t xml:space="preserve">TECNICO ESTA EN EL DOMICILIO Y NO ESTA LA UNIDAD SE POSPONE PARA MAÑANA </t>
  </si>
  <si>
    <t>3FEKF36L17MA01327</t>
  </si>
  <si>
    <t>PT-4189-A</t>
  </si>
  <si>
    <t>ACTIVO
18-NOV-2025</t>
  </si>
  <si>
    <t>Cte. Abraham Garcia 
Lote 8136191211</t>
  </si>
  <si>
    <t>1G1BC5SM1H7173874</t>
  </si>
  <si>
    <t>869 FORD MUSTAN AZUL</t>
  </si>
  <si>
    <t xml:space="preserve">870 CHEVROLET SONIC 2016 BLANCO </t>
  </si>
  <si>
    <t>871 HYUNDAI SONATA 2016 AZUL</t>
  </si>
  <si>
    <t>872 FORD BLANCO 2007</t>
  </si>
  <si>
    <t>873 CHEVROLET CRUZ 2017 CELESTE</t>
  </si>
  <si>
    <t>ACTIVO
19-NOV-2025</t>
  </si>
  <si>
    <t>Cliente Angel Camacho
Lote 8129108425</t>
  </si>
  <si>
    <t>874 CHEVROLET CRUZ 2017 BLANCO</t>
  </si>
  <si>
    <t>1G1BC5SM8H7153895</t>
  </si>
  <si>
    <t>875 DODGE CHARGER 2016 BLANCO</t>
  </si>
  <si>
    <t>Particular 
(Azteca, Guadalupe)</t>
  </si>
  <si>
    <t>ACTIVO
20-NOV-2025</t>
  </si>
  <si>
    <t>Cliente Carlos Salas
Contacto 8115361323</t>
  </si>
  <si>
    <t>ACTIVO
21-NOV-2025</t>
  </si>
  <si>
    <t>Cliente Jorge Armando Uriegas
Contacto 8136191211</t>
  </si>
  <si>
    <t>876 FORD ESCAPE 2018 NEGRA</t>
  </si>
  <si>
    <t>Israel Leal</t>
  </si>
  <si>
    <t>BAJA
21-NOV-2025</t>
  </si>
  <si>
    <t xml:space="preserve"> Lote Autos Margon (Bodega)
Bosques Real II, 66612 Cdad. Apodaca, N.L.</t>
  </si>
  <si>
    <t>Particular
(Cerro de La Silla (U.c.), 67190 Guadalupe, N.L.)</t>
  </si>
  <si>
    <t>5:30:00 p.m.</t>
  </si>
  <si>
    <t>877 NISSAN VERSA PLATA</t>
  </si>
  <si>
    <t>865 VW VENTO 2016 NEGRO</t>
  </si>
  <si>
    <t>ACTIVO
22-NOV-20225</t>
  </si>
  <si>
    <t>Cliente Angel 
Contacto 8115901185</t>
  </si>
  <si>
    <t xml:space="preserve"> STS-58-8</t>
  </si>
  <si>
    <t>RVH-836-C</t>
  </si>
  <si>
    <t>3N1CN7AD7KL864447</t>
  </si>
  <si>
    <t>RE-INSTALADO No. 877</t>
  </si>
  <si>
    <t>2C3CDXHGXGH301944</t>
  </si>
  <si>
    <t>RWB-682-C</t>
  </si>
  <si>
    <t>1FMC00HD5JUC26503</t>
  </si>
  <si>
    <t>ACTIVO
25-NOV-2025</t>
  </si>
  <si>
    <t>Seminuevos MG1
(Mexico 86, Guadalupe)</t>
  </si>
  <si>
    <t>Cliente Julio Reyes
Contacto 8180801774</t>
  </si>
  <si>
    <t xml:space="preserve">878 FORD EDGE BLANCA </t>
  </si>
  <si>
    <t>SVY-300-A</t>
  </si>
  <si>
    <t>2FMDK3GCXABA57363</t>
  </si>
  <si>
    <t>RE-INSTALADO No. 878</t>
  </si>
  <si>
    <t>DES-INSTALACION
21-NOVIEMBRE-2025</t>
  </si>
  <si>
    <t>BAJA
23-OCT-2025</t>
  </si>
  <si>
    <t>Particular
(Golondrinas 3er Sector, Apodaca)</t>
  </si>
  <si>
    <t>Eva Zavala 8113019970</t>
  </si>
  <si>
    <t xml:space="preserve">543 SEAT IBIZA ROJO 2012 </t>
  </si>
  <si>
    <t>CLIENTE PAGO EN EFECTIVO  
RE-INSTALADO No. 878</t>
  </si>
  <si>
    <t>DES-INSTALACION
23-OCTUBRE-2025</t>
  </si>
  <si>
    <t>ACTIVO
01-DIC-2025</t>
  </si>
  <si>
    <t>Cte Mayra Montoya
Contacto Lote 8136191211</t>
  </si>
  <si>
    <t>Cte Israel Trujillo
Contacto Lote 8136191211</t>
  </si>
  <si>
    <t>879 SONATA 2018 serie 09354</t>
  </si>
  <si>
    <t>880 ELANTRA BLANCO RINES NEGROS 2017 serie 1446</t>
  </si>
  <si>
    <t>Cte Hilary
Contacto de Lote 8123886850</t>
  </si>
  <si>
    <t>881 KIA OPTIMA 2018 VINO</t>
  </si>
  <si>
    <t>ACTIVO
02-DIC-2025</t>
  </si>
  <si>
    <t>ACTIVO
04-DIC-2025</t>
  </si>
  <si>
    <t>Cte. Paulino
Contacto Lote 813619121</t>
  </si>
  <si>
    <t>Cte. Ma Socorro
Contacto Lote 813619121</t>
  </si>
  <si>
    <t>Cte. Daniel Arana
Contacto Lote 813619121</t>
  </si>
  <si>
    <t>882 HYUNDAI ELANTRA 2017 AZUL</t>
  </si>
  <si>
    <t>5NPD84LF3HH053193</t>
  </si>
  <si>
    <t>883 FORD ESCAPE 2018 TITANIUM NEGRA</t>
  </si>
  <si>
    <t>884 FORD ESCAPE 2017 BLANCA</t>
  </si>
  <si>
    <t>1FMCU0JDXHUE31593</t>
  </si>
  <si>
    <t>1FMCU0G95HU91162</t>
  </si>
  <si>
    <t>FORD ESCAPE 2018 BLACA</t>
  </si>
  <si>
    <t>UNIDAD NO ESTABA EN EL LOTE
SE REPROGRAMA PARA LAS 4 PM</t>
  </si>
  <si>
    <t>BAJA
05-DIC-2025</t>
  </si>
  <si>
    <t>REINSTALADO EN No. 885</t>
  </si>
  <si>
    <t>DES-INSTALACION
05-DICIEMBRE-2025</t>
  </si>
  <si>
    <t>ACTIVO
05-DIC-2025</t>
  </si>
  <si>
    <t>885 FORD ESCAPE 2018 BLACA</t>
  </si>
  <si>
    <t>DESINSTALACION No. 884</t>
  </si>
  <si>
    <t>SBA-533-C</t>
  </si>
  <si>
    <t>1FMCU0GD5J0D30989</t>
  </si>
  <si>
    <t>ACTIVO
10-DIC-2025</t>
  </si>
  <si>
    <t>Lote Autos Concordia
(Bosques Real I, Apodaca)</t>
  </si>
  <si>
    <t xml:space="preserve">886 NISSAN VERSA 2013 CAFÉ </t>
  </si>
  <si>
    <t>3N1CN7AD2DL821119</t>
  </si>
  <si>
    <t>SYA-432-B</t>
  </si>
  <si>
    <t>Lote Yadira 8123357734
Cte. Debani Rebeca Blanco Rangel</t>
  </si>
  <si>
    <t>5NPE34AF2JH655983</t>
  </si>
  <si>
    <t>887 HYUNDAI SONATA 2018 GRIS</t>
  </si>
  <si>
    <t>Lote 8136191211 
Cte. Victor Manuel</t>
  </si>
  <si>
    <t>888 FORD ESCAPE 2018 PLATA 
SERIE 77050</t>
  </si>
  <si>
    <t>ACTIVO
15-DIC-2025</t>
  </si>
  <si>
    <t>Cte. Alba delgadillo</t>
  </si>
  <si>
    <t>889 HYUNDAI SANTA FE 2018 PLATA</t>
  </si>
  <si>
    <t>5XYZT3LB2JG557355</t>
  </si>
  <si>
    <t>ACTIVO
16-DIC-2025</t>
  </si>
  <si>
    <t>Cliente Jared Alexis
Contacto 8129108425</t>
  </si>
  <si>
    <t xml:space="preserve">890 KIA OPTIMA 2018 NEGRO </t>
  </si>
  <si>
    <t>5XXGU4L34JG209869</t>
  </si>
  <si>
    <t>Cte. Anita</t>
  </si>
  <si>
    <t>891 HYUNDAI SONATA ROJO 2017</t>
  </si>
  <si>
    <t>5NPE24AF6HH567421</t>
  </si>
  <si>
    <t>BAJA
17-DIC-2025</t>
  </si>
  <si>
    <t>BAJA
17-DICIEMBRE-2025</t>
  </si>
  <si>
    <t>587 FORD FOCUS 2014 NEGRO</t>
  </si>
  <si>
    <t>595 GMC ACADIA NEGRA</t>
  </si>
  <si>
    <t>674 VW JETTA GRIS PLATA</t>
  </si>
  <si>
    <t>763 CHRYSLER TOWN&amp;COUNTRY NEGRO</t>
  </si>
  <si>
    <t>763 HONDA CIVIC 2010 AZUL</t>
  </si>
  <si>
    <t>784 HIUNDAY SONATA AZUL 2016</t>
  </si>
  <si>
    <t>BAJA
585</t>
  </si>
  <si>
    <t>BAJA
587</t>
  </si>
  <si>
    <t>BAJA
595</t>
  </si>
  <si>
    <t>BAJA
651</t>
  </si>
  <si>
    <t>BAJA
674</t>
  </si>
  <si>
    <t>BAJA
746</t>
  </si>
  <si>
    <t>BAJA
763</t>
  </si>
  <si>
    <t>BAJA
784</t>
  </si>
  <si>
    <t>BAJA
790</t>
  </si>
  <si>
    <t>BAJA
812</t>
  </si>
  <si>
    <t>BAJA
850</t>
  </si>
  <si>
    <t xml:space="preserve">Cte. Felipe de Jesus Moreno Tinajero </t>
  </si>
  <si>
    <t>Cte. Felipe de Jesus Moreno Tinajero 
Tel. 8130520062</t>
  </si>
  <si>
    <t xml:space="preserve">17/12/2025 BAJA SIN RETIRO, SOLICITA JUAN MANUEL HERRERA RDZ. </t>
  </si>
  <si>
    <t>1GKKRRKD2FJ117315</t>
  </si>
  <si>
    <t>SPW-377-A</t>
  </si>
  <si>
    <t>Cte. Jose Paz /Tel. 8132488390</t>
  </si>
  <si>
    <t xml:space="preserve">595 GMC ACADIA NEGRA </t>
  </si>
  <si>
    <t>3:30 p.m.</t>
  </si>
  <si>
    <t>VWLW2AJ8CM105317</t>
  </si>
  <si>
    <t>PBT-31-41</t>
  </si>
  <si>
    <t xml:space="preserve">Cte. Antonio Alonso </t>
  </si>
  <si>
    <t>2GNALDEK1G6147708</t>
  </si>
  <si>
    <t>TGS-559-B</t>
  </si>
  <si>
    <t>2C4RC1BG7ER413576</t>
  </si>
  <si>
    <t>RKP-260-C</t>
  </si>
  <si>
    <t xml:space="preserve">Cte. David Javier Pérez Montoya </t>
  </si>
  <si>
    <t>Cte. Josue Angel</t>
  </si>
  <si>
    <t>Cte. Fidel Salvador Tel. 8112424048</t>
  </si>
  <si>
    <t xml:space="preserve">Cte. José Javier Antonio </t>
  </si>
  <si>
    <t>850 HYUNDAI ELANTRA 2017 BLANCO #6728</t>
  </si>
  <si>
    <t>Cte. Elizabeth Montejano
Contacto 8136191211</t>
  </si>
  <si>
    <t>892 GRAND CARAVAN 2018 NEGRA</t>
  </si>
  <si>
    <t>2C4RDGEG2JR345726</t>
  </si>
  <si>
    <t>ACTIVO
23-DIC-205</t>
  </si>
  <si>
    <t>Cliente Moises 
Contacto 8123357734</t>
  </si>
  <si>
    <t>893 HYUNDAI SONATA GRIS (Terminacion 3461)</t>
  </si>
  <si>
    <t>5NPE34AF5JH703461</t>
  </si>
  <si>
    <t xml:space="preserve">894 NISSAN ALTIMA GRIS </t>
  </si>
  <si>
    <t>LXR-465-C</t>
  </si>
  <si>
    <t>1N4AL3AP8GN301854</t>
  </si>
  <si>
    <t>ACTIVO
29-DIC-2025</t>
  </si>
  <si>
    <t xml:space="preserve">Cte. Bryan Alejandro
Contacto Misael Tel. 8115901185 </t>
  </si>
  <si>
    <t xml:space="preserve">895 HONDA CIVIC 2013 GRIS </t>
  </si>
  <si>
    <t>2HGFB2F57DH552584</t>
  </si>
  <si>
    <t>SAU-891-C</t>
  </si>
  <si>
    <t>Cte. Ma. Verónica
Contacto 8136191211</t>
  </si>
  <si>
    <t>896 KIA OPTIMA UVA</t>
  </si>
  <si>
    <t>5XXGT4L39HG137838</t>
  </si>
  <si>
    <t>ACTIVO
09-ENE-2026</t>
  </si>
  <si>
    <t>ACTIVO 
05-ENE-2026</t>
  </si>
  <si>
    <t>897 HONDA CIVIC 2014 ROJO</t>
  </si>
  <si>
    <t>898 NISSAN ALTIMA 2016 ROJO</t>
  </si>
  <si>
    <t>Particular
(Sierra Nogal, Juarez)</t>
  </si>
  <si>
    <t>Daniel Garcia 8122048848</t>
  </si>
  <si>
    <t>Cte Pedro Guadalupe 
Contacto 8136191211</t>
  </si>
  <si>
    <t>Jonathan 8115901185</t>
  </si>
  <si>
    <t>RTZ-450-C</t>
  </si>
  <si>
    <t xml:space="preserve">899 HYUNDAI SONATA 2018 AZUL METALICO </t>
  </si>
  <si>
    <t>ACTIVO
12-ENE-2026</t>
  </si>
  <si>
    <t>Cte Luis Felipe Hdz
Contacto 8123886850</t>
  </si>
  <si>
    <t>900 KIA OPTIMA 2018 BLANCO</t>
  </si>
  <si>
    <t>5XXGT4L3XJG211712</t>
  </si>
  <si>
    <t>ACTIVO
14-ENE-2026</t>
  </si>
  <si>
    <t>Cte. Esmeralda de la Rosa 
Contacto 8123357734</t>
  </si>
  <si>
    <t>901 KIA SORENTO 2017 BLANCA</t>
  </si>
  <si>
    <t>5XYPG4A31HG27399</t>
  </si>
  <si>
    <t>ACTIVO
15-ENE-2026</t>
  </si>
  <si>
    <t>Cte. Mario Bayejo 
Contacto 8136191211</t>
  </si>
  <si>
    <t>Cte. Ricardo Missael
Contacto 8136191211</t>
  </si>
  <si>
    <t>902 JEEP COMPAS 2017 BLANCO</t>
  </si>
  <si>
    <t>1C4NJCEB1HD199384</t>
  </si>
  <si>
    <t>903 HYUNDAI SONATA 2018 GRIS</t>
  </si>
  <si>
    <t>5NPE3AF9JH622169</t>
  </si>
  <si>
    <t>ACTIVO
23-ENE-2026</t>
  </si>
  <si>
    <t>Cte. Fernando Sada
Contacto 8123357734</t>
  </si>
  <si>
    <t>904 FORD ESCAPE AZUL 2017</t>
  </si>
  <si>
    <t>SONATA 2017</t>
  </si>
  <si>
    <t>Cte. Josselyn Luna 8126836820</t>
  </si>
  <si>
    <t>Particular
(Sin Nombre de Col 12, Escobedo)</t>
  </si>
  <si>
    <t>La clienta y la unidad no estaba en el domicilio, se va a reprogramar para mañana</t>
  </si>
  <si>
    <t>ACTIVO
05-FEB-2026</t>
  </si>
  <si>
    <t>Sandoval San Nicolas 
(San Nicolas de los Graza)</t>
  </si>
  <si>
    <t xml:space="preserve">Cte. Sergio Alberto Martínez </t>
  </si>
  <si>
    <t>Particular
(Natura Cerrada Arboledas, Apodaca9</t>
  </si>
  <si>
    <t>Cte Jose Daniel 8140064985</t>
  </si>
  <si>
    <t>Cte. Luis Gerardo 
Contacto 812388685</t>
  </si>
  <si>
    <t>5XXGT4L3XJG260456</t>
  </si>
  <si>
    <t>905 FORD ESCAPE 2017 GRIS</t>
  </si>
  <si>
    <t>ACTIVO
28-ENE-2026</t>
  </si>
  <si>
    <t>906 KIA OPTIMA AZUL 2016 (#04656)</t>
  </si>
  <si>
    <t>907 CHEVROLET SILVERADO 2009 NEGRA</t>
  </si>
  <si>
    <t>908 CHEVROLET AVEO 2015</t>
  </si>
  <si>
    <t>ACTIVO
06-FEB-2026</t>
  </si>
  <si>
    <t>Particular
(Hidalgo, Monterrey)</t>
  </si>
  <si>
    <t>909 HYUNDAI SONATA 2017</t>
  </si>
  <si>
    <t>3G1TB5AF5FL119691</t>
  </si>
  <si>
    <t>SYX-005-B</t>
  </si>
  <si>
    <t>RG-2666-A</t>
  </si>
  <si>
    <t>1GCEC19J19Z148567</t>
  </si>
  <si>
    <t>1FMCU0GD4HUB60201</t>
  </si>
  <si>
    <t>1FMCU0JD3HUC86302</t>
  </si>
  <si>
    <t>ACTIVO
07-FEB-2026</t>
  </si>
  <si>
    <t>910 CHEVROLET EQUINOX 2015 AZUL</t>
  </si>
  <si>
    <t>911 CHEVROLET TRAX 2016 NEGRA</t>
  </si>
  <si>
    <t>912 CHEVROLET TRAVERSE 2018 BLANCA</t>
  </si>
  <si>
    <t>Cte. Valentin
Contacto 8181790643</t>
  </si>
  <si>
    <t>Particular
(Valle de los Reyes, Guadalupe)</t>
  </si>
  <si>
    <t>ACTIVO
12-FEB-2026</t>
  </si>
  <si>
    <t>Cte. Jaime
Contacto 8123886850</t>
  </si>
  <si>
    <t>913 KIA SORENTO 2018 PLATA</t>
  </si>
  <si>
    <t>Cte. Eduardo Gabriel
Contacto 8123886850</t>
  </si>
  <si>
    <t>914 HYUNDAI OPTIMA 2018 NEGRO</t>
  </si>
  <si>
    <t>REVISION
14-FEB-2025</t>
  </si>
  <si>
    <t xml:space="preserve">TENIA APLICADO EL BLOQUEO </t>
  </si>
  <si>
    <t>ACTIVO
23-FEB-2026</t>
  </si>
  <si>
    <t>Cte. Jose Manuel
Contacto 8136191211</t>
  </si>
  <si>
    <t>915 DODGE CARAVAN 2017 ROJO</t>
  </si>
  <si>
    <t>ACTIVO
27-FEB-2026</t>
  </si>
  <si>
    <t>Cte. Edgar Leonel
Contacto 8123886850</t>
  </si>
  <si>
    <t>916 KIA OPTIMA 2017 GRIS</t>
  </si>
  <si>
    <t>SE CAMBIA EL DOMICILIO DE EL LOTE AL DOMICILIO AL DOMICILIO DEL CLIENTE, PERO TRABAJA DE NOCHE Y NO NOS PUDO RECIBIR A LAS 6:30 P.M.</t>
  </si>
  <si>
    <t>ACTIVO
02-MAR-2026</t>
  </si>
  <si>
    <t>917 HYUNDAI SONATA BLANCO</t>
  </si>
  <si>
    <t>918 KIA OPTIMA NEGRO 2017</t>
  </si>
  <si>
    <t>ACTIVO
11-MAR-2026</t>
  </si>
  <si>
    <t>Cte. Miguel Angel
Contacto 8136191211</t>
  </si>
  <si>
    <t>Cte. Bryan Gpe
Contacto 8123886850</t>
  </si>
  <si>
    <t>BAJA
17-MAR-2026</t>
  </si>
  <si>
    <t>BAJA
17-MARZO-2026</t>
  </si>
  <si>
    <t>591 FORD FOCUS PLATA 2012</t>
  </si>
  <si>
    <t>919 FORD F-350 2011</t>
  </si>
  <si>
    <t>Particular
(José Páez García, García)</t>
  </si>
  <si>
    <t>Cliente Daniel 
Contacto 8120104202</t>
  </si>
  <si>
    <t>BAJA
591</t>
  </si>
  <si>
    <t>BAJA
636</t>
  </si>
  <si>
    <t>BAJA
759</t>
  </si>
  <si>
    <t>BAJA
775</t>
  </si>
  <si>
    <t>BAJA
796</t>
  </si>
  <si>
    <t>BAJA
800</t>
  </si>
  <si>
    <t>BAJA
827</t>
  </si>
  <si>
    <t>BAJA
852</t>
  </si>
  <si>
    <t>ACTIVO
18-MAR-2026</t>
  </si>
  <si>
    <t>10:30 / 11 a.m.</t>
  </si>
  <si>
    <t xml:space="preserve">Nos pusimos en contacto y se acordo estar a las 5:30 que sería el horario en el cual estaría disponible la unidad en el domicilio, el técnico tiene 15 min en el lugar y la unidad no se encuentra en el domicilio, ya nos pusimos en contacto nuevamente pero nos comentan la unidad demoraría aproximadamente 30 min mas en este momento no nos sería posible aguardar mas tiempo en el lugar. </t>
  </si>
  <si>
    <t>Particular 
(Sierra de Gomaz, Guadalupe)</t>
  </si>
  <si>
    <t>3:00:00 p.m.</t>
  </si>
  <si>
    <t>Particular
(Misión de Santa Monica, Guadalupe)</t>
  </si>
  <si>
    <t>Cte. Humberto Padilla Gonzalez</t>
  </si>
  <si>
    <t>1FAHP3M25CL199843</t>
  </si>
  <si>
    <t>SYE-948-B</t>
  </si>
  <si>
    <t>4:00:00 p.m.</t>
  </si>
  <si>
    <t xml:space="preserve">Cte. Luis Antonio </t>
  </si>
  <si>
    <t>KL1JJ5AE6CB042018</t>
  </si>
  <si>
    <t>SHA-681-B</t>
  </si>
  <si>
    <t>KL8CJ6AD6EC479229</t>
  </si>
  <si>
    <t>TEH-895-B</t>
  </si>
  <si>
    <t>Cte. Jesus Antonio de Leon Tel. 8135927159</t>
  </si>
  <si>
    <t>1G1ZE5ST9GF264279</t>
  </si>
  <si>
    <t>RLK-545-C</t>
  </si>
  <si>
    <t>919 FORD F-350 2011 ROJO</t>
  </si>
  <si>
    <t>RG-5175-B</t>
  </si>
  <si>
    <t>1FDEF3G65BEB44029</t>
  </si>
  <si>
    <t>Aaron Flores</t>
  </si>
  <si>
    <t>920 HODA PILOT 2018</t>
  </si>
  <si>
    <t>Cte. Emigdio Santos
Contacto 8136191211</t>
  </si>
  <si>
    <t>ACTIVO
19-MAR-2026</t>
  </si>
  <si>
    <t>921 KIA FFORTE 2017</t>
  </si>
  <si>
    <t>Cte Bryan
Contacto 8136191211</t>
  </si>
  <si>
    <t>ACTIVO
20-MAR-2026</t>
  </si>
  <si>
    <t>922 VW JETTA AZUL</t>
  </si>
  <si>
    <t>923 CHEVROLET EQUINOX 2017</t>
  </si>
  <si>
    <t>ACTIVO
21-MAR-2026</t>
  </si>
  <si>
    <t>Cte Juan Alberto
Contacto 8136766659</t>
  </si>
  <si>
    <t>Particular
(Arcos de zirandaro, Juarez)</t>
  </si>
  <si>
    <t>924 CHEVROLET MALIBU 2016</t>
  </si>
  <si>
    <t>925 FORD MUSTANG 2017 NEGRO</t>
  </si>
  <si>
    <t>ACTIVO
23-MAR-2026</t>
  </si>
  <si>
    <t>Cte Martha
Contacto 8128809406</t>
  </si>
  <si>
    <t>926 HYUNDAI i10 2021 ROJO</t>
  </si>
  <si>
    <t>ACTIVO
24-MAR-2026</t>
  </si>
  <si>
    <t>ACTIVO
30-MAR-2026</t>
  </si>
  <si>
    <t>927 HYUNDAI SONATA 2017 GRIS</t>
  </si>
  <si>
    <t>Cte Oscar
Contacto 8136191211</t>
  </si>
  <si>
    <t>ACTIVO
06-ABR-2026</t>
  </si>
  <si>
    <t>928 CHEVROLET CRUZE 2017 AZUL</t>
  </si>
  <si>
    <t>Cte Juan Carlos Chavez
Contacto 8128809406</t>
  </si>
  <si>
    <t>ACTIVO
09-ABR-2026</t>
  </si>
  <si>
    <t>929 HYUNDAI SONATA 2017 ROJO</t>
  </si>
  <si>
    <t>Cte. Miguel Angel Salas
Contacto 8128809406</t>
  </si>
  <si>
    <t>5NPE24AF8HH454196</t>
  </si>
  <si>
    <t>Particular
(Jordania 745, Prados de La Cieneguita)</t>
  </si>
  <si>
    <t>2:30:0 p.m.</t>
  </si>
  <si>
    <t>Cte Roberto Oliveros
Contacto: Rud Nohemy 8123886850</t>
  </si>
  <si>
    <t>930 HYUNDAI SONATA 2018</t>
  </si>
  <si>
    <t>ACTIVO
11-ABR-2026</t>
  </si>
  <si>
    <t>12:00:00 p.m.</t>
  </si>
  <si>
    <t>Cte Jesus Mario Gzz
Contacto 8110405420</t>
  </si>
  <si>
    <t xml:space="preserve">931 HYUNDAI SONATA 2017 GRIS </t>
  </si>
  <si>
    <t>Carlos y Jorge</t>
  </si>
  <si>
    <t>5NPE24AF4HH530142</t>
  </si>
  <si>
    <t>ACTIVO
13-ABR-2026</t>
  </si>
  <si>
    <t>Cte Enrique Miramontes
Contacto 8134191953</t>
  </si>
  <si>
    <t>932 JEEP CHEROKEE 2017 BLANCA</t>
  </si>
  <si>
    <t>REVISION
14-ABR-2026</t>
  </si>
  <si>
    <t>Particular
(C de Natura, Apodaca)</t>
  </si>
  <si>
    <t>Cte. Jose Daniel 8140064985</t>
  </si>
  <si>
    <t>908 CHEVROLET AVEO 2015 NEGRO</t>
  </si>
  <si>
    <t>Nuestro equipo esta el corte es a ignición no a bomba y la falla que hace es como si tuviera el corta a la bomba, trae otro gps, solicita Lic. Zulema se retire, cliente la desinstalacion en efectivo. 
Equipo GPS UBITEC se deja instalado y reportando en la plataforma, aun retirando el segundo equipo la unidad seguia sin encender</t>
  </si>
  <si>
    <t>DESINSTALACION DE EQUIPO ADICIONAL, OTRO PROVEEDOR</t>
  </si>
  <si>
    <t>ACTIVO
16-ABR-2026</t>
  </si>
  <si>
    <t>Cte. Alexa
Contacto 8128809406</t>
  </si>
  <si>
    <t>Cte David Eduardo
Contacto 8123886850</t>
  </si>
  <si>
    <t>933 HYUNDAI SONATA 2017 PLATA</t>
  </si>
  <si>
    <t>934 HYUNDAI SONATA 2017 PLATA</t>
  </si>
  <si>
    <t>ACTIVO
20-ABR-2026</t>
  </si>
  <si>
    <t>Cte. Alexa
Contacto 8136191211</t>
  </si>
  <si>
    <t>935 HYUNDAI SONATA 2017 BLANCO</t>
  </si>
  <si>
    <t>BAJA
20-ABR-2026</t>
  </si>
  <si>
    <t>BAJA
20-ABRIL-2026</t>
  </si>
  <si>
    <t>BAJA
291</t>
  </si>
  <si>
    <t>BAJA
438</t>
  </si>
  <si>
    <t>BAJA
539</t>
  </si>
  <si>
    <t>BAJA
541</t>
  </si>
  <si>
    <t>BAJA
546</t>
  </si>
  <si>
    <t>BAJA
551</t>
  </si>
  <si>
    <t>BAJA
569</t>
  </si>
  <si>
    <t>BAJA
574</t>
  </si>
  <si>
    <t>BAJA
577</t>
  </si>
  <si>
    <t>BAJA
578</t>
  </si>
  <si>
    <t>BAJA
582</t>
  </si>
  <si>
    <t>BAJA
597</t>
  </si>
  <si>
    <t>BAJA
598</t>
  </si>
  <si>
    <t>BAJA
601</t>
  </si>
  <si>
    <t>BAJA
612</t>
  </si>
  <si>
    <t>BAJA
600</t>
  </si>
  <si>
    <t>BAJA
614</t>
  </si>
  <si>
    <t>BAJA
619</t>
  </si>
  <si>
    <t>BAJA
618</t>
  </si>
  <si>
    <t>BAJA
622</t>
  </si>
  <si>
    <t>BAJA
623</t>
  </si>
  <si>
    <t>BAJA
624</t>
  </si>
  <si>
    <t>BAJA
626</t>
  </si>
  <si>
    <t>BAJA
627</t>
  </si>
  <si>
    <t>BAJA
629</t>
  </si>
  <si>
    <t>BAJA
630</t>
  </si>
  <si>
    <t>BAJA
633</t>
  </si>
  <si>
    <t>BAJA
635</t>
  </si>
  <si>
    <t>BAJA
637</t>
  </si>
  <si>
    <t>BAJA
648</t>
  </si>
  <si>
    <t>BAJA
649</t>
  </si>
  <si>
    <t>BAJA
653</t>
  </si>
  <si>
    <t>BAJA
666</t>
  </si>
  <si>
    <t>BAJA
667</t>
  </si>
  <si>
    <t>BAJA
670</t>
  </si>
  <si>
    <t>BAJA
675</t>
  </si>
  <si>
    <t>BAJA
676</t>
  </si>
  <si>
    <t>BAJA
678</t>
  </si>
  <si>
    <t>BAJA
679</t>
  </si>
  <si>
    <t>BAJA
687</t>
  </si>
  <si>
    <t xml:space="preserve"> BAJA
688</t>
  </si>
  <si>
    <t>BAJA
689</t>
  </si>
  <si>
    <t>BAJA
692</t>
  </si>
  <si>
    <t>BAJA
697</t>
  </si>
  <si>
    <t>BAJA
717</t>
  </si>
  <si>
    <t>BAJA
721</t>
  </si>
  <si>
    <t>BAJA
722</t>
  </si>
  <si>
    <t>BAJA 
723</t>
  </si>
  <si>
    <t>BAJA
724</t>
  </si>
  <si>
    <t>BAJA
727</t>
  </si>
  <si>
    <t>BAJA
728</t>
  </si>
  <si>
    <t>BAJA
730</t>
  </si>
  <si>
    <t>BAJA
732</t>
  </si>
  <si>
    <t>BAJA
737</t>
  </si>
  <si>
    <t>BAJA
747</t>
  </si>
  <si>
    <t>BAJA
749</t>
  </si>
  <si>
    <t>BAJA
753</t>
  </si>
  <si>
    <t>BAJA
758</t>
  </si>
  <si>
    <t>BAJA
764</t>
  </si>
  <si>
    <t>BAJA
771</t>
  </si>
  <si>
    <t>BAJA
782</t>
  </si>
  <si>
    <t>BAJA
786</t>
  </si>
  <si>
    <t>BAJA
787</t>
  </si>
  <si>
    <t>BAJA
802</t>
  </si>
  <si>
    <t>BAJA
805</t>
  </si>
  <si>
    <t>BAJA
811</t>
  </si>
  <si>
    <t>BAJA
821</t>
  </si>
  <si>
    <t>BAJA
835</t>
  </si>
  <si>
    <t>BAJA
838</t>
  </si>
  <si>
    <t>BAJA
875</t>
  </si>
  <si>
    <t>BAJA
883</t>
  </si>
  <si>
    <t>JM3ER2C5XC0417751</t>
  </si>
  <si>
    <t>RPT-362-B</t>
  </si>
  <si>
    <t>438 MAZDA CX-7 PLATA</t>
  </si>
  <si>
    <t>438 MAZDA CX-7 PLATA (GRIS)</t>
  </si>
  <si>
    <t>1YVHZ8CH9D5M15586</t>
  </si>
  <si>
    <t>SYB-330-A</t>
  </si>
  <si>
    <t>869706060013226
863719060440626</t>
  </si>
  <si>
    <t>8118240120
8134058877</t>
  </si>
  <si>
    <t>11:30:00 a.m.</t>
  </si>
  <si>
    <t>JM1BL1SF2A1379473</t>
  </si>
  <si>
    <t>TDN-277-A</t>
  </si>
  <si>
    <t>10:00:00 a.m.</t>
  </si>
  <si>
    <t>Cte. Jonathan Enrique Sifuentes Luna
Tel. 8126005809</t>
  </si>
  <si>
    <t>Cte. Pedro Osvaldo Lopez Perez
Tel. 8180866371</t>
  </si>
  <si>
    <t>1HGFA165X8L901498</t>
  </si>
  <si>
    <t>SFW-699-B</t>
  </si>
  <si>
    <t>10:30:00 a.m.</t>
  </si>
  <si>
    <t>Cte. Dora Evelin Paez Arizmendi
Tel. 8121123510</t>
  </si>
  <si>
    <t>Cte. 
Contacto David Tel. 8184712713</t>
  </si>
  <si>
    <t>3N1BC1CD5BL478637</t>
  </si>
  <si>
    <t>SUF-85-54</t>
  </si>
  <si>
    <t>4 / 4:30 p.m</t>
  </si>
  <si>
    <t>2GNALCEK5E6276073</t>
  </si>
  <si>
    <t>NGD-6189</t>
  </si>
  <si>
    <t>Cte. Osvaldo de Jesus Bernal Ramirez
Tel. 8136803912</t>
  </si>
  <si>
    <t>1HGFA16558L908584</t>
  </si>
  <si>
    <t>SUP-114-B</t>
  </si>
  <si>
    <t>Cte. Jose Carlos Fierro Contreras  
Arturo Lozano Tel. 8126060884</t>
  </si>
  <si>
    <t xml:space="preserve">Cte. Nallely Elizabeth Elizondo </t>
  </si>
  <si>
    <t>2FMDK3KC9BBA51918</t>
  </si>
  <si>
    <t>SUE-271-B</t>
  </si>
  <si>
    <t>Cte. 
Contacto Zulema  Tel. 8110224072</t>
  </si>
  <si>
    <t>5:30 / 6:00 p.m.</t>
  </si>
  <si>
    <t>2GNALBEK1F6283372</t>
  </si>
  <si>
    <t>SKP-298-B</t>
  </si>
  <si>
    <t>Cte. Federico Correa</t>
  </si>
  <si>
    <t>4:30 / 5:00 p.m.</t>
  </si>
  <si>
    <t>Cte. Juan Alberto Alanís Salazar
Tel. 8123702337</t>
  </si>
  <si>
    <t>1J4FT47B49D238367</t>
  </si>
  <si>
    <t>RUM-080-B</t>
  </si>
  <si>
    <t xml:space="preserve">Cte. Jocelyn Lizeth Mendoza Gámez </t>
  </si>
  <si>
    <t>1FADP3F27DL135302</t>
  </si>
  <si>
    <t>STS-081-B</t>
  </si>
  <si>
    <t>Cte. Victor Fernando Martinez Dorado  Tel. 8110169130</t>
  </si>
  <si>
    <t>JM1BL1VF5B1424421</t>
  </si>
  <si>
    <t xml:space="preserve"> RTC-361-B</t>
  </si>
  <si>
    <t>Cte. Sandra Elizabeth Moreno</t>
  </si>
  <si>
    <t>1J4FT48B69D129102</t>
  </si>
  <si>
    <t>SFD-527-A</t>
  </si>
  <si>
    <t>3VW267AJXGM290307</t>
  </si>
  <si>
    <t>SVN-708-B</t>
  </si>
  <si>
    <t>9:30:00 a.m.</t>
  </si>
  <si>
    <t>Cte. Gabriel Padilla / Contacto Zulema 8110224072</t>
  </si>
  <si>
    <t>3FADP4BJ4FM137481</t>
  </si>
  <si>
    <t>SNB-271-B</t>
  </si>
  <si>
    <t>Cte. Jesus Manuel Saldaña
Contacto Missael 8131759006</t>
  </si>
  <si>
    <t>JM3ER293190232390</t>
  </si>
  <si>
    <t>STM-11-80</t>
  </si>
  <si>
    <t xml:space="preserve">Cte. Luis Carlos  </t>
  </si>
  <si>
    <t xml:space="preserve">Cte. Laura Alicia Tello Cruz  
Tel. 8129096866 </t>
  </si>
  <si>
    <t>1GNKRLKDXDJ181227</t>
  </si>
  <si>
    <t>STG-529-A</t>
  </si>
  <si>
    <t>Cte. Jaime Alvarado Estrada</t>
  </si>
  <si>
    <t>Cte. Martha Aracely</t>
  </si>
  <si>
    <t>Cte. Denisse Sixtos</t>
  </si>
  <si>
    <t>Cte. Luis Gerardo Mexquitic
Tel. 8128756174</t>
  </si>
  <si>
    <t>LSGHD52H8JD191009</t>
  </si>
  <si>
    <t>TBV-331-B</t>
  </si>
  <si>
    <t>3VWGW6AJ6EM309402</t>
  </si>
  <si>
    <t>SEM-211-B</t>
  </si>
  <si>
    <t xml:space="preserve">Cte. Juan Angel Martinez Lara
Tel. 8123308805 </t>
  </si>
  <si>
    <t>VSSMK46J3DR000223</t>
  </si>
  <si>
    <t>RTX-246-B</t>
  </si>
  <si>
    <t>Antes de medio día</t>
  </si>
  <si>
    <t>3G1J85DC2DS535675</t>
  </si>
  <si>
    <t>RSV-949-B</t>
  </si>
  <si>
    <t xml:space="preserve">Cte. Carlos Corona Martinez
Tel. 8186837330 </t>
  </si>
  <si>
    <t>1C4NJDBB7CD562421</t>
  </si>
  <si>
    <t>SSU-563-A</t>
  </si>
  <si>
    <t>Cte. Maria Faz Tel. 8127007667</t>
  </si>
  <si>
    <t>1C4NJCEB5ED890218</t>
  </si>
  <si>
    <t>TEV-590-A</t>
  </si>
  <si>
    <t>Cte. Bertha Alicia Valdez Arredondo
Tel. 8119600169</t>
  </si>
  <si>
    <t>1C4NJCAB6ED741547</t>
  </si>
  <si>
    <t>SGG-957-B</t>
  </si>
  <si>
    <t>Cte. Erasmo</t>
  </si>
  <si>
    <t>1J4RS4GG5BC603131</t>
  </si>
  <si>
    <t>TDN-169-B</t>
  </si>
  <si>
    <t>Cte. Reyna 
Contacto Erick 8180126113</t>
  </si>
  <si>
    <t>Cte. Gilberto Romero Tel. 8134191953</t>
  </si>
  <si>
    <t xml:space="preserve">Cte. Felipe Ortiz Mendoza 
Tel. 8123509672 </t>
  </si>
  <si>
    <t>3FA6P0H73FR166356</t>
  </si>
  <si>
    <t>TFB-536-B</t>
  </si>
  <si>
    <t>1VWCS7A33FC057743</t>
  </si>
  <si>
    <t>TEW-906-B</t>
  </si>
  <si>
    <t>Cte. Ivan Santiago Ruiz Padilla
Tel. 8251005118</t>
  </si>
  <si>
    <t>4T1BF3EK0AU573005</t>
  </si>
  <si>
    <t>SXG-984-B</t>
  </si>
  <si>
    <t xml:space="preserve">Cte. Adrian Emmanuel
Contacto Zulema  8110224072 </t>
  </si>
  <si>
    <t>VSSDN26J3FR078421</t>
  </si>
  <si>
    <t>RSW-78-B</t>
  </si>
  <si>
    <t>Cte. Jose Antonio Reyes Tel. 8123886850</t>
  </si>
  <si>
    <t xml:space="preserve">Cte. Jaime ALberto Nabor 8123886850 </t>
  </si>
  <si>
    <t>11:00:00a.m.</t>
  </si>
  <si>
    <t>Cte. Horacio  Tel. 8123886850</t>
  </si>
  <si>
    <t>Cte. Johana Judith Tel. 8123886850</t>
  </si>
  <si>
    <t xml:space="preserve">Cte. Paul / 8123886850 </t>
  </si>
  <si>
    <t>Avisar antes de ir</t>
  </si>
  <si>
    <t>Cte. Juan Carlos Aguilar 8126613832</t>
  </si>
  <si>
    <t>Cte. Sanjuana Acevedo
Contacto 8116842776</t>
  </si>
  <si>
    <t>19XFA168XAE903114</t>
  </si>
  <si>
    <t>TBE-151-B</t>
  </si>
  <si>
    <t>Cte. Luis Carlos Quiroz
Contacto Tel. 8123886850</t>
  </si>
  <si>
    <t>3FEKF36LX9MA17173</t>
  </si>
  <si>
    <t>RM-4244-A</t>
  </si>
  <si>
    <t>Cte. Maria Elena Elizondo Ordonez 8111819636</t>
  </si>
  <si>
    <t>SST-88-57</t>
  </si>
  <si>
    <t>WAUCFB8T1BA085916</t>
  </si>
  <si>
    <t>Srta. Aurora Banda / Zulema 
Cte. Rosa Nelly</t>
  </si>
  <si>
    <t>KL1MJ6A07CC127614</t>
  </si>
  <si>
    <t>TDG-959-B</t>
  </si>
  <si>
    <t>Cte. Patricia
Contacto Tel. 8136191211</t>
  </si>
  <si>
    <t>Cte. Valentin Tel. 8127007667</t>
  </si>
  <si>
    <t>1G1JE5SBXF4102238</t>
  </si>
  <si>
    <t>LRB-9394</t>
  </si>
  <si>
    <t>Cte. Cte. Maria Belem Arce
Contacto Tel. 8129108425</t>
  </si>
  <si>
    <t>ACTIVO
22-ABR-2026</t>
  </si>
  <si>
    <t>Particular
(Metroplex II, Apodaca)</t>
  </si>
  <si>
    <t>Cte. Enrique Soto
Contacto 8131257625</t>
  </si>
  <si>
    <t>Carlos Gonzalez</t>
  </si>
  <si>
    <t>732 FORD FOCUS 2016 GRIS</t>
  </si>
  <si>
    <t>787 CHEVROLET SONIC 2015 BLANCO</t>
  </si>
  <si>
    <t>936 KIA OPTIMA 2018 CAF</t>
  </si>
  <si>
    <t>5XXGT4L34JG180232</t>
  </si>
  <si>
    <t>ACTIVO
23-ABR-2026</t>
  </si>
  <si>
    <t xml:space="preserve">937 FORD EXPLORER 2015 NEGRA </t>
  </si>
  <si>
    <t>TGF-070-B</t>
  </si>
  <si>
    <t>1FM5K7F82FGB74704</t>
  </si>
  <si>
    <t>ACTIVO
24-ABR-2026</t>
  </si>
  <si>
    <t>Cte. Jose Enrique Castro
Contacto 8136191211</t>
  </si>
  <si>
    <t>938 FORD MUSTANG 2018 GRIS #3359</t>
  </si>
  <si>
    <t>FA6P8TH2J5163359</t>
  </si>
  <si>
    <t>ACTIVO
28-ABR-2026</t>
  </si>
  <si>
    <t>Cte. Juan Margarita 
Contacto 8115843926</t>
  </si>
  <si>
    <t>939 HYUNDAI ELANTRA 2017</t>
  </si>
  <si>
    <t>ACTIVO
30-ABR-2026</t>
  </si>
  <si>
    <t>Particular
(Mederos, Monterrey)</t>
  </si>
  <si>
    <t>Cte. Nelly 
Contacto 8123738064</t>
  </si>
  <si>
    <t>940 RENAULT KOLEOS 2020 PLATA</t>
  </si>
  <si>
    <t>ACTIVO
04-MAY-2026</t>
  </si>
  <si>
    <t>Cte. Cinthia 
Contacto 8116557919</t>
  </si>
  <si>
    <t>941 KIA OPTIMA 2017 BLANCO</t>
  </si>
  <si>
    <t>ACTIVO
08-MAY-2026</t>
  </si>
  <si>
    <t>Cte. Aldo de Jesus 
Contacto 8136191211</t>
  </si>
  <si>
    <t>942 KIA OPTIMA 2018 NERO</t>
  </si>
  <si>
    <t>ACTIVO
11-MAY-2026</t>
  </si>
  <si>
    <t>Cte. Manuel Israel 
Contacto 8110405420</t>
  </si>
  <si>
    <t>Cte. Julissa
Contacto 8110405420</t>
  </si>
  <si>
    <t>943 HYUNDAI SONATA BLANCO 2017</t>
  </si>
  <si>
    <t>KIA OPTIMA NEGRO 2018</t>
  </si>
  <si>
    <t xml:space="preserve">LA UNIDAD NO ESTABA EN EL LUGAR </t>
  </si>
  <si>
    <t>ACTIVO
18-MAY-206</t>
  </si>
  <si>
    <t>Cte. Nancy Elizabeth
Contacto 8136191211</t>
  </si>
  <si>
    <t>944 HYUNDAI SONATA 2017 PLATA</t>
  </si>
  <si>
    <t>BAJA
525</t>
  </si>
  <si>
    <t>BAJA
19-MAY-2026</t>
  </si>
  <si>
    <t>BAJA
19-MAYO-2026</t>
  </si>
  <si>
    <t>BAJA
642</t>
  </si>
  <si>
    <t>BAJA
713</t>
  </si>
  <si>
    <t>BAJA
768</t>
  </si>
  <si>
    <t>768 HYUNDAI ELANTRA 2017 GRIS</t>
  </si>
  <si>
    <t>BAJA
783</t>
  </si>
  <si>
    <t>Cte. Oscar Guillermo Pineda</t>
  </si>
  <si>
    <t>Cte. Pedro Diaz Escobedo 8131328238</t>
  </si>
  <si>
    <t>RSU-357-B</t>
  </si>
  <si>
    <t>VSSMK469DR137456</t>
  </si>
  <si>
    <t>Cte. Julio Alonso
Contacto 8123886850</t>
  </si>
  <si>
    <t>4:30:00 p.m.</t>
  </si>
  <si>
    <t>Cte. Alexis Missael 
Contacto. 8136191211</t>
  </si>
  <si>
    <t>BAJA
480</t>
  </si>
  <si>
    <t>BAJA
608</t>
  </si>
  <si>
    <t>BAJA
691</t>
  </si>
  <si>
    <t>BAJA
776</t>
  </si>
  <si>
    <t>BAJA
804</t>
  </si>
  <si>
    <t>BAJA
831</t>
  </si>
  <si>
    <t>BAJA
832</t>
  </si>
  <si>
    <t>BAJA
833</t>
  </si>
  <si>
    <t>BAJA
876</t>
  </si>
  <si>
    <t>BAJA
885</t>
  </si>
  <si>
    <t>BAJA
22-MAY-2026</t>
  </si>
  <si>
    <t>BAJA
22-MAYO-2026</t>
  </si>
  <si>
    <t>Cte. Abdon Ayamill Carmona Mena</t>
  </si>
  <si>
    <t>LSGHD52H0LD017244</t>
  </si>
  <si>
    <t>SDD-566-A</t>
  </si>
  <si>
    <t>1B3CB3HA2BD168340</t>
  </si>
  <si>
    <t>RVG-271-B</t>
  </si>
  <si>
    <t>9:00:00 a.m.</t>
  </si>
  <si>
    <t>Cte. 
Contacto Tel. 8180501161</t>
  </si>
  <si>
    <t>2GKALMEK7G6311864</t>
  </si>
  <si>
    <t>XHK-890-C</t>
  </si>
  <si>
    <t>Cte. Gpe. Ricardo Almaguer
Contacto Tel. 8115843926</t>
  </si>
  <si>
    <t>Cte. Hector
Contacto 8115901185</t>
  </si>
  <si>
    <t>ACTIVO
22-MAY-2026</t>
  </si>
  <si>
    <t>PLAZA LORETO
P.º de las Américas 230, Valle del Contry 2o Sector, 67174 Monterrey, N.L.</t>
  </si>
  <si>
    <t>Cte. Martin Gpe
Contacto 8136191211</t>
  </si>
  <si>
    <t>Cliente Yaressi
Contacto Yaressi 8124295153</t>
  </si>
  <si>
    <t xml:space="preserve">945 DODGE CARAVAN 2017 NEGRA </t>
  </si>
  <si>
    <t>2C4RDGCG3HR596073</t>
  </si>
  <si>
    <t>946 JEEP WRANGLER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</si>
</sst>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80A]dddd\ d&quot; de &quot;mmmm&quot; de &quot;yyyy;@"/>
    <numFmt numFmtId="165" formatCode="[$-F800]dddd\,\ mmmm\ dd\,\ yyyy"/>
    <numFmt numFmtId="166" formatCode="[$-F400]h:mm:ss\ AM/PM"/>
  </numFmts>
  <fonts count="27" x14ac:knownFonts="1">
    <font>
      <sz val="11"/>
      <color theme="1"/>
      <name val="Calibri"/>
      <family val="2"/>
      <scheme val="minor"/>
    </font>
    <font>
      <sz val="11"/>
      <color theme="1"/>
      <name val="Calibri"/>
      <family val="2"/>
      <scheme val="minor"/>
    </font>
    <font>
      <sz val="13"/>
      <color theme="1"/>
      <name val="Calibri"/>
      <family val="2"/>
      <scheme val="minor"/>
    </font>
    <font>
      <b/>
      <sz val="13"/>
      <color theme="1"/>
      <name val="Calibri"/>
      <family val="2"/>
      <scheme val="minor"/>
    </font>
    <font>
      <b/>
      <sz val="20"/>
      <color theme="1"/>
      <name val="Calibri"/>
      <family val="2"/>
      <scheme val="minor"/>
    </font>
    <font>
      <b/>
      <sz val="9"/>
      <color indexed="81"/>
      <name val="Tahoma"/>
      <family val="2"/>
    </font>
    <font>
      <sz val="9"/>
      <color indexed="81"/>
      <name val="Tahoma"/>
      <family val="2"/>
    </font>
    <font>
      <sz val="10"/>
      <color indexed="81"/>
      <name val="Tahoma"/>
      <family val="2"/>
    </font>
    <font>
      <sz val="11"/>
      <color indexed="81"/>
      <name val="Tahoma"/>
      <family val="2"/>
    </font>
    <font>
      <b/>
      <sz val="11"/>
      <color indexed="81"/>
      <name val="Tahoma"/>
      <family val="2"/>
    </font>
    <font>
      <b/>
      <sz val="14"/>
      <color theme="1"/>
      <name val="Calibri"/>
      <family val="2"/>
      <scheme val="minor"/>
    </font>
    <font>
      <sz val="14"/>
      <color theme="1"/>
      <name val="Calibri"/>
      <family val="2"/>
      <scheme val="minor"/>
    </font>
    <font>
      <sz val="12"/>
      <color indexed="81"/>
      <name val="Tahoma"/>
      <family val="2"/>
    </font>
    <font>
      <sz val="6"/>
      <color rgb="FF999999"/>
      <name val="Arial"/>
      <family val="2"/>
    </font>
    <font>
      <b/>
      <sz val="10"/>
      <color indexed="81"/>
      <name val="Tahoma"/>
      <family val="2"/>
    </font>
    <font>
      <b/>
      <sz val="11"/>
      <color rgb="FFFF0000"/>
      <name val="Calibri"/>
      <family val="2"/>
      <scheme val="minor"/>
    </font>
    <font>
      <b/>
      <sz val="11"/>
      <name val="Calibri"/>
      <family val="2"/>
      <scheme val="minor"/>
    </font>
    <font>
      <b/>
      <sz val="11"/>
      <color theme="1"/>
      <name val="Calibri"/>
      <family val="2"/>
      <scheme val="minor"/>
    </font>
    <font>
      <sz val="11"/>
      <name val="Calibri"/>
      <family val="2"/>
      <scheme val="minor"/>
    </font>
    <font>
      <sz val="11"/>
      <name val="Arial"/>
      <family val="2"/>
    </font>
    <font>
      <sz val="11"/>
      <color rgb="FF000000"/>
      <name val="Calibri"/>
      <family val="2"/>
      <scheme val="minor"/>
    </font>
    <font>
      <sz val="10"/>
      <color theme="1"/>
      <name val="Calibri"/>
      <family val="2"/>
      <scheme val="minor"/>
    </font>
    <font>
      <sz val="9"/>
      <color theme="1"/>
      <name val="Calibri"/>
      <family val="2"/>
      <scheme val="minor"/>
    </font>
    <font>
      <sz val="8"/>
      <color indexed="81"/>
      <name val="Tahoma"/>
      <family val="2"/>
    </font>
    <font>
      <sz val="11"/>
      <color rgb="FF202020"/>
      <name val="Calibri"/>
      <family val="2"/>
      <scheme val="minor"/>
    </font>
    <font>
      <b/>
      <sz val="11"/>
      <name val="Calibri"/>
      <family val="2"/>
    </font>
    <font>
      <b/>
      <sz val="10"/>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s>
  <borders count="26">
    <border>
      <left/>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right/>
      <top style="thin">
        <color indexed="64"/>
      </top>
      <bottom/>
      <diagonal/>
    </border>
    <border>
      <left style="thin">
        <color indexed="64"/>
      </left>
      <right style="thin">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150">
    <xf numFmtId="0" fontId="0" fillId="0" borderId="0" xfId="0"/>
    <xf numFmtId="0" fontId="2" fillId="0" borderId="0" xfId="0" applyFont="1" applyAlignment="1">
      <alignment horizontal="center" vertical="center" wrapText="1"/>
    </xf>
    <xf numFmtId="0" fontId="10" fillId="0" borderId="0" xfId="0" applyFont="1" applyAlignment="1">
      <alignment horizontal="left" vertical="center"/>
    </xf>
    <xf numFmtId="44" fontId="10" fillId="0" borderId="0" xfId="1" applyFont="1" applyAlignment="1">
      <alignment horizontal="left" vertical="center"/>
    </xf>
    <xf numFmtId="0" fontId="11" fillId="0" borderId="0" xfId="0" applyFont="1" applyAlignment="1">
      <alignment horizontal="left" vertical="center"/>
    </xf>
    <xf numFmtId="44" fontId="11" fillId="0" borderId="0" xfId="1" applyFont="1" applyAlignment="1">
      <alignment horizontal="left" vertical="center"/>
    </xf>
    <xf numFmtId="0" fontId="11" fillId="0" borderId="0" xfId="0" applyFont="1" applyAlignment="1">
      <alignment horizontal="left" vertical="center" wrapText="1"/>
    </xf>
    <xf numFmtId="0" fontId="0" fillId="0" borderId="0" xfId="0" applyAlignment="1">
      <alignment horizontal="left" vertical="center"/>
    </xf>
    <xf numFmtId="0" fontId="4" fillId="0" borderId="13" xfId="0" applyFont="1" applyBorder="1" applyAlignment="1">
      <alignment horizontal="center" vertical="center"/>
    </xf>
    <xf numFmtId="0" fontId="3" fillId="0" borderId="12" xfId="0" applyFont="1" applyBorder="1" applyAlignment="1">
      <alignment horizontal="center" vertical="center"/>
    </xf>
    <xf numFmtId="0" fontId="3" fillId="0" borderId="12" xfId="0" applyFont="1" applyBorder="1" applyAlignment="1">
      <alignment horizontal="center" vertical="center" wrapText="1"/>
    </xf>
    <xf numFmtId="0" fontId="3" fillId="0" borderId="11" xfId="0" applyFont="1" applyBorder="1" applyAlignment="1">
      <alignment horizontal="center" vertical="center"/>
    </xf>
    <xf numFmtId="0" fontId="2" fillId="0" borderId="0" xfId="0" applyFont="1" applyAlignment="1">
      <alignment horizontal="center" vertical="center"/>
    </xf>
    <xf numFmtId="22" fontId="13" fillId="0" borderId="0" xfId="0" applyNumberFormat="1" applyFont="1" applyAlignment="1">
      <alignment horizontal="center" vertical="center"/>
    </xf>
    <xf numFmtId="0" fontId="0" fillId="0" borderId="3" xfId="0" applyBorder="1" applyAlignment="1">
      <alignment horizontal="center" vertical="center" wrapText="1"/>
    </xf>
    <xf numFmtId="0" fontId="0" fillId="0" borderId="0" xfId="0" applyAlignment="1">
      <alignment horizontal="center" vertical="center" wrapText="1"/>
    </xf>
    <xf numFmtId="1" fontId="0" fillId="0" borderId="2" xfId="0" applyNumberFormat="1" applyBorder="1" applyAlignment="1">
      <alignment horizontal="center" vertical="center" wrapText="1"/>
    </xf>
    <xf numFmtId="0" fontId="0" fillId="0" borderId="2" xfId="0" applyBorder="1" applyAlignment="1">
      <alignment horizontal="center" vertical="center" wrapText="1"/>
    </xf>
    <xf numFmtId="44" fontId="0" fillId="0" borderId="2" xfId="1" applyFont="1" applyBorder="1" applyAlignment="1">
      <alignment horizontal="center" vertical="center" wrapText="1"/>
    </xf>
    <xf numFmtId="44" fontId="0" fillId="0" borderId="2" xfId="1" applyFont="1" applyFill="1" applyBorder="1" applyAlignment="1">
      <alignment horizontal="center" vertical="center" wrapText="1"/>
    </xf>
    <xf numFmtId="164" fontId="0" fillId="0" borderId="17" xfId="0" applyNumberFormat="1" applyBorder="1" applyAlignment="1">
      <alignment horizontal="center" vertical="center" wrapText="1"/>
    </xf>
    <xf numFmtId="0" fontId="0" fillId="0" borderId="18" xfId="0" applyBorder="1" applyAlignment="1">
      <alignment horizontal="center" vertical="center" wrapText="1"/>
    </xf>
    <xf numFmtId="1" fontId="0" fillId="0" borderId="18" xfId="0" applyNumberFormat="1" applyBorder="1" applyAlignment="1">
      <alignment horizontal="center" vertical="center" wrapText="1"/>
    </xf>
    <xf numFmtId="44" fontId="0" fillId="0" borderId="18" xfId="1" applyFont="1" applyBorder="1" applyAlignment="1">
      <alignment horizontal="center" vertical="center" wrapText="1"/>
    </xf>
    <xf numFmtId="44" fontId="0" fillId="0" borderId="18" xfId="1" applyFont="1" applyFill="1" applyBorder="1" applyAlignment="1">
      <alignment horizontal="center" vertical="center" wrapText="1"/>
    </xf>
    <xf numFmtId="15" fontId="0" fillId="0" borderId="18" xfId="0" applyNumberFormat="1" applyBorder="1" applyAlignment="1">
      <alignment horizontal="center" vertical="center" wrapText="1"/>
    </xf>
    <xf numFmtId="15" fontId="0" fillId="0" borderId="19" xfId="0" applyNumberFormat="1" applyBorder="1" applyAlignment="1">
      <alignment horizontal="center" vertical="center" wrapText="1"/>
    </xf>
    <xf numFmtId="164" fontId="0" fillId="0" borderId="14" xfId="0" applyNumberFormat="1" applyBorder="1" applyAlignment="1">
      <alignment horizontal="center" vertical="center" wrapText="1"/>
    </xf>
    <xf numFmtId="0" fontId="0" fillId="0" borderId="15" xfId="0" applyBorder="1" applyAlignment="1">
      <alignment horizontal="center" vertical="center" wrapText="1"/>
    </xf>
    <xf numFmtId="1" fontId="0" fillId="0" borderId="15" xfId="0" applyNumberFormat="1" applyBorder="1" applyAlignment="1">
      <alignment horizontal="center" vertical="center" wrapText="1"/>
    </xf>
    <xf numFmtId="44" fontId="0" fillId="0" borderId="15" xfId="1" applyFont="1" applyBorder="1" applyAlignment="1">
      <alignment horizontal="center" vertical="center" wrapText="1"/>
    </xf>
    <xf numFmtId="44" fontId="0" fillId="0" borderId="15" xfId="1" applyFont="1" applyFill="1" applyBorder="1" applyAlignment="1">
      <alignment horizontal="center" vertical="center" wrapText="1"/>
    </xf>
    <xf numFmtId="16" fontId="0" fillId="0" borderId="15" xfId="0" applyNumberFormat="1" applyBorder="1" applyAlignment="1">
      <alignment horizontal="center" vertical="center" wrapText="1"/>
    </xf>
    <xf numFmtId="16" fontId="0" fillId="0" borderId="16" xfId="0" applyNumberFormat="1" applyBorder="1" applyAlignment="1">
      <alignment horizontal="center" vertical="center" wrapText="1"/>
    </xf>
    <xf numFmtId="0" fontId="0" fillId="0" borderId="0" xfId="0" applyAlignment="1">
      <alignment horizontal="center" vertical="center"/>
    </xf>
    <xf numFmtId="164" fontId="0" fillId="0" borderId="9" xfId="0" applyNumberFormat="1" applyBorder="1" applyAlignment="1">
      <alignment horizontal="center" vertical="center" wrapText="1"/>
    </xf>
    <xf numFmtId="0" fontId="17" fillId="2" borderId="2" xfId="0" applyFont="1" applyFill="1" applyBorder="1" applyAlignment="1">
      <alignment horizontal="center" vertical="center" wrapText="1"/>
    </xf>
    <xf numFmtId="1" fontId="18" fillId="0" borderId="3" xfId="0" applyNumberFormat="1" applyFont="1" applyBorder="1" applyAlignment="1">
      <alignment horizontal="center" vertical="center" wrapText="1"/>
    </xf>
    <xf numFmtId="1" fontId="0" fillId="0" borderId="3" xfId="0" applyNumberFormat="1" applyBorder="1" applyAlignment="1">
      <alignment horizontal="center" vertical="center" wrapText="1"/>
    </xf>
    <xf numFmtId="0" fontId="17" fillId="2" borderId="3" xfId="0" applyFont="1" applyFill="1" applyBorder="1" applyAlignment="1">
      <alignment horizontal="center" vertical="center" wrapText="1"/>
    </xf>
    <xf numFmtId="44" fontId="0" fillId="0" borderId="3" xfId="1" applyFont="1" applyBorder="1" applyAlignment="1">
      <alignment horizontal="center" vertical="center" wrapText="1"/>
    </xf>
    <xf numFmtId="44" fontId="0" fillId="0" borderId="3" xfId="1" applyFont="1" applyFill="1" applyBorder="1" applyAlignment="1">
      <alignment horizontal="center" vertical="center" wrapText="1"/>
    </xf>
    <xf numFmtId="16" fontId="0" fillId="0" borderId="3" xfId="0" applyNumberFormat="1" applyBorder="1" applyAlignment="1">
      <alignment horizontal="center" vertical="center" wrapText="1"/>
    </xf>
    <xf numFmtId="16" fontId="0" fillId="0" borderId="10" xfId="0" applyNumberFormat="1" applyBorder="1" applyAlignment="1">
      <alignment horizontal="center" vertical="center" wrapText="1"/>
    </xf>
    <xf numFmtId="22" fontId="0" fillId="0" borderId="0" xfId="0" applyNumberFormat="1" applyAlignment="1">
      <alignment horizontal="center" vertical="center" wrapText="1"/>
    </xf>
    <xf numFmtId="0" fontId="0" fillId="0" borderId="10" xfId="0" applyBorder="1" applyAlignment="1">
      <alignment horizontal="center" vertical="center" wrapText="1"/>
    </xf>
    <xf numFmtId="0" fontId="0" fillId="2" borderId="3" xfId="0" applyFill="1" applyBorder="1" applyAlignment="1">
      <alignment horizontal="center" vertical="center" wrapText="1"/>
    </xf>
    <xf numFmtId="15" fontId="0" fillId="0" borderId="3" xfId="0" applyNumberFormat="1" applyBorder="1" applyAlignment="1">
      <alignment horizontal="center" vertical="center" wrapText="1"/>
    </xf>
    <xf numFmtId="22" fontId="19" fillId="0" borderId="0" xfId="0" applyNumberFormat="1" applyFont="1" applyAlignment="1">
      <alignment horizontal="center" vertical="center"/>
    </xf>
    <xf numFmtId="44" fontId="0" fillId="2" borderId="3" xfId="1" applyFont="1" applyFill="1" applyBorder="1" applyAlignment="1">
      <alignment horizontal="center" vertical="center" wrapText="1"/>
    </xf>
    <xf numFmtId="1" fontId="0" fillId="0" borderId="0" xfId="0" applyNumberFormat="1" applyAlignment="1">
      <alignment horizontal="center" vertical="center" wrapText="1"/>
    </xf>
    <xf numFmtId="165" fontId="0" fillId="0" borderId="9" xfId="0" applyNumberFormat="1" applyBorder="1" applyAlignment="1">
      <alignment horizontal="center" vertical="center" wrapText="1"/>
    </xf>
    <xf numFmtId="0" fontId="18" fillId="0" borderId="0" xfId="0" applyFont="1" applyAlignment="1">
      <alignment horizontal="center" vertical="center" wrapText="1"/>
    </xf>
    <xf numFmtId="0" fontId="0" fillId="2" borderId="0" xfId="0" applyFill="1" applyAlignment="1">
      <alignment horizontal="center" vertical="center" wrapText="1"/>
    </xf>
    <xf numFmtId="0" fontId="16" fillId="2" borderId="3" xfId="0" applyFont="1" applyFill="1" applyBorder="1" applyAlignment="1">
      <alignment horizontal="center" vertical="center" wrapText="1"/>
    </xf>
    <xf numFmtId="0" fontId="0" fillId="0" borderId="3" xfId="0" applyBorder="1" applyAlignment="1">
      <alignment horizontal="center" vertical="center"/>
    </xf>
    <xf numFmtId="1" fontId="0" fillId="0" borderId="3" xfId="0" applyNumberFormat="1" applyBorder="1" applyAlignment="1">
      <alignment horizontal="center" vertical="center"/>
    </xf>
    <xf numFmtId="15" fontId="0" fillId="2" borderId="3" xfId="0" applyNumberFormat="1" applyFill="1" applyBorder="1" applyAlignment="1">
      <alignment horizontal="center" vertical="center" wrapText="1"/>
    </xf>
    <xf numFmtId="0" fontId="20" fillId="0" borderId="3" xfId="0" applyFont="1" applyBorder="1" applyAlignment="1">
      <alignment horizontal="center" vertical="center" wrapText="1"/>
    </xf>
    <xf numFmtId="16" fontId="0" fillId="2" borderId="3" xfId="0" applyNumberFormat="1" applyFill="1" applyBorder="1" applyAlignment="1">
      <alignment horizontal="center" vertical="center" wrapText="1"/>
    </xf>
    <xf numFmtId="0" fontId="15" fillId="2" borderId="3" xfId="0" applyFont="1" applyFill="1" applyBorder="1" applyAlignment="1">
      <alignment horizontal="center" vertical="center" wrapText="1"/>
    </xf>
    <xf numFmtId="18" fontId="0" fillId="0" borderId="3" xfId="0" applyNumberFormat="1" applyBorder="1" applyAlignment="1">
      <alignment horizontal="center" vertical="center" wrapText="1"/>
    </xf>
    <xf numFmtId="18" fontId="0" fillId="2" borderId="3" xfId="0" applyNumberFormat="1" applyFill="1" applyBorder="1" applyAlignment="1">
      <alignment horizontal="center" vertical="center" wrapText="1"/>
    </xf>
    <xf numFmtId="0" fontId="0" fillId="0" borderId="8" xfId="0" applyBorder="1" applyAlignment="1">
      <alignment horizontal="center" vertical="center" wrapText="1"/>
    </xf>
    <xf numFmtId="164" fontId="0" fillId="0" borderId="4" xfId="0" applyNumberFormat="1" applyBorder="1" applyAlignment="1">
      <alignment horizontal="center" vertical="center" wrapText="1"/>
    </xf>
    <xf numFmtId="1" fontId="18" fillId="0" borderId="2" xfId="0" applyNumberFormat="1" applyFont="1" applyBorder="1" applyAlignment="1">
      <alignment horizontal="center" vertical="center" wrapText="1"/>
    </xf>
    <xf numFmtId="0" fontId="0" fillId="0" borderId="1" xfId="0" applyBorder="1" applyAlignment="1">
      <alignment horizontal="center" vertical="center" wrapText="1"/>
    </xf>
    <xf numFmtId="0" fontId="0" fillId="2" borderId="2" xfId="0" applyFill="1" applyBorder="1" applyAlignment="1">
      <alignment horizontal="center" vertical="center" wrapText="1"/>
    </xf>
    <xf numFmtId="0" fontId="17" fillId="2" borderId="22" xfId="0" applyFont="1" applyFill="1" applyBorder="1" applyAlignment="1">
      <alignment horizontal="center" vertical="center" wrapText="1"/>
    </xf>
    <xf numFmtId="0" fontId="0" fillId="0" borderId="22" xfId="0" applyBorder="1" applyAlignment="1">
      <alignment horizontal="center" vertical="center" wrapText="1"/>
    </xf>
    <xf numFmtId="0" fontId="0" fillId="0" borderId="20" xfId="0" applyBorder="1" applyAlignment="1">
      <alignment horizontal="center" vertical="center" wrapText="1"/>
    </xf>
    <xf numFmtId="0" fontId="17" fillId="3" borderId="2" xfId="0" applyFont="1" applyFill="1" applyBorder="1" applyAlignment="1">
      <alignment horizontal="center" vertical="center" wrapText="1"/>
    </xf>
    <xf numFmtId="0" fontId="17" fillId="3" borderId="3" xfId="0" applyFont="1" applyFill="1" applyBorder="1" applyAlignment="1">
      <alignment horizontal="center" vertical="center" wrapText="1"/>
    </xf>
    <xf numFmtId="0" fontId="17" fillId="2" borderId="3" xfId="0" applyFont="1" applyFill="1" applyBorder="1" applyAlignment="1">
      <alignment horizontal="center" vertical="center"/>
    </xf>
    <xf numFmtId="0" fontId="17" fillId="0" borderId="3" xfId="0" applyFont="1" applyBorder="1" applyAlignment="1">
      <alignment horizontal="center" vertical="center" wrapText="1"/>
    </xf>
    <xf numFmtId="0" fontId="17" fillId="3" borderId="3" xfId="0" applyFont="1" applyFill="1" applyBorder="1" applyAlignment="1">
      <alignment horizontal="center" vertical="center"/>
    </xf>
    <xf numFmtId="0" fontId="16" fillId="2" borderId="2" xfId="0" applyFont="1" applyFill="1" applyBorder="1" applyAlignment="1">
      <alignment horizontal="center" vertical="center" wrapText="1"/>
    </xf>
    <xf numFmtId="20" fontId="0" fillId="0" borderId="2" xfId="0" applyNumberFormat="1" applyBorder="1" applyAlignment="1">
      <alignment horizontal="center" vertical="center" wrapText="1"/>
    </xf>
    <xf numFmtId="0" fontId="0" fillId="0" borderId="7" xfId="0" applyBorder="1" applyAlignment="1">
      <alignment horizontal="center" vertical="center"/>
    </xf>
    <xf numFmtId="0" fontId="0" fillId="0" borderId="6" xfId="0" applyBorder="1" applyAlignment="1">
      <alignment horizontal="center" vertical="center"/>
    </xf>
    <xf numFmtId="0" fontId="0" fillId="0" borderId="6" xfId="0" applyBorder="1" applyAlignment="1">
      <alignment horizontal="center" vertical="center" wrapText="1"/>
    </xf>
    <xf numFmtId="16" fontId="0" fillId="0" borderId="6" xfId="0" applyNumberFormat="1" applyBorder="1" applyAlignment="1">
      <alignment horizontal="center" vertical="center" wrapText="1"/>
    </xf>
    <xf numFmtId="16" fontId="0" fillId="0" borderId="5" xfId="0" applyNumberFormat="1" applyBorder="1" applyAlignment="1">
      <alignment horizontal="center" vertical="center" wrapText="1"/>
    </xf>
    <xf numFmtId="16" fontId="0" fillId="0" borderId="2" xfId="0" applyNumberFormat="1" applyBorder="1" applyAlignment="1">
      <alignment horizontal="center" vertical="center" wrapText="1"/>
    </xf>
    <xf numFmtId="16" fontId="0" fillId="0" borderId="1" xfId="0" applyNumberFormat="1" applyBorder="1" applyAlignment="1">
      <alignment horizontal="center" vertical="center" wrapText="1"/>
    </xf>
    <xf numFmtId="0" fontId="17" fillId="0" borderId="2" xfId="0" applyFont="1" applyBorder="1" applyAlignment="1">
      <alignment horizontal="center" vertical="center" wrapText="1"/>
    </xf>
    <xf numFmtId="0" fontId="3" fillId="0" borderId="0" xfId="0" applyFont="1" applyAlignment="1">
      <alignment horizontal="center" vertical="center"/>
    </xf>
    <xf numFmtId="1" fontId="17" fillId="0" borderId="2" xfId="0" applyNumberFormat="1" applyFont="1" applyBorder="1" applyAlignment="1">
      <alignment horizontal="center" vertical="center" wrapText="1"/>
    </xf>
    <xf numFmtId="1" fontId="17" fillId="0" borderId="18" xfId="0" applyNumberFormat="1" applyFont="1" applyBorder="1" applyAlignment="1">
      <alignment horizontal="center" vertical="center" wrapText="1"/>
    </xf>
    <xf numFmtId="1" fontId="17" fillId="2" borderId="3" xfId="0" applyNumberFormat="1" applyFont="1" applyFill="1" applyBorder="1" applyAlignment="1">
      <alignment horizontal="center" vertical="center" wrapText="1"/>
    </xf>
    <xf numFmtId="0" fontId="16" fillId="0" borderId="3" xfId="0" applyFont="1" applyBorder="1" applyAlignment="1">
      <alignment horizontal="center" vertical="center" wrapText="1"/>
    </xf>
    <xf numFmtId="0" fontId="17" fillId="0" borderId="3" xfId="0" applyFont="1" applyBorder="1" applyAlignment="1">
      <alignment horizontal="center" vertical="center"/>
    </xf>
    <xf numFmtId="0" fontId="17" fillId="0" borderId="6" xfId="0" applyFont="1" applyBorder="1" applyAlignment="1">
      <alignment horizontal="center" vertical="center"/>
    </xf>
    <xf numFmtId="0" fontId="17" fillId="0" borderId="0" xfId="0" applyFont="1" applyAlignment="1">
      <alignment horizontal="center" vertical="center"/>
    </xf>
    <xf numFmtId="0" fontId="21" fillId="0" borderId="3" xfId="0" applyFont="1" applyBorder="1" applyAlignment="1">
      <alignment horizontal="center" vertical="center" wrapText="1"/>
    </xf>
    <xf numFmtId="0" fontId="21" fillId="0" borderId="2" xfId="0" applyFont="1" applyBorder="1" applyAlignment="1">
      <alignment horizontal="center" vertical="center" wrapText="1"/>
    </xf>
    <xf numFmtId="164" fontId="0" fillId="0" borderId="3" xfId="0" applyNumberFormat="1" applyBorder="1" applyAlignment="1">
      <alignment horizontal="center" vertical="center" wrapText="1"/>
    </xf>
    <xf numFmtId="0" fontId="16" fillId="3" borderId="2" xfId="0" applyFont="1" applyFill="1" applyBorder="1" applyAlignment="1">
      <alignment horizontal="center" vertical="center" wrapText="1"/>
    </xf>
    <xf numFmtId="0" fontId="0" fillId="3" borderId="2" xfId="0" applyFill="1" applyBorder="1" applyAlignment="1">
      <alignment horizontal="center" vertical="center" wrapText="1"/>
    </xf>
    <xf numFmtId="0" fontId="22" fillId="0" borderId="2" xfId="0" applyFont="1" applyBorder="1" applyAlignment="1">
      <alignment horizontal="center" vertical="center" wrapText="1"/>
    </xf>
    <xf numFmtId="0" fontId="21" fillId="0" borderId="0" xfId="0" applyFont="1" applyAlignment="1">
      <alignment horizontal="center" vertical="center" wrapText="1"/>
    </xf>
    <xf numFmtId="0" fontId="17" fillId="4" borderId="2" xfId="0" applyFont="1" applyFill="1" applyBorder="1" applyAlignment="1">
      <alignment horizontal="center" vertical="center" wrapText="1"/>
    </xf>
    <xf numFmtId="0" fontId="17" fillId="0" borderId="15" xfId="0" applyFont="1" applyBorder="1" applyAlignment="1">
      <alignment horizontal="center" vertical="center" wrapText="1"/>
    </xf>
    <xf numFmtId="0" fontId="17" fillId="0" borderId="21" xfId="0" applyFont="1" applyBorder="1" applyAlignment="1">
      <alignment horizontal="center" vertical="center" wrapText="1"/>
    </xf>
    <xf numFmtId="0" fontId="17" fillId="0" borderId="0" xfId="0" applyFont="1" applyAlignment="1">
      <alignment horizontal="center" vertical="center" wrapText="1"/>
    </xf>
    <xf numFmtId="164" fontId="17" fillId="0" borderId="4" xfId="0" applyNumberFormat="1" applyFont="1" applyBorder="1" applyAlignment="1">
      <alignment horizontal="center" vertical="center" wrapText="1"/>
    </xf>
    <xf numFmtId="44" fontId="17" fillId="0" borderId="2" xfId="1" applyFont="1" applyBorder="1" applyAlignment="1">
      <alignment horizontal="center" vertical="center" wrapText="1"/>
    </xf>
    <xf numFmtId="44" fontId="17" fillId="0" borderId="2" xfId="1" applyFont="1" applyFill="1" applyBorder="1" applyAlignment="1">
      <alignment horizontal="center" vertical="center" wrapText="1"/>
    </xf>
    <xf numFmtId="15" fontId="17" fillId="0" borderId="2" xfId="0" applyNumberFormat="1" applyFont="1" applyBorder="1" applyAlignment="1">
      <alignment horizontal="center" vertical="center" wrapText="1"/>
    </xf>
    <xf numFmtId="15" fontId="17" fillId="0" borderId="1" xfId="0" applyNumberFormat="1" applyFont="1" applyBorder="1" applyAlignment="1">
      <alignment horizontal="center" vertical="center" wrapText="1"/>
    </xf>
    <xf numFmtId="18" fontId="0" fillId="0" borderId="2" xfId="0" applyNumberFormat="1" applyBorder="1" applyAlignment="1">
      <alignment horizontal="center" vertical="center" wrapText="1"/>
    </xf>
    <xf numFmtId="0" fontId="18" fillId="0" borderId="3" xfId="0" applyFont="1" applyBorder="1" applyAlignment="1">
      <alignment horizontal="center" vertical="center"/>
    </xf>
    <xf numFmtId="1" fontId="17" fillId="0" borderId="23" xfId="0" applyNumberFormat="1" applyFont="1" applyBorder="1" applyAlignment="1">
      <alignment horizontal="center" vertical="center" wrapText="1"/>
    </xf>
    <xf numFmtId="44" fontId="0" fillId="4" borderId="3" xfId="1" applyFont="1" applyFill="1" applyBorder="1" applyAlignment="1">
      <alignment horizontal="center" vertical="center" wrapText="1"/>
    </xf>
    <xf numFmtId="44" fontId="18" fillId="4" borderId="3" xfId="1" applyFont="1" applyFill="1" applyBorder="1" applyAlignment="1">
      <alignment horizontal="center" vertical="center" wrapText="1"/>
    </xf>
    <xf numFmtId="44" fontId="0" fillId="4" borderId="2" xfId="1" applyFont="1" applyFill="1" applyBorder="1" applyAlignment="1">
      <alignment horizontal="center" vertical="center" wrapText="1"/>
    </xf>
    <xf numFmtId="0" fontId="20" fillId="0" borderId="3" xfId="0" applyFont="1" applyBorder="1" applyAlignment="1">
      <alignment horizontal="center" vertical="center"/>
    </xf>
    <xf numFmtId="1" fontId="0" fillId="0" borderId="10" xfId="0" applyNumberFormat="1" applyBorder="1" applyAlignment="1">
      <alignment horizontal="center" vertical="center" wrapText="1"/>
    </xf>
    <xf numFmtId="1" fontId="0" fillId="0" borderId="8" xfId="0" applyNumberFormat="1" applyBorder="1" applyAlignment="1">
      <alignment horizontal="center" vertical="center" wrapText="1"/>
    </xf>
    <xf numFmtId="1" fontId="0" fillId="0" borderId="20" xfId="0" applyNumberFormat="1" applyBorder="1" applyAlignment="1">
      <alignment horizontal="center" vertical="center" wrapText="1"/>
    </xf>
    <xf numFmtId="0" fontId="22" fillId="0" borderId="3" xfId="0" applyFont="1" applyBorder="1" applyAlignment="1">
      <alignment horizontal="center" vertical="center" wrapText="1"/>
    </xf>
    <xf numFmtId="0" fontId="20" fillId="0" borderId="3" xfId="0" applyFont="1" applyBorder="1" applyAlignment="1">
      <alignment horizontal="center" vertical="center" wrapText="1" readingOrder="1"/>
    </xf>
    <xf numFmtId="0" fontId="24" fillId="0" borderId="3" xfId="0" applyFont="1" applyBorder="1" applyAlignment="1">
      <alignment horizontal="center" vertical="center" wrapText="1"/>
    </xf>
    <xf numFmtId="22" fontId="0" fillId="0" borderId="3" xfId="0" applyNumberFormat="1" applyBorder="1" applyAlignment="1">
      <alignment horizontal="center" vertical="center" wrapText="1"/>
    </xf>
    <xf numFmtId="0" fontId="25" fillId="0" borderId="3" xfId="0" applyFont="1" applyBorder="1" applyAlignment="1">
      <alignment horizontal="center" vertical="center" wrapText="1"/>
    </xf>
    <xf numFmtId="1" fontId="21" fillId="0" borderId="3" xfId="0" applyNumberFormat="1" applyFont="1" applyBorder="1" applyAlignment="1">
      <alignment horizontal="center" vertical="center"/>
    </xf>
    <xf numFmtId="1" fontId="21" fillId="0" borderId="3" xfId="0" applyNumberFormat="1" applyFont="1" applyBorder="1" applyAlignment="1">
      <alignment horizontal="center" vertical="center" wrapText="1"/>
    </xf>
    <xf numFmtId="0" fontId="17" fillId="0" borderId="12" xfId="0" applyFont="1" applyBorder="1" applyAlignment="1">
      <alignment horizontal="center" vertical="center" wrapText="1"/>
    </xf>
    <xf numFmtId="0" fontId="21" fillId="0" borderId="24" xfId="0" applyFont="1" applyBorder="1" applyAlignment="1">
      <alignment horizontal="center" vertical="center" wrapText="1"/>
    </xf>
    <xf numFmtId="0" fontId="17" fillId="0" borderId="25" xfId="0" applyFont="1" applyBorder="1" applyAlignment="1">
      <alignment horizontal="center" vertical="center"/>
    </xf>
    <xf numFmtId="0" fontId="17" fillId="2" borderId="0" xfId="0" applyFont="1" applyFill="1" applyAlignment="1">
      <alignment horizontal="center" vertical="center"/>
    </xf>
    <xf numFmtId="0" fontId="17" fillId="0" borderId="6" xfId="0" applyFont="1" applyBorder="1" applyAlignment="1">
      <alignment horizontal="center" vertical="center" wrapText="1"/>
    </xf>
    <xf numFmtId="0" fontId="26" fillId="4" borderId="3" xfId="0" applyFont="1" applyFill="1" applyBorder="1" applyAlignment="1">
      <alignment horizontal="center" vertical="center" wrapText="1"/>
    </xf>
    <xf numFmtId="44" fontId="0" fillId="0" borderId="0" xfId="0" applyNumberFormat="1"/>
    <xf numFmtId="0" fontId="25" fillId="0" borderId="3" xfId="0" applyFont="1" applyBorder="1" applyAlignment="1">
      <alignment horizontal="center" vertical="top" wrapText="1"/>
    </xf>
    <xf numFmtId="0" fontId="20" fillId="0" borderId="3" xfId="0" applyFont="1" applyBorder="1" applyAlignment="1">
      <alignment horizontal="center" vertical="center" readingOrder="1"/>
    </xf>
    <xf numFmtId="16" fontId="17" fillId="0" borderId="2" xfId="0" applyNumberFormat="1" applyFont="1" applyBorder="1" applyAlignment="1">
      <alignment horizontal="center" vertical="center" wrapText="1"/>
    </xf>
    <xf numFmtId="1" fontId="0" fillId="2" borderId="2" xfId="0" applyNumberFormat="1" applyFill="1" applyBorder="1" applyAlignment="1">
      <alignment horizontal="center" vertical="center" wrapText="1"/>
    </xf>
    <xf numFmtId="0" fontId="16" fillId="0" borderId="3" xfId="0" applyFont="1" applyBorder="1" applyAlignment="1">
      <alignment horizontal="center" wrapText="1"/>
    </xf>
    <xf numFmtId="166" fontId="2" fillId="0" borderId="0" xfId="0" applyNumberFormat="1" applyFont="1" applyAlignment="1">
      <alignment horizontal="center" vertical="center"/>
    </xf>
    <xf numFmtId="166" fontId="3" fillId="0" borderId="12" xfId="0" applyNumberFormat="1" applyFont="1" applyBorder="1" applyAlignment="1">
      <alignment horizontal="center" vertical="center"/>
    </xf>
    <xf numFmtId="166" fontId="17" fillId="0" borderId="2" xfId="0" applyNumberFormat="1" applyFont="1" applyBorder="1" applyAlignment="1">
      <alignment horizontal="center" vertical="center" wrapText="1"/>
    </xf>
    <xf numFmtId="166" fontId="0" fillId="0" borderId="18" xfId="0" applyNumberFormat="1" applyBorder="1" applyAlignment="1">
      <alignment horizontal="center" vertical="center" wrapText="1"/>
    </xf>
    <xf numFmtId="166" fontId="0" fillId="0" borderId="15" xfId="0" applyNumberFormat="1" applyBorder="1" applyAlignment="1">
      <alignment horizontal="center" vertical="center" wrapText="1"/>
    </xf>
    <xf numFmtId="166" fontId="0" fillId="0" borderId="3" xfId="0" applyNumberFormat="1" applyBorder="1" applyAlignment="1">
      <alignment horizontal="center" vertical="center" wrapText="1"/>
    </xf>
    <xf numFmtId="166" fontId="0" fillId="0" borderId="2" xfId="0" applyNumberFormat="1" applyBorder="1" applyAlignment="1">
      <alignment horizontal="center" vertical="center" wrapText="1"/>
    </xf>
    <xf numFmtId="166" fontId="0" fillId="0" borderId="6" xfId="0" applyNumberFormat="1" applyBorder="1" applyAlignment="1">
      <alignment horizontal="center" vertical="center"/>
    </xf>
    <xf numFmtId="166" fontId="0" fillId="0" borderId="0" xfId="0" applyNumberFormat="1" applyAlignment="1">
      <alignment horizontal="center" vertical="center"/>
    </xf>
    <xf numFmtId="0" fontId="0" fillId="0" borderId="0" xfId="0" applyAlignment="1">
      <alignment vertical="center"/>
    </xf>
    <xf numFmtId="44" fontId="0" fillId="0" borderId="0" xfId="0" applyNumberFormat="1" applyAlignment="1">
      <alignment vertical="center"/>
    </xf>
  </cellXfs>
  <cellStyles count="2">
    <cellStyle name="Moneda" xfId="1" builtinId="4"/>
    <cellStyle name="Normal" xfId="0" builtinId="0"/>
  </cellStyles>
  <dxfs count="5299">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b/>
        <i val="0"/>
        <color rgb="FFFF0000"/>
      </font>
      <fill>
        <patternFill>
          <bgColor theme="9" tint="0.39994506668294322"/>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rgb="FFFF0000"/>
      </font>
      <fill>
        <patternFill>
          <bgColor theme="9" tint="0.39994506668294322"/>
        </patternFill>
      </fill>
    </dxf>
    <dxf>
      <font>
        <b/>
        <i val="0"/>
        <color auto="1"/>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b/>
        <i val="0"/>
        <color auto="1"/>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b/>
        <i val="0"/>
        <color auto="1"/>
      </font>
      <fill>
        <patternFill>
          <bgColor rgb="FFFFFF00"/>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FF0000"/>
      </font>
      <fill>
        <patternFill>
          <bgColor theme="9" tint="0.39994506668294322"/>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b/>
        <i val="0"/>
        <color rgb="FFFF0000"/>
      </font>
      <fill>
        <patternFill>
          <bgColor theme="9" tint="0.39994506668294322"/>
        </patternFill>
      </fill>
    </dxf>
    <dxf>
      <font>
        <color rgb="FF006100"/>
      </font>
      <fill>
        <patternFill>
          <bgColor rgb="FFC6EFCE"/>
        </patternFill>
      </fill>
    </dxf>
    <dxf>
      <font>
        <b/>
        <i val="0"/>
        <color auto="1"/>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b/>
        <i val="0"/>
        <color rgb="FFFF0000"/>
      </font>
      <fill>
        <patternFill>
          <bgColor theme="9" tint="0.39994506668294322"/>
        </patternFill>
      </fill>
    </dxf>
    <dxf>
      <font>
        <color rgb="FF9C6500"/>
      </font>
      <fill>
        <patternFill>
          <bgColor rgb="FFFFEB9C"/>
        </patternFill>
      </fill>
    </dxf>
    <dxf>
      <font>
        <b/>
        <i val="0"/>
        <color auto="1"/>
      </font>
      <fill>
        <patternFill>
          <bgColor rgb="FFFFFF00"/>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b/>
        <i val="0"/>
        <color auto="1"/>
      </font>
      <fill>
        <patternFill>
          <bgColor rgb="FFFFFF00"/>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b/>
        <i val="0"/>
        <color auto="1"/>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font>
      <fill>
        <patternFill>
          <bgColor rgb="FFFFFF00"/>
        </patternFill>
      </fill>
    </dxf>
    <dxf>
      <font>
        <b/>
        <i val="0"/>
        <color auto="1"/>
      </font>
      <fill>
        <patternFill>
          <bgColor rgb="FFFFFF00"/>
        </patternFill>
      </fill>
    </dxf>
    <dxf>
      <font>
        <b/>
        <i val="0"/>
      </font>
      <fill>
        <patternFill>
          <bgColor rgb="FFFFFF00"/>
        </patternFill>
      </fill>
    </dxf>
    <dxf>
      <font>
        <b/>
        <i val="0"/>
        <color auto="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9" tint="0.39994506668294322"/>
        </patternFill>
      </fill>
    </dxf>
    <dxf>
      <font>
        <color rgb="FF006100"/>
      </font>
      <fill>
        <patternFill>
          <bgColor rgb="FFC6EFCE"/>
        </patternFill>
      </fill>
    </dxf>
    <dxf>
      <font>
        <color rgb="FF9C6500"/>
      </font>
      <fill>
        <patternFill>
          <bgColor rgb="FFFFEB9C"/>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b/>
        <i val="0"/>
        <color auto="1"/>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b/>
        <i val="0"/>
        <color auto="1"/>
      </font>
      <fill>
        <patternFill>
          <bgColor rgb="FFFFFF00"/>
        </patternFill>
      </fill>
    </dxf>
    <dxf>
      <font>
        <b/>
        <i val="0"/>
        <color rgb="FFFF0000"/>
      </font>
      <fill>
        <patternFill>
          <bgColor theme="9" tint="0.39994506668294322"/>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0006"/>
      </font>
      <fill>
        <patternFill>
          <bgColor rgb="FFFFC7CE"/>
        </patternFill>
      </fill>
    </dxf>
    <dxf>
      <font>
        <color rgb="FF9C6500"/>
      </font>
      <fill>
        <patternFill>
          <bgColor rgb="FFFFEB9C"/>
        </patternFill>
      </fill>
    </dxf>
    <dxf>
      <font>
        <b/>
        <i val="0"/>
        <color rgb="FFFF0000"/>
      </font>
      <fill>
        <patternFill>
          <bgColor theme="9" tint="0.39994506668294322"/>
        </patternFill>
      </fill>
    </dxf>
    <dxf>
      <font>
        <b/>
        <i val="0"/>
        <color auto="1"/>
      </font>
      <fill>
        <patternFill>
          <bgColor rgb="FFFFFF00"/>
        </patternFill>
      </fill>
    </dxf>
    <dxf>
      <font>
        <b/>
        <i val="0"/>
        <color auto="1"/>
      </font>
      <fill>
        <patternFill>
          <bgColor rgb="FFFFFF00"/>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auto="1"/>
      </font>
      <fill>
        <patternFill>
          <bgColor rgb="FFFFFF00"/>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auto="1"/>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color rgb="FF9C6500"/>
      </font>
      <fill>
        <patternFill>
          <bgColor rgb="FFFFEB9C"/>
        </patternFill>
      </fill>
    </dxf>
    <dxf>
      <font>
        <color rgb="FF9C0006"/>
      </font>
      <fill>
        <patternFill>
          <bgColor rgb="FFFFC7CE"/>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b/>
        <i val="0"/>
        <color auto="1"/>
      </font>
      <fill>
        <patternFill>
          <bgColor rgb="FFFFFF00"/>
        </patternFill>
      </fill>
    </dxf>
    <dxf>
      <font>
        <b/>
        <i val="0"/>
        <color auto="1"/>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FF0000"/>
      </font>
      <fill>
        <patternFill>
          <bgColor theme="9" tint="0.3999450666829432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rgb="FFC00000"/>
      </font>
      <fill>
        <patternFill>
          <bgColor rgb="FFFFFF00"/>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b/>
        <i val="0"/>
        <color auto="1"/>
      </font>
      <fill>
        <patternFill>
          <bgColor rgb="FFFFFF00"/>
        </patternFill>
      </fill>
    </dxf>
    <dxf>
      <font>
        <color rgb="FF9C0006"/>
      </font>
      <fill>
        <patternFill>
          <bgColor rgb="FFFFC7CE"/>
        </patternFill>
      </fill>
    </dxf>
    <dxf>
      <font>
        <color rgb="FF9C6500"/>
      </font>
      <fill>
        <patternFill>
          <bgColor rgb="FFFFEB9C"/>
        </patternFill>
      </fill>
    </dxf>
    <dxf>
      <font>
        <b/>
        <i val="0"/>
        <color rgb="FFFF0000"/>
      </font>
      <fill>
        <patternFill>
          <bgColor theme="9" tint="0.39994506668294322"/>
        </patternFill>
      </fill>
    </dxf>
    <dxf>
      <font>
        <color rgb="FF9C6500"/>
      </font>
      <fill>
        <patternFill>
          <bgColor rgb="FFFFEB9C"/>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b/>
        <i val="0"/>
        <color auto="1"/>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b/>
        <i val="0"/>
        <color auto="1"/>
      </font>
      <fill>
        <patternFill>
          <bgColor rgb="FFFFFF00"/>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auto="1"/>
      </font>
      <fill>
        <patternFill>
          <bgColor rgb="FFFFFF00"/>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b/>
        <i val="0"/>
        <color rgb="FFFF0000"/>
      </font>
      <fill>
        <patternFill>
          <bgColor theme="9" tint="0.39994506668294322"/>
        </patternFill>
      </fill>
    </dxf>
    <dxf>
      <font>
        <color rgb="FF9C0006"/>
      </font>
      <fill>
        <patternFill>
          <bgColor rgb="FFFFC7CE"/>
        </patternFill>
      </fill>
    </dxf>
    <dxf>
      <font>
        <b/>
        <i val="0"/>
        <color auto="1"/>
      </font>
      <fill>
        <patternFill>
          <bgColor rgb="FFFFFF00"/>
        </patternFill>
      </fill>
    </dxf>
    <dxf>
      <font>
        <color rgb="FF006100"/>
      </font>
      <fill>
        <patternFill>
          <bgColor rgb="FFC6EFCE"/>
        </patternFill>
      </fill>
    </dxf>
    <dxf>
      <font>
        <b/>
        <i val="0"/>
        <color auto="1"/>
      </font>
      <fill>
        <patternFill>
          <bgColor rgb="FFFFFF00"/>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auto="1"/>
      </font>
      <fill>
        <patternFill>
          <bgColor rgb="FFFFFF00"/>
        </patternFill>
      </fill>
    </dxf>
    <dxf>
      <font>
        <b/>
        <i val="0"/>
        <color rgb="FFC00000"/>
      </font>
      <fill>
        <patternFill>
          <bgColor rgb="FFFFFF00"/>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FF0000"/>
      </font>
      <fill>
        <patternFill>
          <bgColor theme="9" tint="0.39994506668294322"/>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auto="1"/>
      </font>
      <fill>
        <patternFill>
          <bgColor rgb="FFFFFF00"/>
        </patternFill>
      </fill>
    </dxf>
    <dxf>
      <font>
        <b/>
        <i val="0"/>
        <color rgb="FFFF0000"/>
      </font>
      <fill>
        <patternFill>
          <bgColor theme="9" tint="0.39994506668294322"/>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color auto="1"/>
      </font>
      <fill>
        <patternFill>
          <bgColor rgb="FFFFFF00"/>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color rgb="FF006100"/>
      </font>
      <fill>
        <patternFill>
          <bgColor rgb="FFC6EFCE"/>
        </patternFill>
      </fill>
    </dxf>
    <dxf>
      <font>
        <color rgb="FF006100"/>
      </font>
      <fill>
        <patternFill>
          <bgColor rgb="FFC6EFCE"/>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FF0000"/>
      </font>
      <fill>
        <patternFill>
          <bgColor theme="9" tint="0.39994506668294322"/>
        </patternFill>
      </fill>
    </dxf>
    <dxf>
      <font>
        <b/>
        <i val="0"/>
        <color auto="1"/>
      </font>
      <fill>
        <patternFill>
          <bgColor rgb="FFFFFF00"/>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lor auto="1"/>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color auto="1"/>
      </font>
      <fill>
        <patternFill>
          <bgColor rgb="FFFFFF00"/>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FF0000"/>
      </font>
      <fill>
        <patternFill>
          <bgColor theme="9" tint="0.39994506668294322"/>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b/>
        <i val="0"/>
        <color auto="1"/>
      </font>
      <fill>
        <patternFill>
          <bgColor rgb="FFFFFF00"/>
        </patternFill>
      </fill>
    </dxf>
    <dxf>
      <font>
        <color rgb="FF006100"/>
      </font>
      <fill>
        <patternFill>
          <bgColor rgb="FFC6EFCE"/>
        </patternFill>
      </fill>
    </dxf>
    <dxf>
      <font>
        <b/>
        <i val="0"/>
        <color auto="1"/>
      </font>
      <fill>
        <patternFill>
          <bgColor rgb="FFFFFF00"/>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b/>
        <i val="0"/>
        <color rgb="FFFF0000"/>
      </font>
      <fill>
        <patternFill>
          <bgColor theme="9" tint="0.39994506668294322"/>
        </patternFill>
      </fill>
    </dxf>
    <dxf>
      <font>
        <b/>
        <i val="0"/>
        <color auto="1"/>
      </font>
      <fill>
        <patternFill>
          <bgColor rgb="FFFFFF00"/>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006100"/>
      </font>
      <fill>
        <patternFill>
          <bgColor rgb="FFC6EFCE"/>
        </patternFill>
      </fill>
    </dxf>
    <dxf>
      <font>
        <b/>
        <i val="0"/>
        <color auto="1"/>
      </font>
      <fill>
        <patternFill>
          <bgColor rgb="FFFFFF00"/>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0006"/>
      </font>
      <fill>
        <patternFill>
          <bgColor rgb="FFFFC7CE"/>
        </patternFill>
      </fill>
    </dxf>
    <dxf>
      <font>
        <color rgb="FF9C6500"/>
      </font>
      <fill>
        <patternFill>
          <bgColor rgb="FFFFEB9C"/>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b/>
        <i val="0"/>
        <color auto="1"/>
      </font>
      <fill>
        <patternFill>
          <bgColor rgb="FFFFFF00"/>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b/>
        <i val="0"/>
        <color auto="1"/>
      </font>
      <fill>
        <patternFill>
          <bgColor rgb="FFFFFF00"/>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C00000"/>
      </font>
      <fill>
        <patternFill>
          <bgColor rgb="FFFFFF00"/>
        </patternFill>
      </fill>
    </dxf>
    <dxf>
      <font>
        <b/>
        <i val="0"/>
        <color rgb="FFFF0000"/>
      </font>
      <fill>
        <patternFill>
          <bgColor theme="9" tint="0.39994506668294322"/>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rgb="FFC00000"/>
      </font>
      <fill>
        <patternFill>
          <bgColor rgb="FFFFFF00"/>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b/>
        <i val="0"/>
        <color rgb="FFFF0000"/>
      </font>
      <fill>
        <patternFill>
          <bgColor theme="9" tint="0.39994506668294322"/>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b/>
        <i val="0"/>
        <color rgb="FFC00000"/>
      </font>
      <fill>
        <patternFill>
          <bgColor rgb="FFFFFF00"/>
        </patternFill>
      </fill>
    </dxf>
    <dxf>
      <font>
        <b/>
        <i val="0"/>
        <color auto="1"/>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FF0000"/>
      </font>
      <fill>
        <patternFill>
          <bgColor theme="9" tint="0.39994506668294322"/>
        </patternFill>
      </fill>
    </dxf>
    <dxf>
      <font>
        <color rgb="FF006100"/>
      </font>
      <fill>
        <patternFill>
          <bgColor rgb="FFC6EFCE"/>
        </patternFill>
      </fill>
    </dxf>
    <dxf>
      <font>
        <b/>
        <i val="0"/>
        <color auto="1"/>
      </font>
      <fill>
        <patternFill>
          <bgColor rgb="FFFFFF00"/>
        </patternFill>
      </fill>
    </dxf>
    <dxf>
      <font>
        <b/>
        <i val="0"/>
        <color rgb="FFC00000"/>
      </font>
      <fill>
        <patternFill>
          <bgColor rgb="FFFFFF00"/>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auto="1"/>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color rgb="FF9C6500"/>
      </font>
      <fill>
        <patternFill>
          <bgColor rgb="FFFFEB9C"/>
        </patternFill>
      </fill>
    </dxf>
    <dxf>
      <font>
        <color rgb="FF9C0006"/>
      </font>
      <fill>
        <patternFill>
          <bgColor rgb="FFFFC7CE"/>
        </patternFill>
      </fill>
    </dxf>
    <dxf>
      <font>
        <b/>
        <i val="0"/>
        <color auto="1"/>
      </font>
      <fill>
        <patternFill>
          <bgColor rgb="FFFFFF00"/>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b/>
        <i val="0"/>
        <color auto="1"/>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b/>
        <i val="0"/>
        <color auto="1"/>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lor auto="1"/>
      </font>
      <fill>
        <patternFill>
          <bgColor rgb="FFFFFF00"/>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b/>
        <i val="0"/>
        <color auto="1"/>
      </font>
      <fill>
        <patternFill>
          <bgColor rgb="FFFFFF00"/>
        </patternFill>
      </fill>
    </dxf>
    <dxf>
      <font>
        <b/>
        <i val="0"/>
        <color auto="1"/>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rgb="FFC00000"/>
      </font>
      <fill>
        <patternFill>
          <bgColor rgb="FFFFFF00"/>
        </patternFill>
      </fill>
    </dxf>
    <dxf>
      <font>
        <color rgb="FF006100"/>
      </font>
      <fill>
        <patternFill>
          <bgColor rgb="FFC6EFCE"/>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FF0000"/>
      </font>
      <fill>
        <patternFill>
          <bgColor theme="9" tint="0.39994506668294322"/>
        </patternFill>
      </fill>
    </dxf>
    <dxf>
      <font>
        <b/>
        <i val="0"/>
        <color auto="1"/>
      </font>
      <fill>
        <patternFill>
          <bgColor rgb="FFFFFF00"/>
        </patternFill>
      </fill>
    </dxf>
    <dxf>
      <font>
        <b/>
        <i val="0"/>
        <color auto="1"/>
      </font>
      <fill>
        <patternFill>
          <bgColor rgb="FFFFFF00"/>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b/>
        <i val="0"/>
        <color auto="1"/>
      </font>
      <fill>
        <patternFill>
          <bgColor rgb="FFFFFF00"/>
        </patternFill>
      </fill>
    </dxf>
    <dxf>
      <font>
        <b/>
        <i val="0"/>
        <color rgb="FFC00000"/>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color rgb="FF006100"/>
      </font>
      <fill>
        <patternFill>
          <bgColor rgb="FFC6EFCE"/>
        </patternFill>
      </fill>
    </dxf>
    <dxf>
      <font>
        <b/>
        <i val="0"/>
        <color auto="1"/>
      </font>
      <fill>
        <patternFill>
          <bgColor rgb="FFFFFF00"/>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b/>
        <i val="0"/>
        <color auto="1"/>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C00000"/>
      </font>
      <fill>
        <patternFill>
          <bgColor rgb="FFFFFF00"/>
        </patternFill>
      </fill>
    </dxf>
    <dxf>
      <font>
        <b/>
        <i val="0"/>
        <color auto="1"/>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b/>
        <i val="0"/>
        <color auto="1"/>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auto="1"/>
      </font>
      <fill>
        <patternFill>
          <bgColor rgb="FFFFFF00"/>
        </patternFill>
      </fill>
    </dxf>
    <dxf>
      <font>
        <color rgb="FF006100"/>
      </font>
      <fill>
        <patternFill>
          <bgColor rgb="FFC6EFCE"/>
        </patternFill>
      </fill>
    </dxf>
    <dxf>
      <font>
        <b/>
        <i val="0"/>
        <color rgb="FFC00000"/>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auto="1"/>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b/>
        <i val="0"/>
        <color rgb="FFC00000"/>
      </font>
      <fill>
        <patternFill>
          <bgColor rgb="FFFFFF00"/>
        </patternFill>
      </fill>
    </dxf>
    <dxf>
      <font>
        <color rgb="FF9C6500"/>
      </font>
      <fill>
        <patternFill>
          <bgColor rgb="FFFFEB9C"/>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auto="1"/>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FF0000"/>
      </font>
      <fill>
        <patternFill>
          <bgColor theme="9" tint="0.39994506668294322"/>
        </patternFill>
      </fill>
    </dxf>
    <dxf>
      <font>
        <b/>
        <i val="0"/>
        <color rgb="FFC00000"/>
      </font>
      <fill>
        <patternFill>
          <bgColor rgb="FFFFFF00"/>
        </patternFill>
      </fill>
    </dxf>
    <dxf>
      <font>
        <b/>
        <i val="0"/>
        <color auto="1"/>
      </font>
      <fill>
        <patternFill>
          <bgColor rgb="FFFFFF00"/>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auto="1"/>
      </font>
      <fill>
        <patternFill>
          <bgColor rgb="FFFFFF00"/>
        </patternFill>
      </fill>
    </dxf>
    <dxf>
      <font>
        <b/>
        <i val="0"/>
        <color rgb="FFC00000"/>
      </font>
      <fill>
        <patternFill>
          <bgColor rgb="FFFFFF00"/>
        </patternFill>
      </fill>
    </dxf>
    <dxf>
      <font>
        <b/>
        <i val="0"/>
        <color auto="1"/>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rgb="FFC00000"/>
      </font>
      <fill>
        <patternFill>
          <bgColor rgb="FFFFFF00"/>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b/>
        <i val="0"/>
        <color auto="1"/>
      </font>
      <fill>
        <patternFill>
          <bgColor rgb="FFFFFF00"/>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b/>
        <i val="0"/>
        <color rgb="FFC00000"/>
      </font>
      <fill>
        <patternFill>
          <bgColor rgb="FFFFFF00"/>
        </patternFill>
      </fill>
    </dxf>
    <dxf>
      <font>
        <b/>
        <i val="0"/>
        <color rgb="FFFF0000"/>
      </font>
      <fill>
        <patternFill>
          <bgColor theme="9" tint="0.39994506668294322"/>
        </patternFill>
      </fill>
    </dxf>
    <dxf>
      <font>
        <color rgb="FF9C6500"/>
      </font>
      <fill>
        <patternFill>
          <bgColor rgb="FFFFEB9C"/>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b/>
        <i val="0"/>
        <color rgb="FFFF0000"/>
      </font>
      <fill>
        <patternFill>
          <bgColor theme="9" tint="0.39994506668294322"/>
        </patternFill>
      </fill>
    </dxf>
    <dxf>
      <font>
        <color rgb="FF9C0006"/>
      </font>
      <fill>
        <patternFill>
          <bgColor rgb="FFFFC7CE"/>
        </patternFill>
      </fill>
    </dxf>
    <dxf>
      <font>
        <b/>
        <i val="0"/>
        <color auto="1"/>
      </font>
      <fill>
        <patternFill>
          <bgColor rgb="FFFFFF00"/>
        </patternFill>
      </fill>
    </dxf>
    <dxf>
      <font>
        <color rgb="FF9C6500"/>
      </font>
      <fill>
        <patternFill>
          <bgColor rgb="FFFFEB9C"/>
        </patternFill>
      </fill>
    </dxf>
    <dxf>
      <font>
        <b/>
        <i val="0"/>
        <color auto="1"/>
      </font>
      <fill>
        <patternFill>
          <bgColor rgb="FFFFFF00"/>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b/>
        <i val="0"/>
        <color rgb="FFFF0000"/>
      </font>
      <fill>
        <patternFill>
          <bgColor theme="9" tint="0.39994506668294322"/>
        </patternFill>
      </fill>
    </dxf>
    <dxf>
      <font>
        <color rgb="FF006100"/>
      </font>
      <fill>
        <patternFill>
          <bgColor rgb="FFC6EFCE"/>
        </patternFill>
      </fill>
    </dxf>
    <dxf>
      <font>
        <color rgb="FF9C0006"/>
      </font>
      <fill>
        <patternFill>
          <bgColor rgb="FFFFC7CE"/>
        </patternFill>
      </fill>
    </dxf>
    <dxf>
      <font>
        <b/>
        <i val="0"/>
        <color auto="1"/>
      </font>
      <fill>
        <patternFill>
          <bgColor rgb="FFFFFF00"/>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b/>
        <i val="0"/>
        <color auto="1"/>
      </font>
      <fill>
        <patternFill>
          <bgColor rgb="FFFFFF00"/>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b/>
        <i val="0"/>
        <color auto="1"/>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b/>
        <i val="0"/>
        <color auto="1"/>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rgb="FFC00000"/>
      </font>
      <fill>
        <patternFill>
          <bgColor rgb="FFFFFF00"/>
        </patternFill>
      </fill>
    </dxf>
    <dxf>
      <font>
        <b/>
        <i val="0"/>
        <color rgb="FFFF0000"/>
      </font>
      <fill>
        <patternFill>
          <bgColor theme="9" tint="0.39994506668294322"/>
        </patternFill>
      </fill>
    </dxf>
    <dxf>
      <font>
        <color rgb="FF006100"/>
      </font>
      <fill>
        <patternFill>
          <bgColor rgb="FFC6EFCE"/>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auto="1"/>
      </font>
      <fill>
        <patternFill>
          <bgColor rgb="FFFFFF00"/>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rgb="FFFF0000"/>
      </font>
      <fill>
        <patternFill>
          <bgColor theme="9" tint="0.39994506668294322"/>
        </patternFill>
      </fill>
    </dxf>
    <dxf>
      <font>
        <b/>
        <i val="0"/>
        <color auto="1"/>
      </font>
      <fill>
        <patternFill>
          <bgColor rgb="FFFFFF00"/>
        </patternFill>
      </fill>
    </dxf>
    <dxf>
      <font>
        <b/>
        <i val="0"/>
        <color auto="1"/>
      </font>
      <fill>
        <patternFill>
          <bgColor rgb="FFFFFF00"/>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auto="1"/>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9C0006"/>
      </font>
      <fill>
        <patternFill>
          <bgColor rgb="FFFFC7CE"/>
        </patternFill>
      </fill>
    </dxf>
    <dxf>
      <font>
        <color rgb="FF9C6500"/>
      </font>
      <fill>
        <patternFill>
          <bgColor rgb="FFFFEB9C"/>
        </patternFill>
      </fill>
    </dxf>
    <dxf>
      <font>
        <b/>
        <i val="0"/>
        <color auto="1"/>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color rgb="FF006100"/>
      </font>
      <fill>
        <patternFill>
          <bgColor rgb="FFC6EFCE"/>
        </patternFill>
      </fill>
    </dxf>
    <dxf>
      <font>
        <b/>
        <i val="0"/>
        <color auto="1"/>
      </font>
      <fill>
        <patternFill>
          <bgColor rgb="FFFFFF00"/>
        </patternFill>
      </fill>
    </dxf>
    <dxf>
      <font>
        <b/>
        <i val="0"/>
        <color rgb="FFC00000"/>
      </font>
      <fill>
        <patternFill>
          <bgColor rgb="FFFFFF00"/>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b/>
        <i val="0"/>
        <color auto="1"/>
      </font>
      <fill>
        <patternFill>
          <bgColor rgb="FFFFFF00"/>
        </patternFill>
      </fill>
    </dxf>
    <dxf>
      <font>
        <b/>
        <i val="0"/>
        <color auto="1"/>
      </font>
      <fill>
        <patternFill>
          <bgColor rgb="FFFFFF00"/>
        </patternFill>
      </fill>
    </dxf>
    <dxf>
      <font>
        <color rgb="FF006100"/>
      </font>
      <fill>
        <patternFill>
          <bgColor rgb="FFC6EFCE"/>
        </patternFill>
      </fill>
    </dxf>
    <dxf>
      <font>
        <b/>
        <i val="0"/>
        <color rgb="FFFF0000"/>
      </font>
      <fill>
        <patternFill>
          <bgColor theme="9" tint="0.39994506668294322"/>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FF0000"/>
      </font>
      <fill>
        <patternFill>
          <bgColor theme="9" tint="0.39994506668294322"/>
        </patternFill>
      </fill>
    </dxf>
    <dxf>
      <font>
        <color rgb="FF006100"/>
      </font>
      <fill>
        <patternFill>
          <bgColor rgb="FFC6EFCE"/>
        </patternFill>
      </fill>
    </dxf>
    <dxf>
      <font>
        <b/>
        <i val="0"/>
        <color auto="1"/>
      </font>
      <fill>
        <patternFill>
          <bgColor rgb="FFFFFF00"/>
        </patternFill>
      </fill>
    </dxf>
    <dxf>
      <font>
        <b/>
        <i val="0"/>
        <color auto="1"/>
      </font>
      <fill>
        <patternFill>
          <bgColor rgb="FFFFFF00"/>
        </patternFill>
      </fill>
    </dxf>
    <dxf>
      <font>
        <b/>
        <i val="0"/>
        <color rgb="FFC00000"/>
      </font>
      <fill>
        <patternFill>
          <bgColor rgb="FFFFFF00"/>
        </patternFill>
      </fill>
    </dxf>
    <dxf>
      <font>
        <b/>
        <i val="0"/>
        <color rgb="FFFF0000"/>
      </font>
      <fill>
        <patternFill>
          <bgColor theme="9" tint="0.39994506668294322"/>
        </patternFill>
      </fill>
    </dxf>
    <dxf>
      <font>
        <b/>
        <i val="0"/>
        <color auto="1"/>
      </font>
      <fill>
        <patternFill>
          <bgColor rgb="FFFFFF00"/>
        </patternFill>
      </fill>
    </dxf>
    <dxf>
      <font>
        <b/>
        <i val="0"/>
        <color rgb="FFC00000"/>
      </font>
      <fill>
        <patternFill>
          <bgColor rgb="FFFFFF00"/>
        </patternFill>
      </fill>
    </dxf>
    <dxf>
      <font>
        <color rgb="FF006100"/>
      </font>
      <fill>
        <patternFill>
          <bgColor rgb="FFC6EFCE"/>
        </patternFill>
      </fill>
    </dxf>
    <dxf>
      <font>
        <b/>
        <i val="0"/>
        <color auto="1"/>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auto="1"/>
      </font>
      <fill>
        <patternFill>
          <bgColor rgb="FFFFFF00"/>
        </patternFill>
      </fill>
    </dxf>
    <dxf>
      <font>
        <b/>
        <i val="0"/>
        <color auto="1"/>
      </font>
      <fill>
        <patternFill>
          <bgColor rgb="FFFFFF00"/>
        </patternFill>
      </fill>
    </dxf>
    <dxf>
      <font>
        <b/>
        <i val="0"/>
        <color rgb="FFFF0000"/>
      </font>
      <fill>
        <patternFill>
          <bgColor theme="9" tint="0.39994506668294322"/>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b/>
        <i val="0"/>
        <color rgb="FFC00000"/>
      </font>
      <fill>
        <patternFill>
          <bgColor rgb="FFFFFF00"/>
        </patternFill>
      </fill>
    </dxf>
    <dxf>
      <font>
        <b/>
        <i val="0"/>
        <color rgb="FFC00000"/>
      </font>
      <fill>
        <patternFill>
          <bgColor rgb="FFFFFF00"/>
        </patternFill>
      </fill>
    </dxf>
    <dxf>
      <font>
        <b/>
        <i val="0"/>
        <color rgb="FFC00000"/>
      </font>
      <fill>
        <patternFill>
          <bgColor rgb="FFFFFF00"/>
        </patternFill>
      </fill>
    </dxf>
    <dxf>
      <font>
        <b/>
        <i val="0"/>
        <color rgb="FFC00000"/>
      </font>
      <fill>
        <patternFill>
          <bgColor rgb="FFFFFF00"/>
        </patternFill>
      </fill>
    </dxf>
    <dxf>
      <font>
        <b/>
        <i val="0"/>
        <color rgb="FFC00000"/>
      </font>
      <fill>
        <patternFill>
          <bgColor rgb="FFFFFF00"/>
        </patternFill>
      </fill>
    </dxf>
    <dxf>
      <font>
        <b/>
        <i val="0"/>
        <color rgb="FFC00000"/>
      </font>
      <fill>
        <patternFill>
          <bgColor rgb="FFFFFF00"/>
        </patternFill>
      </fill>
    </dxf>
    <dxf>
      <font>
        <b/>
        <i val="0"/>
        <color rgb="FFC00000"/>
      </font>
      <fill>
        <patternFill>
          <bgColor rgb="FFFFFF00"/>
        </patternFill>
      </fill>
    </dxf>
    <dxf>
      <font>
        <b/>
        <i val="0"/>
        <color rgb="FFC00000"/>
      </font>
      <fill>
        <patternFill>
          <bgColor rgb="FFFFFF00"/>
        </patternFill>
      </fill>
    </dxf>
    <dxf>
      <font>
        <b/>
        <i val="0"/>
        <color rgb="FFC0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b/>
        <i val="0"/>
        <color rgb="FFFF0000"/>
      </font>
      <fill>
        <patternFill>
          <bgColor rgb="FFFFFF00"/>
        </patternFill>
      </fill>
    </dxf>
    <dxf>
      <font>
        <color rgb="FF9C6500"/>
      </font>
      <fill>
        <patternFill>
          <bgColor rgb="FFFFEB9C"/>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b/>
        <i val="0"/>
        <color rgb="FFC00000"/>
      </font>
      <fill>
        <patternFill>
          <bgColor rgb="FFFFFF00"/>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b/>
        <i val="0"/>
      </font>
      <fill>
        <patternFill>
          <bgColor rgb="FFFFFF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font>
      <fill>
        <patternFill>
          <bgColor rgb="FFFFFF00"/>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b/>
        <i val="0"/>
        <color rgb="FFC00000"/>
      </font>
      <fill>
        <patternFill>
          <bgColor rgb="FFFFFF00"/>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b/>
        <i val="0"/>
      </font>
      <fill>
        <patternFill>
          <bgColor rgb="FFFFFF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b/>
        <i val="0"/>
        <color rgb="FFFF0000"/>
      </font>
      <fill>
        <patternFill>
          <bgColor rgb="FFFFFF00"/>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FF00"/>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b/>
        <i val="0"/>
      </font>
      <fill>
        <patternFill>
          <bgColor rgb="FFFFFF00"/>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b/>
        <i val="0"/>
      </font>
      <fill>
        <patternFill>
          <bgColor rgb="FFFFFF00"/>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lor rgb="FFFF0000"/>
      </font>
      <fill>
        <patternFill>
          <bgColor rgb="FFFFFF00"/>
        </patternFill>
      </fill>
    </dxf>
    <dxf>
      <font>
        <color rgb="FF006100"/>
      </font>
      <fill>
        <patternFill>
          <bgColor rgb="FFC6EFCE"/>
        </patternFill>
      </fill>
    </dxf>
    <dxf>
      <font>
        <color rgb="FF006100"/>
      </font>
      <fill>
        <patternFill>
          <bgColor rgb="FFC6EFCE"/>
        </patternFill>
      </fill>
    </dxf>
    <dxf>
      <font>
        <b/>
        <i val="0"/>
        <color rgb="FFFF0000"/>
      </font>
      <fill>
        <patternFill>
          <bgColor rgb="FFFFFF00"/>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b/>
        <i val="0"/>
      </font>
      <fill>
        <patternFill>
          <bgColor rgb="FFFFFF00"/>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color rgb="FFC00000"/>
      </font>
      <fill>
        <patternFill>
          <bgColor rgb="FFFFFF00"/>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b/>
        <i val="0"/>
      </font>
      <fill>
        <patternFill>
          <bgColor rgb="FFFFFF00"/>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b/>
        <i val="0"/>
        <color rgb="FFC00000"/>
      </font>
      <fill>
        <patternFill>
          <bgColor rgb="FFFFFF00"/>
        </patternFill>
      </fill>
    </dxf>
    <dxf>
      <font>
        <b/>
        <i val="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rgb="FFFFFF00"/>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b/>
        <i val="0"/>
      </font>
      <fill>
        <patternFill>
          <bgColor rgb="FFFFFF00"/>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rgb="FFC00000"/>
      </font>
      <fill>
        <patternFill>
          <bgColor rgb="FFFFFF00"/>
        </patternFill>
      </fill>
    </dxf>
    <dxf>
      <font>
        <color rgb="FF9C0006"/>
      </font>
      <fill>
        <patternFill>
          <bgColor rgb="FFFFC7CE"/>
        </patternFill>
      </fill>
    </dxf>
    <dxf>
      <font>
        <color rgb="FF9C6500"/>
      </font>
      <fill>
        <patternFill>
          <bgColor rgb="FFFFEB9C"/>
        </patternFill>
      </fill>
    </dxf>
    <dxf>
      <font>
        <b/>
        <i val="0"/>
      </font>
      <fill>
        <patternFill>
          <bgColor rgb="FFFFFF00"/>
        </patternFill>
      </fill>
    </dxf>
    <dxf>
      <font>
        <color rgb="FF9C6500"/>
      </font>
      <fill>
        <patternFill>
          <bgColor rgb="FFFFEB9C"/>
        </patternFill>
      </fill>
    </dxf>
    <dxf>
      <font>
        <b/>
        <i val="0"/>
        <color rgb="FFC00000"/>
      </font>
      <fill>
        <patternFill>
          <bgColor rgb="FFFFFF00"/>
        </patternFill>
      </fill>
    </dxf>
    <dxf>
      <font>
        <b/>
        <i val="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b/>
        <i val="0"/>
      </font>
      <fill>
        <patternFill>
          <bgColor rgb="FFFFFF00"/>
        </patternFill>
      </fill>
    </dxf>
    <dxf>
      <font>
        <color rgb="FF9C6500"/>
      </font>
      <fill>
        <patternFill>
          <bgColor rgb="FFFFEB9C"/>
        </patternFill>
      </fill>
    </dxf>
    <dxf>
      <font>
        <b/>
        <i val="0"/>
        <color rgb="FFC0000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font>
      <fill>
        <patternFill>
          <bgColor rgb="FFFFFF00"/>
        </patternFill>
      </fill>
    </dxf>
    <dxf>
      <font>
        <b/>
        <i val="0"/>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FF0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font>
      <fill>
        <patternFill>
          <bgColor rgb="FFFFFF00"/>
        </patternFill>
      </fill>
    </dxf>
    <dxf>
      <font>
        <b/>
        <i val="0"/>
        <color rgb="FFC00000"/>
      </font>
      <fill>
        <patternFill>
          <bgColor rgb="FFFFFF00"/>
        </patternFill>
      </fill>
    </dxf>
    <dxf>
      <font>
        <b/>
        <i val="0"/>
      </font>
      <fill>
        <patternFill>
          <bgColor rgb="FFFFFF00"/>
        </patternFill>
      </fill>
    </dxf>
    <dxf>
      <font>
        <color rgb="FF9C6500"/>
      </font>
      <fill>
        <patternFill>
          <bgColor rgb="FFFFEB9C"/>
        </patternFill>
      </fill>
    </dxf>
    <dxf>
      <font>
        <b/>
        <i val="0"/>
        <color rgb="FFC00000"/>
      </font>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color rgb="FFFF0000"/>
      </font>
      <fill>
        <patternFill>
          <bgColor rgb="FFFFFF00"/>
        </patternFill>
      </fill>
    </dxf>
    <dxf>
      <font>
        <color rgb="FF006100"/>
      </font>
      <fill>
        <patternFill>
          <bgColor rgb="FFC6EFCE"/>
        </patternFill>
      </fill>
    </dxf>
    <dxf>
      <font>
        <b/>
        <i val="0"/>
      </font>
      <fill>
        <patternFill>
          <bgColor rgb="FFFFFF00"/>
        </patternFill>
      </fill>
    </dxf>
    <dxf>
      <font>
        <b/>
        <i val="0"/>
        <color rgb="FFC00000"/>
      </font>
      <fill>
        <patternFill>
          <bgColor rgb="FFFFFF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BITEC\Desktop\UBITEC\UBITEC\Clientes\Marmolejos\Alejandro%20Marmolejo\Unidades%20Activas%20(Control%20intern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do "/>
      <sheetName val="Bajas"/>
      <sheetName val="Revisiones"/>
    </sheetNames>
    <sheetDataSet>
      <sheetData sheetId="0"/>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W1819"/>
  <sheetViews>
    <sheetView zoomScale="80" zoomScaleNormal="80" workbookViewId="0">
      <pane xSplit="6" ySplit="3" topLeftCell="Q1772" activePane="bottomRight" state="frozenSplit"/>
      <selection pane="topRight" activeCell="B1" sqref="B1"/>
      <selection pane="bottomLeft" activeCell="A2" sqref="A2"/>
      <selection pane="bottomRight" activeCell="M1777" sqref="M1777"/>
    </sheetView>
  </sheetViews>
  <sheetFormatPr baseColWidth="10" defaultColWidth="36.54296875" defaultRowHeight="17" x14ac:dyDescent="0.35"/>
  <cols>
    <col min="1" max="1" width="1.7265625" style="12" customWidth="1"/>
    <col min="2" max="2" width="39.81640625" style="12" bestFit="1" customWidth="1"/>
    <col min="3" max="3" width="11" style="12" customWidth="1"/>
    <col min="4" max="4" width="17.1796875" style="86" bestFit="1" customWidth="1"/>
    <col min="5" max="5" width="16.453125" style="12" customWidth="1"/>
    <col min="6" max="6" width="18.7265625" style="86" bestFit="1" customWidth="1"/>
    <col min="7" max="7" width="23.54296875" style="1" bestFit="1" customWidth="1"/>
    <col min="8" max="8" width="38.453125" style="12" customWidth="1"/>
    <col min="9" max="9" width="15.7265625" style="139" customWidth="1"/>
    <col min="10" max="10" width="34.81640625" style="15" customWidth="1"/>
    <col min="11" max="11" width="31" style="1" customWidth="1"/>
    <col min="12" max="12" width="19.453125" style="12" customWidth="1"/>
    <col min="13" max="13" width="26" style="12" customWidth="1"/>
    <col min="14" max="15" width="25.7265625" style="12" customWidth="1"/>
    <col min="16" max="16" width="41.7265625" style="12" bestFit="1" customWidth="1"/>
    <col min="17" max="17" width="57.81640625" style="12" customWidth="1"/>
    <col min="18" max="18" width="13.81640625" style="12" customWidth="1"/>
    <col min="19" max="19" width="22.81640625" style="12" customWidth="1"/>
    <col min="20" max="20" width="20.453125" style="12" customWidth="1"/>
    <col min="21" max="21" width="11.7265625" style="12" customWidth="1"/>
    <col min="22" max="22" width="52.453125" style="12" customWidth="1"/>
    <col min="23" max="23" width="42.7265625" style="12" bestFit="1" customWidth="1"/>
    <col min="24" max="16384" width="36.54296875" style="12"/>
  </cols>
  <sheetData>
    <row r="1" spans="1:23" ht="17.5" thickBot="1" x14ac:dyDescent="0.4">
      <c r="V1" s="13"/>
    </row>
    <row r="2" spans="1:23" ht="26" x14ac:dyDescent="0.35">
      <c r="A2" s="1"/>
      <c r="B2" s="8" t="s">
        <v>843</v>
      </c>
      <c r="C2" s="9"/>
      <c r="D2" s="9"/>
      <c r="E2" s="9"/>
      <c r="F2" s="9"/>
      <c r="G2" s="10"/>
      <c r="H2" s="9"/>
      <c r="I2" s="140"/>
      <c r="J2" s="127"/>
      <c r="K2" s="10"/>
      <c r="L2" s="9"/>
      <c r="M2" s="9"/>
      <c r="N2" s="9"/>
      <c r="O2" s="9"/>
      <c r="P2" s="9"/>
      <c r="Q2" s="9"/>
      <c r="R2" s="9"/>
      <c r="S2" s="9"/>
      <c r="T2" s="9"/>
      <c r="U2" s="11"/>
      <c r="V2" s="1"/>
      <c r="W2" s="1"/>
    </row>
    <row r="3" spans="1:23" s="104" customFormat="1" ht="29.5" thickBot="1" x14ac:dyDescent="0.4">
      <c r="B3" s="105" t="s">
        <v>842</v>
      </c>
      <c r="C3" s="85" t="s">
        <v>841</v>
      </c>
      <c r="D3" s="87" t="s">
        <v>840</v>
      </c>
      <c r="E3" s="87" t="s">
        <v>839</v>
      </c>
      <c r="F3" s="87" t="s">
        <v>838</v>
      </c>
      <c r="G3" s="87" t="s">
        <v>837</v>
      </c>
      <c r="H3" s="87" t="s">
        <v>836</v>
      </c>
      <c r="I3" s="141" t="s">
        <v>3098</v>
      </c>
      <c r="J3" s="85" t="s">
        <v>835</v>
      </c>
      <c r="K3" s="85" t="s">
        <v>834</v>
      </c>
      <c r="L3" s="87" t="s">
        <v>833</v>
      </c>
      <c r="M3" s="87" t="s">
        <v>832</v>
      </c>
      <c r="N3" s="87" t="s">
        <v>831</v>
      </c>
      <c r="O3" s="87" t="s">
        <v>3099</v>
      </c>
      <c r="P3" s="85" t="s">
        <v>4176</v>
      </c>
      <c r="Q3" s="85" t="s">
        <v>830</v>
      </c>
      <c r="R3" s="106" t="s">
        <v>829</v>
      </c>
      <c r="S3" s="107" t="s">
        <v>828</v>
      </c>
      <c r="T3" s="108" t="s">
        <v>827</v>
      </c>
      <c r="U3" s="109" t="s">
        <v>826</v>
      </c>
    </row>
    <row r="4" spans="1:23" s="15" customFormat="1" ht="15" thickBot="1" x14ac:dyDescent="0.4">
      <c r="B4" s="20" t="s">
        <v>1467</v>
      </c>
      <c r="C4" s="21">
        <v>0</v>
      </c>
      <c r="D4" s="112" t="s">
        <v>1463</v>
      </c>
      <c r="E4" s="22" t="s">
        <v>1463</v>
      </c>
      <c r="F4" s="88" t="s">
        <v>13</v>
      </c>
      <c r="G4" s="22" t="s">
        <v>39</v>
      </c>
      <c r="H4" s="22" t="s">
        <v>39</v>
      </c>
      <c r="I4" s="142"/>
      <c r="J4" s="21" t="s">
        <v>1466</v>
      </c>
      <c r="K4" s="21" t="s">
        <v>1463</v>
      </c>
      <c r="L4" s="22" t="s">
        <v>1465</v>
      </c>
      <c r="M4" s="22" t="s">
        <v>1464</v>
      </c>
      <c r="N4" s="22">
        <v>355468590635314</v>
      </c>
      <c r="O4" s="22"/>
      <c r="P4" s="21" t="s">
        <v>39</v>
      </c>
      <c r="Q4" s="21" t="s">
        <v>8</v>
      </c>
      <c r="R4" s="23">
        <v>0</v>
      </c>
      <c r="S4" s="24">
        <v>0</v>
      </c>
      <c r="T4" s="25"/>
      <c r="U4" s="26"/>
    </row>
    <row r="5" spans="1:23" s="34" customFormat="1" ht="29" x14ac:dyDescent="0.35">
      <c r="A5" s="15"/>
      <c r="B5" s="27">
        <v>44137</v>
      </c>
      <c r="C5" s="28">
        <v>1</v>
      </c>
      <c r="D5" s="89" t="s">
        <v>2613</v>
      </c>
      <c r="E5" s="28" t="s">
        <v>3553</v>
      </c>
      <c r="F5" s="102" t="s">
        <v>13</v>
      </c>
      <c r="G5" s="28" t="s">
        <v>823</v>
      </c>
      <c r="H5" s="28" t="s">
        <v>1792</v>
      </c>
      <c r="I5" s="143" t="s">
        <v>39</v>
      </c>
      <c r="J5" s="14" t="s">
        <v>3557</v>
      </c>
      <c r="K5" s="28" t="s">
        <v>1030</v>
      </c>
      <c r="L5" s="28" t="s">
        <v>728</v>
      </c>
      <c r="M5" s="28" t="str">
        <f>"345901000784179"</f>
        <v>345901000784179</v>
      </c>
      <c r="N5" s="29">
        <v>864893039428100</v>
      </c>
      <c r="O5" s="29" t="s">
        <v>39</v>
      </c>
      <c r="P5" s="28" t="s">
        <v>799</v>
      </c>
      <c r="Q5" s="14" t="s">
        <v>2630</v>
      </c>
      <c r="R5" s="30">
        <v>1999.84</v>
      </c>
      <c r="S5" s="31" t="s">
        <v>3555</v>
      </c>
      <c r="T5" s="32" t="s">
        <v>3556</v>
      </c>
      <c r="U5" s="33">
        <v>44148</v>
      </c>
      <c r="V5" s="15"/>
      <c r="W5" s="15"/>
    </row>
    <row r="6" spans="1:23" s="34" customFormat="1" ht="29" x14ac:dyDescent="0.35">
      <c r="A6" s="15"/>
      <c r="B6" s="35">
        <v>44139</v>
      </c>
      <c r="C6" s="14">
        <v>2</v>
      </c>
      <c r="D6" s="39" t="s">
        <v>2614</v>
      </c>
      <c r="E6" s="17" t="s">
        <v>3558</v>
      </c>
      <c r="F6" s="74" t="s">
        <v>13</v>
      </c>
      <c r="G6" s="14" t="s">
        <v>3559</v>
      </c>
      <c r="H6" s="14" t="s">
        <v>1793</v>
      </c>
      <c r="I6" s="144" t="s">
        <v>39</v>
      </c>
      <c r="J6" s="17" t="s">
        <v>1471</v>
      </c>
      <c r="K6" s="17" t="s">
        <v>1472</v>
      </c>
      <c r="L6" s="14" t="s">
        <v>2</v>
      </c>
      <c r="M6" s="37">
        <v>8116841487</v>
      </c>
      <c r="N6" s="38">
        <v>868998039551854</v>
      </c>
      <c r="O6" s="38" t="s">
        <v>39</v>
      </c>
      <c r="P6" s="14" t="s">
        <v>825</v>
      </c>
      <c r="Q6" s="39" t="s">
        <v>1538</v>
      </c>
      <c r="R6" s="40">
        <v>1999.84</v>
      </c>
      <c r="S6" s="41" t="s">
        <v>1504</v>
      </c>
      <c r="T6" s="42">
        <v>44140</v>
      </c>
      <c r="U6" s="43">
        <v>44148</v>
      </c>
      <c r="V6" s="44"/>
      <c r="W6" s="15"/>
    </row>
    <row r="7" spans="1:23" s="34" customFormat="1" ht="29" x14ac:dyDescent="0.35">
      <c r="A7" s="15"/>
      <c r="B7" s="35">
        <v>44140</v>
      </c>
      <c r="C7" s="14">
        <v>3</v>
      </c>
      <c r="D7" s="89" t="s">
        <v>2613</v>
      </c>
      <c r="E7" s="14" t="s">
        <v>1021</v>
      </c>
      <c r="F7" s="74" t="s">
        <v>6</v>
      </c>
      <c r="G7" s="14" t="s">
        <v>823</v>
      </c>
      <c r="H7" s="28" t="s">
        <v>1792</v>
      </c>
      <c r="I7" s="143" t="s">
        <v>39</v>
      </c>
      <c r="J7" s="14" t="s">
        <v>3557</v>
      </c>
      <c r="K7" s="14" t="s">
        <v>1030</v>
      </c>
      <c r="L7" s="14" t="s">
        <v>728</v>
      </c>
      <c r="M7" s="14" t="str">
        <f>"345901000784179"</f>
        <v>345901000784179</v>
      </c>
      <c r="N7" s="38">
        <v>864893039428100</v>
      </c>
      <c r="O7" s="38" t="s">
        <v>39</v>
      </c>
      <c r="P7" s="14" t="s">
        <v>799</v>
      </c>
      <c r="Q7" s="14" t="s">
        <v>2630</v>
      </c>
      <c r="R7" s="40">
        <v>754</v>
      </c>
      <c r="S7" s="31" t="s">
        <v>3555</v>
      </c>
      <c r="T7" s="32" t="s">
        <v>3556</v>
      </c>
      <c r="U7" s="43">
        <v>44148</v>
      </c>
      <c r="V7" s="15"/>
      <c r="W7" s="15"/>
    </row>
    <row r="8" spans="1:23" s="34" customFormat="1" ht="29" x14ac:dyDescent="0.35">
      <c r="A8" s="15"/>
      <c r="B8" s="35">
        <v>44140</v>
      </c>
      <c r="C8" s="14">
        <v>4</v>
      </c>
      <c r="D8" s="85" t="s">
        <v>3650</v>
      </c>
      <c r="E8" s="14" t="s">
        <v>824</v>
      </c>
      <c r="F8" s="74" t="s">
        <v>138</v>
      </c>
      <c r="G8" s="14" t="s">
        <v>823</v>
      </c>
      <c r="H8" s="28" t="s">
        <v>1792</v>
      </c>
      <c r="I8" s="143" t="s">
        <v>39</v>
      </c>
      <c r="J8" s="14" t="s">
        <v>3557</v>
      </c>
      <c r="K8" s="14" t="s">
        <v>1031</v>
      </c>
      <c r="L8" s="14" t="s">
        <v>728</v>
      </c>
      <c r="M8" s="38" t="str">
        <f>"345901000784179"</f>
        <v>345901000784179</v>
      </c>
      <c r="N8" s="38">
        <v>864893039428100</v>
      </c>
      <c r="O8" s="38" t="s">
        <v>39</v>
      </c>
      <c r="P8" s="14" t="s">
        <v>3554</v>
      </c>
      <c r="Q8" s="17" t="s">
        <v>4174</v>
      </c>
      <c r="R8" s="40">
        <v>696</v>
      </c>
      <c r="S8" s="19" t="s">
        <v>3584</v>
      </c>
      <c r="T8" s="14" t="s">
        <v>2629</v>
      </c>
      <c r="U8" s="43">
        <v>44148</v>
      </c>
      <c r="V8" s="44"/>
      <c r="W8" s="15"/>
    </row>
    <row r="9" spans="1:23" s="34" customFormat="1" ht="29" x14ac:dyDescent="0.35">
      <c r="A9" s="15"/>
      <c r="B9" s="35">
        <v>44141</v>
      </c>
      <c r="C9" s="14">
        <v>5</v>
      </c>
      <c r="D9" s="36" t="s">
        <v>2615</v>
      </c>
      <c r="E9" s="17" t="s">
        <v>2616</v>
      </c>
      <c r="F9" s="74" t="s">
        <v>13</v>
      </c>
      <c r="G9" s="14" t="s">
        <v>39</v>
      </c>
      <c r="H9" s="14" t="s">
        <v>814</v>
      </c>
      <c r="I9" s="144" t="s">
        <v>39</v>
      </c>
      <c r="J9" s="17" t="s">
        <v>1473</v>
      </c>
      <c r="K9" s="14" t="s">
        <v>1032</v>
      </c>
      <c r="L9" s="14" t="s">
        <v>2</v>
      </c>
      <c r="M9" s="38" t="str">
        <f>"345901012158940"</f>
        <v>345901012158940</v>
      </c>
      <c r="N9" s="38">
        <v>865011032760127</v>
      </c>
      <c r="O9" s="38" t="s">
        <v>3561</v>
      </c>
      <c r="P9" s="14" t="s">
        <v>3560</v>
      </c>
      <c r="Q9" s="39" t="s">
        <v>1538</v>
      </c>
      <c r="R9" s="40">
        <v>1999.84</v>
      </c>
      <c r="S9" s="41" t="s">
        <v>1504</v>
      </c>
      <c r="T9" s="42">
        <v>44140</v>
      </c>
      <c r="U9" s="43">
        <v>44148</v>
      </c>
      <c r="V9" s="15"/>
      <c r="W9" s="15"/>
    </row>
    <row r="10" spans="1:23" s="34" customFormat="1" ht="29" x14ac:dyDescent="0.35">
      <c r="A10" s="15"/>
      <c r="B10" s="35">
        <v>44141</v>
      </c>
      <c r="C10" s="14">
        <v>6</v>
      </c>
      <c r="D10" s="85" t="s">
        <v>3652</v>
      </c>
      <c r="E10" s="14" t="s">
        <v>627</v>
      </c>
      <c r="F10" s="74" t="s">
        <v>13</v>
      </c>
      <c r="G10" s="14" t="s">
        <v>822</v>
      </c>
      <c r="H10" s="14" t="s">
        <v>1793</v>
      </c>
      <c r="I10" s="144" t="s">
        <v>39</v>
      </c>
      <c r="J10" s="14" t="s">
        <v>3562</v>
      </c>
      <c r="K10" s="14" t="s">
        <v>1033</v>
      </c>
      <c r="L10" s="14" t="s">
        <v>2</v>
      </c>
      <c r="M10" s="38" t="str">
        <f>"345901012158942"</f>
        <v>345901012158942</v>
      </c>
      <c r="N10" s="38" t="s">
        <v>2617</v>
      </c>
      <c r="O10" s="38" t="s">
        <v>821</v>
      </c>
      <c r="P10" s="14" t="s">
        <v>39</v>
      </c>
      <c r="Q10" s="17" t="s">
        <v>4174</v>
      </c>
      <c r="R10" s="40">
        <v>1999.84</v>
      </c>
      <c r="S10" s="19" t="s">
        <v>3584</v>
      </c>
      <c r="T10" s="42">
        <v>44140</v>
      </c>
      <c r="U10" s="43">
        <v>44148</v>
      </c>
      <c r="V10" s="44"/>
      <c r="W10" s="15"/>
    </row>
    <row r="11" spans="1:23" s="34" customFormat="1" ht="29" x14ac:dyDescent="0.35">
      <c r="A11" s="15"/>
      <c r="B11" s="35">
        <v>44144</v>
      </c>
      <c r="C11" s="14">
        <v>7</v>
      </c>
      <c r="D11" s="39" t="s">
        <v>2619</v>
      </c>
      <c r="E11" s="14" t="s">
        <v>2618</v>
      </c>
      <c r="F11" s="74" t="s">
        <v>13</v>
      </c>
      <c r="G11" s="14" t="s">
        <v>39</v>
      </c>
      <c r="H11" s="14" t="s">
        <v>1793</v>
      </c>
      <c r="I11" s="145" t="s">
        <v>39</v>
      </c>
      <c r="J11" s="17" t="s">
        <v>1474</v>
      </c>
      <c r="K11" s="14" t="s">
        <v>1034</v>
      </c>
      <c r="L11" s="14" t="s">
        <v>728</v>
      </c>
      <c r="M11" s="37">
        <v>345901012163828</v>
      </c>
      <c r="N11" s="37">
        <v>864893039429033</v>
      </c>
      <c r="O11" s="14" t="s">
        <v>521</v>
      </c>
      <c r="P11" s="14" t="s">
        <v>39</v>
      </c>
      <c r="Q11" s="14" t="s">
        <v>8</v>
      </c>
      <c r="R11" s="40">
        <v>1999.84</v>
      </c>
      <c r="S11" s="41" t="s">
        <v>2877</v>
      </c>
      <c r="T11" s="41" t="s">
        <v>2878</v>
      </c>
      <c r="U11" s="45"/>
      <c r="V11" s="15"/>
      <c r="W11" s="15"/>
    </row>
    <row r="12" spans="1:23" s="34" customFormat="1" ht="29" x14ac:dyDescent="0.35">
      <c r="A12" s="15"/>
      <c r="B12" s="35">
        <v>44144</v>
      </c>
      <c r="C12" s="14">
        <v>8</v>
      </c>
      <c r="D12" s="74">
        <v>101</v>
      </c>
      <c r="E12" s="14" t="s">
        <v>1102</v>
      </c>
      <c r="F12" s="74" t="s">
        <v>36</v>
      </c>
      <c r="G12" s="14" t="s">
        <v>39</v>
      </c>
      <c r="H12" s="14" t="s">
        <v>820</v>
      </c>
      <c r="I12" s="144" t="s">
        <v>39</v>
      </c>
      <c r="J12" s="14" t="s">
        <v>808</v>
      </c>
      <c r="K12" s="14" t="s">
        <v>1035</v>
      </c>
      <c r="L12" s="14" t="s">
        <v>2</v>
      </c>
      <c r="M12" s="14" t="s">
        <v>39</v>
      </c>
      <c r="N12" s="38" t="s">
        <v>39</v>
      </c>
      <c r="O12" s="38" t="s">
        <v>39</v>
      </c>
      <c r="P12" s="14" t="s">
        <v>819</v>
      </c>
      <c r="Q12" s="14" t="s">
        <v>818</v>
      </c>
      <c r="R12" s="40">
        <v>522</v>
      </c>
      <c r="S12" s="14" t="s">
        <v>1102</v>
      </c>
      <c r="T12" s="42">
        <v>44151</v>
      </c>
      <c r="U12" s="45"/>
      <c r="V12" s="15"/>
      <c r="W12" s="15"/>
    </row>
    <row r="13" spans="1:23" s="34" customFormat="1" ht="29" x14ac:dyDescent="0.35">
      <c r="A13" s="15"/>
      <c r="B13" s="35">
        <v>44147</v>
      </c>
      <c r="C13" s="14">
        <v>9</v>
      </c>
      <c r="D13" s="85" t="s">
        <v>3654</v>
      </c>
      <c r="E13" s="14" t="s">
        <v>627</v>
      </c>
      <c r="F13" s="74" t="s">
        <v>13</v>
      </c>
      <c r="G13" s="14" t="s">
        <v>39</v>
      </c>
      <c r="H13" s="14" t="s">
        <v>226</v>
      </c>
      <c r="I13" s="144" t="s">
        <v>39</v>
      </c>
      <c r="J13" s="14" t="s">
        <v>26</v>
      </c>
      <c r="K13" s="14" t="s">
        <v>1036</v>
      </c>
      <c r="L13" s="14" t="s">
        <v>728</v>
      </c>
      <c r="M13" s="38">
        <v>8118249612</v>
      </c>
      <c r="N13" s="38">
        <v>865011031968572</v>
      </c>
      <c r="O13" s="14" t="s">
        <v>817</v>
      </c>
      <c r="P13" s="14" t="s">
        <v>39</v>
      </c>
      <c r="Q13" s="17" t="s">
        <v>4174</v>
      </c>
      <c r="R13" s="40">
        <v>1999.84</v>
      </c>
      <c r="S13" s="19" t="s">
        <v>3584</v>
      </c>
      <c r="T13" s="42">
        <v>44151</v>
      </c>
      <c r="U13" s="45"/>
      <c r="V13" s="15"/>
      <c r="W13" s="15"/>
    </row>
    <row r="14" spans="1:23" s="34" customFormat="1" ht="29" x14ac:dyDescent="0.35">
      <c r="A14" s="15"/>
      <c r="B14" s="35">
        <v>44148</v>
      </c>
      <c r="C14" s="14">
        <v>10</v>
      </c>
      <c r="D14" s="39" t="s">
        <v>2620</v>
      </c>
      <c r="E14" s="14" t="s">
        <v>3564</v>
      </c>
      <c r="F14" s="74" t="s">
        <v>13</v>
      </c>
      <c r="G14" s="14" t="s">
        <v>39</v>
      </c>
      <c r="H14" s="14" t="s">
        <v>310</v>
      </c>
      <c r="I14" s="144" t="s">
        <v>39</v>
      </c>
      <c r="J14" s="14" t="s">
        <v>3565</v>
      </c>
      <c r="K14" s="14" t="s">
        <v>1037</v>
      </c>
      <c r="L14" s="14" t="s">
        <v>2</v>
      </c>
      <c r="M14" s="37">
        <v>345901012158881</v>
      </c>
      <c r="N14" s="38">
        <v>865011032759343</v>
      </c>
      <c r="O14" s="38" t="s">
        <v>309</v>
      </c>
      <c r="P14" s="14" t="s">
        <v>39</v>
      </c>
      <c r="Q14" s="14" t="s">
        <v>8</v>
      </c>
      <c r="R14" s="40">
        <v>1999.84</v>
      </c>
      <c r="S14" s="41" t="s">
        <v>1024</v>
      </c>
      <c r="T14" s="42">
        <v>44151</v>
      </c>
      <c r="U14" s="45"/>
      <c r="V14" s="15"/>
      <c r="W14" s="15"/>
    </row>
    <row r="15" spans="1:23" s="34" customFormat="1" ht="29" x14ac:dyDescent="0.35">
      <c r="A15" s="15"/>
      <c r="B15" s="35">
        <v>44149</v>
      </c>
      <c r="C15" s="14">
        <v>11</v>
      </c>
      <c r="D15" s="36" t="s">
        <v>2622</v>
      </c>
      <c r="E15" s="17" t="s">
        <v>2621</v>
      </c>
      <c r="F15" s="74" t="s">
        <v>13</v>
      </c>
      <c r="G15" s="14" t="s">
        <v>39</v>
      </c>
      <c r="H15" s="14" t="s">
        <v>3567</v>
      </c>
      <c r="I15" s="144" t="s">
        <v>39</v>
      </c>
      <c r="J15" s="17" t="s">
        <v>1475</v>
      </c>
      <c r="K15" s="17" t="s">
        <v>1476</v>
      </c>
      <c r="L15" s="14" t="s">
        <v>2</v>
      </c>
      <c r="M15" s="38">
        <v>345901012159559</v>
      </c>
      <c r="N15" s="38">
        <v>865011032759806</v>
      </c>
      <c r="O15" s="14" t="s">
        <v>816</v>
      </c>
      <c r="P15" s="14" t="s">
        <v>39</v>
      </c>
      <c r="Q15" s="39" t="s">
        <v>2559</v>
      </c>
      <c r="R15" s="40">
        <v>1999.84</v>
      </c>
      <c r="S15" s="41" t="s">
        <v>1504</v>
      </c>
      <c r="T15" s="42">
        <v>44172</v>
      </c>
      <c r="U15" s="45"/>
      <c r="V15" s="44"/>
      <c r="W15" s="15"/>
    </row>
    <row r="16" spans="1:23" s="34" customFormat="1" ht="29" x14ac:dyDescent="0.35">
      <c r="A16" s="15"/>
      <c r="B16" s="35">
        <v>44155</v>
      </c>
      <c r="C16" s="14">
        <v>12</v>
      </c>
      <c r="D16" s="85" t="s">
        <v>3656</v>
      </c>
      <c r="E16" s="14" t="s">
        <v>627</v>
      </c>
      <c r="F16" s="74" t="s">
        <v>13</v>
      </c>
      <c r="G16" s="14" t="s">
        <v>39</v>
      </c>
      <c r="H16" s="14" t="s">
        <v>473</v>
      </c>
      <c r="I16" s="144" t="s">
        <v>39</v>
      </c>
      <c r="J16" s="14" t="s">
        <v>3568</v>
      </c>
      <c r="K16" s="14" t="s">
        <v>1038</v>
      </c>
      <c r="L16" s="14" t="s">
        <v>2</v>
      </c>
      <c r="M16" s="38">
        <v>8116842380</v>
      </c>
      <c r="N16" s="38">
        <v>864893039428480</v>
      </c>
      <c r="O16" s="38" t="s">
        <v>3569</v>
      </c>
      <c r="P16" s="14" t="s">
        <v>3570</v>
      </c>
      <c r="Q16" s="17" t="s">
        <v>4174</v>
      </c>
      <c r="R16" s="40">
        <v>1999.84</v>
      </c>
      <c r="S16" s="19" t="s">
        <v>3584</v>
      </c>
      <c r="T16" s="42">
        <v>44172</v>
      </c>
      <c r="U16" s="45"/>
      <c r="V16" s="15"/>
      <c r="W16" s="15"/>
    </row>
    <row r="17" spans="1:23" s="34" customFormat="1" ht="29" x14ac:dyDescent="0.35">
      <c r="A17" s="15"/>
      <c r="B17" s="35">
        <v>44158</v>
      </c>
      <c r="C17" s="14">
        <v>13</v>
      </c>
      <c r="D17" s="85" t="s">
        <v>3331</v>
      </c>
      <c r="E17" s="14" t="s">
        <v>627</v>
      </c>
      <c r="F17" s="74" t="s">
        <v>13</v>
      </c>
      <c r="G17" s="14" t="s">
        <v>39</v>
      </c>
      <c r="H17" s="28" t="s">
        <v>1792</v>
      </c>
      <c r="I17" s="143" t="s">
        <v>39</v>
      </c>
      <c r="J17" s="17" t="s">
        <v>3332</v>
      </c>
      <c r="K17" s="14" t="s">
        <v>1039</v>
      </c>
      <c r="L17" s="14" t="s">
        <v>728</v>
      </c>
      <c r="M17" s="38">
        <v>345901012164813</v>
      </c>
      <c r="N17" s="38">
        <v>865011032759038</v>
      </c>
      <c r="O17" s="38" t="s">
        <v>815</v>
      </c>
      <c r="P17" s="55" t="s">
        <v>3333</v>
      </c>
      <c r="Q17" s="17" t="s">
        <v>2559</v>
      </c>
      <c r="R17" s="40">
        <v>1999.84</v>
      </c>
      <c r="S17" s="19" t="s">
        <v>3329</v>
      </c>
      <c r="T17" s="42">
        <v>44172</v>
      </c>
      <c r="U17" s="45"/>
      <c r="V17" s="15"/>
      <c r="W17" s="15"/>
    </row>
    <row r="18" spans="1:23" s="34" customFormat="1" ht="29" x14ac:dyDescent="0.35">
      <c r="A18" s="15"/>
      <c r="B18" s="35">
        <v>44159</v>
      </c>
      <c r="C18" s="14">
        <v>14</v>
      </c>
      <c r="D18" s="74">
        <v>107</v>
      </c>
      <c r="E18" s="14" t="s">
        <v>1023</v>
      </c>
      <c r="F18" s="74" t="s">
        <v>36</v>
      </c>
      <c r="G18" s="14" t="s">
        <v>39</v>
      </c>
      <c r="H18" s="14" t="s">
        <v>814</v>
      </c>
      <c r="I18" s="144" t="s">
        <v>39</v>
      </c>
      <c r="J18" s="14" t="s">
        <v>813</v>
      </c>
      <c r="K18" s="14" t="s">
        <v>1008</v>
      </c>
      <c r="L18" s="14" t="s">
        <v>2</v>
      </c>
      <c r="M18" s="14" t="s">
        <v>39</v>
      </c>
      <c r="N18" s="38">
        <v>863844050057683</v>
      </c>
      <c r="O18" s="38" t="s">
        <v>3571</v>
      </c>
      <c r="P18" s="14" t="s">
        <v>3572</v>
      </c>
      <c r="Q18" s="14" t="s">
        <v>39</v>
      </c>
      <c r="R18" s="40">
        <v>522</v>
      </c>
      <c r="S18" s="14" t="s">
        <v>1023</v>
      </c>
      <c r="T18" s="42">
        <v>44172</v>
      </c>
      <c r="U18" s="45"/>
      <c r="V18" s="15"/>
      <c r="W18" s="15"/>
    </row>
    <row r="19" spans="1:23" s="34" customFormat="1" ht="29" x14ac:dyDescent="0.35">
      <c r="A19" s="15"/>
      <c r="B19" s="35">
        <v>44162</v>
      </c>
      <c r="C19" s="14">
        <v>15</v>
      </c>
      <c r="D19" s="39" t="s">
        <v>2624</v>
      </c>
      <c r="E19" s="14" t="s">
        <v>3573</v>
      </c>
      <c r="F19" s="74" t="s">
        <v>13</v>
      </c>
      <c r="G19" s="14" t="s">
        <v>39</v>
      </c>
      <c r="H19" s="14" t="s">
        <v>85</v>
      </c>
      <c r="I19" s="144" t="s">
        <v>39</v>
      </c>
      <c r="J19" s="14" t="s">
        <v>635</v>
      </c>
      <c r="K19" s="14" t="s">
        <v>1040</v>
      </c>
      <c r="L19" s="14" t="s">
        <v>2</v>
      </c>
      <c r="M19" s="38">
        <v>345901012163836</v>
      </c>
      <c r="N19" s="38">
        <v>864403043556076</v>
      </c>
      <c r="O19" s="38" t="s">
        <v>3575</v>
      </c>
      <c r="P19" s="14" t="s">
        <v>3574</v>
      </c>
      <c r="Q19" s="39" t="s">
        <v>2559</v>
      </c>
      <c r="R19" s="40">
        <v>1999.84</v>
      </c>
      <c r="S19" s="41" t="s">
        <v>624</v>
      </c>
      <c r="T19" s="42">
        <v>44172</v>
      </c>
      <c r="U19" s="45"/>
      <c r="V19" s="15"/>
      <c r="W19" s="15"/>
    </row>
    <row r="20" spans="1:23" s="34" customFormat="1" ht="29" x14ac:dyDescent="0.35">
      <c r="A20" s="15"/>
      <c r="B20" s="35">
        <v>44163</v>
      </c>
      <c r="C20" s="14">
        <v>16</v>
      </c>
      <c r="D20" s="85" t="s">
        <v>3583</v>
      </c>
      <c r="E20" s="14" t="s">
        <v>627</v>
      </c>
      <c r="F20" s="74" t="s">
        <v>180</v>
      </c>
      <c r="G20" s="14" t="s">
        <v>2195</v>
      </c>
      <c r="H20" s="47">
        <v>43738</v>
      </c>
      <c r="I20" s="144" t="s">
        <v>39</v>
      </c>
      <c r="J20" s="14" t="s">
        <v>3576</v>
      </c>
      <c r="K20" s="14" t="s">
        <v>1041</v>
      </c>
      <c r="L20" s="14" t="s">
        <v>622</v>
      </c>
      <c r="M20" s="38">
        <v>8122020429</v>
      </c>
      <c r="N20" s="38">
        <v>864895032914515</v>
      </c>
      <c r="O20" s="38" t="s">
        <v>39</v>
      </c>
      <c r="P20" s="14" t="s">
        <v>39</v>
      </c>
      <c r="Q20" s="17" t="s">
        <v>3586</v>
      </c>
      <c r="R20" s="40">
        <v>522</v>
      </c>
      <c r="S20" s="19" t="s">
        <v>3584</v>
      </c>
      <c r="T20" s="42">
        <v>44172</v>
      </c>
      <c r="U20" s="45"/>
      <c r="V20" s="48"/>
      <c r="W20" s="15"/>
    </row>
    <row r="21" spans="1:23" s="34" customFormat="1" ht="29" x14ac:dyDescent="0.35">
      <c r="A21" s="15"/>
      <c r="B21" s="35">
        <v>44163</v>
      </c>
      <c r="C21" s="14">
        <v>17</v>
      </c>
      <c r="D21" s="85" t="s">
        <v>3623</v>
      </c>
      <c r="E21" s="14" t="s">
        <v>627</v>
      </c>
      <c r="F21" s="74" t="s">
        <v>180</v>
      </c>
      <c r="G21" s="14" t="s">
        <v>2195</v>
      </c>
      <c r="H21" s="47">
        <v>43753</v>
      </c>
      <c r="I21" s="144" t="s">
        <v>39</v>
      </c>
      <c r="J21" s="14" t="s">
        <v>3577</v>
      </c>
      <c r="K21" s="14" t="s">
        <v>1042</v>
      </c>
      <c r="L21" s="14" t="s">
        <v>622</v>
      </c>
      <c r="M21" s="38">
        <v>8122020592</v>
      </c>
      <c r="N21" s="38">
        <v>864895032914846</v>
      </c>
      <c r="O21" s="38" t="s">
        <v>39</v>
      </c>
      <c r="P21" s="14" t="s">
        <v>39</v>
      </c>
      <c r="Q21" s="17" t="s">
        <v>3586</v>
      </c>
      <c r="R21" s="40">
        <v>522</v>
      </c>
      <c r="S21" s="19" t="s">
        <v>3584</v>
      </c>
      <c r="T21" s="42">
        <v>44172</v>
      </c>
      <c r="U21" s="45"/>
      <c r="V21" s="48"/>
      <c r="W21" s="15"/>
    </row>
    <row r="22" spans="1:23" s="34" customFormat="1" ht="29" x14ac:dyDescent="0.35">
      <c r="A22" s="15"/>
      <c r="B22" s="35">
        <v>44163</v>
      </c>
      <c r="C22" s="14">
        <v>18</v>
      </c>
      <c r="D22" s="85" t="s">
        <v>3624</v>
      </c>
      <c r="E22" s="14" t="s">
        <v>627</v>
      </c>
      <c r="F22" s="74" t="s">
        <v>180</v>
      </c>
      <c r="G22" s="14" t="s">
        <v>2195</v>
      </c>
      <c r="H22" s="47">
        <v>43738</v>
      </c>
      <c r="I22" s="144" t="s">
        <v>39</v>
      </c>
      <c r="J22" s="17" t="s">
        <v>3625</v>
      </c>
      <c r="K22" s="14" t="s">
        <v>1005</v>
      </c>
      <c r="L22" s="14" t="s">
        <v>622</v>
      </c>
      <c r="M22" s="38">
        <v>8122020419</v>
      </c>
      <c r="N22" s="38">
        <v>864895032915207</v>
      </c>
      <c r="O22" s="38" t="s">
        <v>39</v>
      </c>
      <c r="P22" s="14" t="s">
        <v>39</v>
      </c>
      <c r="Q22" s="17" t="s">
        <v>3586</v>
      </c>
      <c r="R22" s="40">
        <v>522</v>
      </c>
      <c r="S22" s="19" t="s">
        <v>3584</v>
      </c>
      <c r="T22" s="42">
        <v>44172</v>
      </c>
      <c r="U22" s="45"/>
      <c r="V22" s="15"/>
      <c r="W22" s="15"/>
    </row>
    <row r="23" spans="1:23" s="34" customFormat="1" ht="29" x14ac:dyDescent="0.35">
      <c r="A23" s="15"/>
      <c r="B23" s="35">
        <v>44163</v>
      </c>
      <c r="C23" s="14">
        <v>19</v>
      </c>
      <c r="D23" s="85" t="s">
        <v>3626</v>
      </c>
      <c r="E23" s="14" t="s">
        <v>627</v>
      </c>
      <c r="F23" s="74" t="s">
        <v>180</v>
      </c>
      <c r="G23" s="14" t="s">
        <v>2195</v>
      </c>
      <c r="H23" s="47">
        <v>43753</v>
      </c>
      <c r="I23" s="144" t="s">
        <v>39</v>
      </c>
      <c r="J23" s="17" t="s">
        <v>4175</v>
      </c>
      <c r="K23" s="14" t="s">
        <v>1007</v>
      </c>
      <c r="L23" s="14" t="s">
        <v>622</v>
      </c>
      <c r="M23" s="38">
        <v>8122020622</v>
      </c>
      <c r="N23" s="38">
        <v>864895032917476</v>
      </c>
      <c r="O23" s="38" t="s">
        <v>39</v>
      </c>
      <c r="P23" s="14" t="s">
        <v>39</v>
      </c>
      <c r="Q23" s="17" t="s">
        <v>4174</v>
      </c>
      <c r="R23" s="40">
        <v>522</v>
      </c>
      <c r="S23" s="19" t="s">
        <v>3584</v>
      </c>
      <c r="T23" s="42">
        <v>44172</v>
      </c>
      <c r="U23" s="45"/>
      <c r="V23" s="44"/>
      <c r="W23" s="15"/>
    </row>
    <row r="24" spans="1:23" s="34" customFormat="1" ht="29" x14ac:dyDescent="0.35">
      <c r="A24" s="15"/>
      <c r="B24" s="35">
        <v>44163</v>
      </c>
      <c r="C24" s="14">
        <v>20</v>
      </c>
      <c r="D24" s="85" t="s">
        <v>3627</v>
      </c>
      <c r="E24" s="14" t="s">
        <v>627</v>
      </c>
      <c r="F24" s="74" t="s">
        <v>180</v>
      </c>
      <c r="G24" s="14" t="s">
        <v>2195</v>
      </c>
      <c r="H24" s="14" t="s">
        <v>812</v>
      </c>
      <c r="I24" s="144"/>
      <c r="J24" s="17" t="s">
        <v>3628</v>
      </c>
      <c r="K24" s="14" t="s">
        <v>1006</v>
      </c>
      <c r="L24" s="14" t="s">
        <v>622</v>
      </c>
      <c r="M24" s="38">
        <v>8122020979</v>
      </c>
      <c r="N24" s="38">
        <v>864895032917617</v>
      </c>
      <c r="O24" s="38" t="s">
        <v>39</v>
      </c>
      <c r="P24" s="14" t="s">
        <v>39</v>
      </c>
      <c r="Q24" s="17" t="s">
        <v>4174</v>
      </c>
      <c r="R24" s="40">
        <v>522</v>
      </c>
      <c r="S24" s="19" t="s">
        <v>3584</v>
      </c>
      <c r="T24" s="42">
        <v>44172</v>
      </c>
      <c r="U24" s="45"/>
      <c r="V24" s="15"/>
      <c r="W24" s="15"/>
    </row>
    <row r="25" spans="1:23" s="34" customFormat="1" ht="29" x14ac:dyDescent="0.35">
      <c r="A25" s="15"/>
      <c r="B25" s="35">
        <v>44163</v>
      </c>
      <c r="C25" s="14">
        <v>21</v>
      </c>
      <c r="D25" s="74" t="str">
        <f>"006"</f>
        <v>006</v>
      </c>
      <c r="E25" s="14" t="s">
        <v>627</v>
      </c>
      <c r="F25" s="74" t="s">
        <v>180</v>
      </c>
      <c r="G25" s="14" t="s">
        <v>2195</v>
      </c>
      <c r="H25" s="47">
        <v>43753</v>
      </c>
      <c r="I25" s="144"/>
      <c r="J25" s="14" t="s">
        <v>811</v>
      </c>
      <c r="K25" s="14" t="s">
        <v>1010</v>
      </c>
      <c r="L25" s="14" t="s">
        <v>622</v>
      </c>
      <c r="M25" s="38">
        <v>8114975118</v>
      </c>
      <c r="N25" s="38">
        <v>864895032918599</v>
      </c>
      <c r="O25" s="38"/>
      <c r="P25" s="14" t="s">
        <v>621</v>
      </c>
      <c r="Q25" s="14" t="s">
        <v>8</v>
      </c>
      <c r="R25" s="40">
        <v>522</v>
      </c>
      <c r="S25" s="41">
        <v>174</v>
      </c>
      <c r="T25" s="42">
        <v>44172</v>
      </c>
      <c r="U25" s="45"/>
      <c r="V25" s="44"/>
      <c r="W25" s="15"/>
    </row>
    <row r="26" spans="1:23" s="34" customFormat="1" ht="29" x14ac:dyDescent="0.35">
      <c r="A26" s="15"/>
      <c r="B26" s="35">
        <v>44163</v>
      </c>
      <c r="C26" s="14">
        <v>22</v>
      </c>
      <c r="D26" s="85" t="s">
        <v>3631</v>
      </c>
      <c r="E26" s="14" t="s">
        <v>810</v>
      </c>
      <c r="F26" s="74" t="s">
        <v>180</v>
      </c>
      <c r="G26" s="14" t="s">
        <v>2195</v>
      </c>
      <c r="H26" s="47">
        <v>43753</v>
      </c>
      <c r="I26" s="144" t="s">
        <v>39</v>
      </c>
      <c r="J26" s="17" t="s">
        <v>3633</v>
      </c>
      <c r="K26" s="14" t="s">
        <v>1009</v>
      </c>
      <c r="L26" s="14" t="s">
        <v>622</v>
      </c>
      <c r="M26" s="38">
        <v>8115840550</v>
      </c>
      <c r="N26" s="38">
        <v>864895032914481</v>
      </c>
      <c r="O26" s="38" t="s">
        <v>39</v>
      </c>
      <c r="P26" s="14" t="s">
        <v>39</v>
      </c>
      <c r="Q26" s="17" t="s">
        <v>4174</v>
      </c>
      <c r="R26" s="40">
        <v>522</v>
      </c>
      <c r="S26" s="19" t="s">
        <v>3584</v>
      </c>
      <c r="T26" s="42">
        <v>44172</v>
      </c>
      <c r="U26" s="45"/>
      <c r="V26" s="44"/>
      <c r="W26" s="15"/>
    </row>
    <row r="27" spans="1:23" s="34" customFormat="1" ht="29" x14ac:dyDescent="0.35">
      <c r="A27" s="15"/>
      <c r="B27" s="35">
        <v>44163</v>
      </c>
      <c r="C27" s="14">
        <v>23</v>
      </c>
      <c r="D27" s="39" t="s">
        <v>2625</v>
      </c>
      <c r="E27" s="14" t="s">
        <v>2791</v>
      </c>
      <c r="F27" s="74" t="s">
        <v>180</v>
      </c>
      <c r="G27" s="14" t="s">
        <v>2195</v>
      </c>
      <c r="H27" s="47">
        <v>43753</v>
      </c>
      <c r="I27" s="144"/>
      <c r="J27" s="14" t="s">
        <v>623</v>
      </c>
      <c r="K27" s="14" t="s">
        <v>1011</v>
      </c>
      <c r="L27" s="14" t="s">
        <v>622</v>
      </c>
      <c r="M27" s="38">
        <v>8181619733</v>
      </c>
      <c r="N27" s="38">
        <v>864895032919639</v>
      </c>
      <c r="O27" s="38"/>
      <c r="P27" s="14" t="s">
        <v>621</v>
      </c>
      <c r="Q27" s="14" t="s">
        <v>8</v>
      </c>
      <c r="R27" s="40">
        <v>522</v>
      </c>
      <c r="S27" s="41" t="s">
        <v>624</v>
      </c>
      <c r="T27" s="42">
        <v>44172</v>
      </c>
      <c r="U27" s="45"/>
      <c r="V27" s="15"/>
      <c r="W27" s="15"/>
    </row>
    <row r="28" spans="1:23" s="34" customFormat="1" ht="29" x14ac:dyDescent="0.35">
      <c r="A28" s="15"/>
      <c r="B28" s="35">
        <v>44163</v>
      </c>
      <c r="C28" s="14">
        <v>24</v>
      </c>
      <c r="D28" s="85" t="s">
        <v>3632</v>
      </c>
      <c r="E28" s="14" t="s">
        <v>809</v>
      </c>
      <c r="F28" s="74" t="s">
        <v>180</v>
      </c>
      <c r="G28" s="14" t="s">
        <v>2195</v>
      </c>
      <c r="H28" s="47">
        <v>43769</v>
      </c>
      <c r="I28" s="144"/>
      <c r="J28" s="17" t="s">
        <v>3634</v>
      </c>
      <c r="K28" s="14" t="s">
        <v>1012</v>
      </c>
      <c r="L28" s="14" t="s">
        <v>622</v>
      </c>
      <c r="M28" s="38">
        <v>8182520097</v>
      </c>
      <c r="N28" s="38">
        <v>864895032915280</v>
      </c>
      <c r="O28" s="38" t="s">
        <v>39</v>
      </c>
      <c r="P28" s="14" t="s">
        <v>39</v>
      </c>
      <c r="Q28" s="17" t="s">
        <v>4174</v>
      </c>
      <c r="R28" s="40">
        <v>522</v>
      </c>
      <c r="S28" s="19" t="s">
        <v>3584</v>
      </c>
      <c r="T28" s="42">
        <v>44172</v>
      </c>
      <c r="U28" s="45"/>
      <c r="V28" s="44"/>
      <c r="W28" s="15"/>
    </row>
    <row r="29" spans="1:23" s="34" customFormat="1" ht="29" x14ac:dyDescent="0.35">
      <c r="A29" s="15"/>
      <c r="B29" s="35">
        <v>44163</v>
      </c>
      <c r="C29" s="14">
        <v>25</v>
      </c>
      <c r="D29" s="85" t="s">
        <v>3635</v>
      </c>
      <c r="E29" s="14" t="s">
        <v>627</v>
      </c>
      <c r="F29" s="74" t="s">
        <v>180</v>
      </c>
      <c r="G29" s="14" t="s">
        <v>2195</v>
      </c>
      <c r="H29" s="47">
        <v>43769</v>
      </c>
      <c r="I29" s="144"/>
      <c r="J29" s="17" t="s">
        <v>3636</v>
      </c>
      <c r="K29" s="14" t="s">
        <v>1013</v>
      </c>
      <c r="L29" s="14" t="s">
        <v>622</v>
      </c>
      <c r="M29" s="38">
        <v>8182520651</v>
      </c>
      <c r="N29" s="38">
        <v>864895033314723</v>
      </c>
      <c r="O29" s="38" t="s">
        <v>39</v>
      </c>
      <c r="P29" s="14" t="s">
        <v>39</v>
      </c>
      <c r="Q29" s="17" t="s">
        <v>4174</v>
      </c>
      <c r="R29" s="40">
        <v>522</v>
      </c>
      <c r="S29" s="19" t="s">
        <v>3584</v>
      </c>
      <c r="T29" s="42">
        <v>44172</v>
      </c>
      <c r="U29" s="45"/>
      <c r="V29" s="15"/>
      <c r="W29" s="15"/>
    </row>
    <row r="30" spans="1:23" s="34" customFormat="1" ht="29" x14ac:dyDescent="0.35">
      <c r="A30" s="15"/>
      <c r="B30" s="35">
        <v>44163</v>
      </c>
      <c r="C30" s="14">
        <v>26</v>
      </c>
      <c r="D30" s="85" t="s">
        <v>3637</v>
      </c>
      <c r="E30" s="14" t="s">
        <v>627</v>
      </c>
      <c r="F30" s="74" t="s">
        <v>180</v>
      </c>
      <c r="G30" s="14" t="s">
        <v>2195</v>
      </c>
      <c r="H30" s="47">
        <v>43784</v>
      </c>
      <c r="I30" s="144" t="s">
        <v>39</v>
      </c>
      <c r="J30" s="17" t="s">
        <v>3638</v>
      </c>
      <c r="K30" s="14" t="s">
        <v>1014</v>
      </c>
      <c r="L30" s="14" t="s">
        <v>622</v>
      </c>
      <c r="M30" s="38">
        <v>8182521489</v>
      </c>
      <c r="N30" s="38">
        <v>864895033314244</v>
      </c>
      <c r="O30" s="16" t="s">
        <v>39</v>
      </c>
      <c r="P30" s="17" t="s">
        <v>39</v>
      </c>
      <c r="Q30" s="17" t="s">
        <v>4174</v>
      </c>
      <c r="R30" s="40">
        <v>522</v>
      </c>
      <c r="S30" s="19" t="s">
        <v>3584</v>
      </c>
      <c r="T30" s="42">
        <v>44172</v>
      </c>
      <c r="U30" s="45"/>
      <c r="V30" s="15"/>
      <c r="W30" s="15"/>
    </row>
    <row r="31" spans="1:23" s="34" customFormat="1" ht="29" x14ac:dyDescent="0.35">
      <c r="A31" s="15"/>
      <c r="B31" s="35">
        <v>44163</v>
      </c>
      <c r="C31" s="14">
        <v>27</v>
      </c>
      <c r="D31" s="39" t="s">
        <v>2627</v>
      </c>
      <c r="E31" s="17" t="s">
        <v>2628</v>
      </c>
      <c r="F31" s="74" t="s">
        <v>180</v>
      </c>
      <c r="G31" s="14" t="s">
        <v>2195</v>
      </c>
      <c r="H31" s="47">
        <v>43784</v>
      </c>
      <c r="I31" s="144"/>
      <c r="J31" s="14" t="s">
        <v>808</v>
      </c>
      <c r="K31" s="14" t="s">
        <v>1503</v>
      </c>
      <c r="L31" s="14" t="s">
        <v>622</v>
      </c>
      <c r="M31" s="38">
        <v>8181622777</v>
      </c>
      <c r="N31" s="38">
        <v>864895033314798</v>
      </c>
      <c r="O31" s="38"/>
      <c r="P31" s="14" t="s">
        <v>621</v>
      </c>
      <c r="Q31" s="39" t="s">
        <v>2626</v>
      </c>
      <c r="R31" s="40">
        <v>522</v>
      </c>
      <c r="S31" s="41" t="s">
        <v>1504</v>
      </c>
      <c r="T31" s="42">
        <v>44172</v>
      </c>
      <c r="U31" s="45"/>
      <c r="V31" s="15"/>
      <c r="W31" s="15"/>
    </row>
    <row r="32" spans="1:23" s="34" customFormat="1" ht="29" x14ac:dyDescent="0.35">
      <c r="A32" s="15"/>
      <c r="B32" s="35">
        <v>44163</v>
      </c>
      <c r="C32" s="14">
        <v>28</v>
      </c>
      <c r="D32" s="36" t="s">
        <v>2201</v>
      </c>
      <c r="E32" s="14" t="s">
        <v>627</v>
      </c>
      <c r="F32" s="74" t="s">
        <v>180</v>
      </c>
      <c r="G32" s="14" t="s">
        <v>2195</v>
      </c>
      <c r="H32" s="47">
        <v>43783</v>
      </c>
      <c r="I32" s="144"/>
      <c r="J32" s="14" t="s">
        <v>807</v>
      </c>
      <c r="K32" s="14" t="s">
        <v>1015</v>
      </c>
      <c r="L32" s="14" t="s">
        <v>622</v>
      </c>
      <c r="M32" s="38">
        <v>8181620569</v>
      </c>
      <c r="N32" s="38">
        <v>864895033314855</v>
      </c>
      <c r="O32" s="38"/>
      <c r="P32" s="14" t="s">
        <v>621</v>
      </c>
      <c r="Q32" s="14" t="s">
        <v>8</v>
      </c>
      <c r="R32" s="40">
        <v>522</v>
      </c>
      <c r="S32" s="41" t="s">
        <v>2200</v>
      </c>
      <c r="T32" s="42">
        <v>44172</v>
      </c>
      <c r="U32" s="45"/>
      <c r="V32" s="44"/>
      <c r="W32" s="15"/>
    </row>
    <row r="33" spans="1:23" s="34" customFormat="1" ht="29" x14ac:dyDescent="0.35">
      <c r="A33" s="15"/>
      <c r="B33" s="35">
        <v>44163</v>
      </c>
      <c r="C33" s="14">
        <v>29</v>
      </c>
      <c r="D33" s="85" t="s">
        <v>3639</v>
      </c>
      <c r="E33" s="14" t="s">
        <v>639</v>
      </c>
      <c r="F33" s="74" t="s">
        <v>180</v>
      </c>
      <c r="G33" s="14" t="s">
        <v>2195</v>
      </c>
      <c r="H33" s="47">
        <v>43796</v>
      </c>
      <c r="I33" s="144" t="s">
        <v>39</v>
      </c>
      <c r="J33" s="17" t="s">
        <v>3640</v>
      </c>
      <c r="K33" s="14" t="s">
        <v>1016</v>
      </c>
      <c r="L33" s="14" t="s">
        <v>622</v>
      </c>
      <c r="M33" s="38">
        <v>8126385123</v>
      </c>
      <c r="N33" s="38">
        <v>864895033309954</v>
      </c>
      <c r="O33" s="16" t="s">
        <v>39</v>
      </c>
      <c r="P33" s="17" t="s">
        <v>39</v>
      </c>
      <c r="Q33" s="17" t="s">
        <v>4174</v>
      </c>
      <c r="R33" s="40">
        <v>522</v>
      </c>
      <c r="S33" s="19" t="s">
        <v>3584</v>
      </c>
      <c r="T33" s="42">
        <v>44172</v>
      </c>
      <c r="U33" s="45"/>
      <c r="V33" s="44"/>
      <c r="W33" s="15"/>
    </row>
    <row r="34" spans="1:23" s="34" customFormat="1" ht="29" x14ac:dyDescent="0.35">
      <c r="A34" s="15"/>
      <c r="B34" s="35">
        <v>44163</v>
      </c>
      <c r="C34" s="14">
        <v>30</v>
      </c>
      <c r="D34" s="85" t="s">
        <v>3641</v>
      </c>
      <c r="E34" s="14" t="s">
        <v>627</v>
      </c>
      <c r="F34" s="74" t="s">
        <v>180</v>
      </c>
      <c r="G34" s="14" t="s">
        <v>2195</v>
      </c>
      <c r="H34" s="47">
        <v>43798</v>
      </c>
      <c r="I34" s="144" t="s">
        <v>39</v>
      </c>
      <c r="J34" s="55" t="s">
        <v>3642</v>
      </c>
      <c r="K34" s="14" t="s">
        <v>1017</v>
      </c>
      <c r="L34" s="14" t="s">
        <v>622</v>
      </c>
      <c r="M34" s="38">
        <v>8118241891</v>
      </c>
      <c r="N34" s="38">
        <v>864895033315175</v>
      </c>
      <c r="O34" s="16" t="s">
        <v>39</v>
      </c>
      <c r="P34" s="17" t="s">
        <v>39</v>
      </c>
      <c r="Q34" s="17" t="s">
        <v>4174</v>
      </c>
      <c r="R34" s="40">
        <v>522</v>
      </c>
      <c r="S34" s="19" t="s">
        <v>3584</v>
      </c>
      <c r="T34" s="42">
        <v>44172</v>
      </c>
      <c r="U34" s="45"/>
      <c r="V34" s="15"/>
      <c r="W34" s="15"/>
    </row>
    <row r="35" spans="1:23" s="34" customFormat="1" ht="29" x14ac:dyDescent="0.35">
      <c r="A35" s="15"/>
      <c r="B35" s="35">
        <v>44163</v>
      </c>
      <c r="C35" s="14">
        <v>31</v>
      </c>
      <c r="D35" s="85" t="s">
        <v>3643</v>
      </c>
      <c r="E35" s="14" t="s">
        <v>639</v>
      </c>
      <c r="F35" s="74" t="s">
        <v>180</v>
      </c>
      <c r="G35" s="14" t="s">
        <v>2195</v>
      </c>
      <c r="H35" s="47">
        <v>43811</v>
      </c>
      <c r="I35" s="144" t="s">
        <v>39</v>
      </c>
      <c r="J35" s="15" t="s">
        <v>3644</v>
      </c>
      <c r="K35" s="14" t="s">
        <v>1020</v>
      </c>
      <c r="L35" s="14" t="s">
        <v>622</v>
      </c>
      <c r="M35" s="38">
        <v>8118241898</v>
      </c>
      <c r="N35" s="16" t="s">
        <v>39</v>
      </c>
      <c r="O35" s="16" t="s">
        <v>39</v>
      </c>
      <c r="P35" s="17" t="s">
        <v>39</v>
      </c>
      <c r="Q35" s="17" t="s">
        <v>4174</v>
      </c>
      <c r="R35" s="40">
        <v>522</v>
      </c>
      <c r="S35" s="19" t="s">
        <v>3584</v>
      </c>
      <c r="T35" s="42">
        <v>44172</v>
      </c>
      <c r="U35" s="45"/>
      <c r="V35" s="50" t="s">
        <v>1018</v>
      </c>
      <c r="W35" s="15"/>
    </row>
    <row r="36" spans="1:23" s="34" customFormat="1" ht="29" x14ac:dyDescent="0.35">
      <c r="A36" s="15"/>
      <c r="B36" s="35">
        <v>44163</v>
      </c>
      <c r="C36" s="14">
        <v>32</v>
      </c>
      <c r="D36" s="85" t="s">
        <v>3645</v>
      </c>
      <c r="E36" s="14" t="s">
        <v>806</v>
      </c>
      <c r="F36" s="74" t="s">
        <v>180</v>
      </c>
      <c r="G36" s="14" t="s">
        <v>2195</v>
      </c>
      <c r="H36" s="47">
        <v>43816</v>
      </c>
      <c r="I36" s="144" t="s">
        <v>39</v>
      </c>
      <c r="J36" s="17" t="s">
        <v>3646</v>
      </c>
      <c r="K36" s="14" t="s">
        <v>1019</v>
      </c>
      <c r="L36" s="14" t="s">
        <v>622</v>
      </c>
      <c r="M36" s="38">
        <v>8118241870</v>
      </c>
      <c r="N36" s="38">
        <v>864895033314541</v>
      </c>
      <c r="O36" s="16" t="s">
        <v>39</v>
      </c>
      <c r="P36" s="17" t="s">
        <v>39</v>
      </c>
      <c r="Q36" s="17" t="s">
        <v>4174</v>
      </c>
      <c r="R36" s="40">
        <v>522</v>
      </c>
      <c r="S36" s="19" t="s">
        <v>3584</v>
      </c>
      <c r="T36" s="42">
        <v>44172</v>
      </c>
      <c r="U36" s="45"/>
      <c r="V36" s="44"/>
      <c r="W36" s="15"/>
    </row>
    <row r="37" spans="1:23" s="34" customFormat="1" ht="29" x14ac:dyDescent="0.35">
      <c r="A37" s="15"/>
      <c r="B37" s="35">
        <v>44163</v>
      </c>
      <c r="C37" s="14">
        <v>33</v>
      </c>
      <c r="D37" s="85" t="s">
        <v>3647</v>
      </c>
      <c r="E37" s="14" t="s">
        <v>805</v>
      </c>
      <c r="F37" s="74" t="s">
        <v>180</v>
      </c>
      <c r="G37" s="14" t="s">
        <v>2195</v>
      </c>
      <c r="H37" s="47">
        <v>43847</v>
      </c>
      <c r="I37" s="144" t="s">
        <v>39</v>
      </c>
      <c r="J37" s="17" t="s">
        <v>3649</v>
      </c>
      <c r="K37" s="14" t="s">
        <v>1044</v>
      </c>
      <c r="L37" s="14" t="s">
        <v>622</v>
      </c>
      <c r="M37" s="38">
        <v>8118241899</v>
      </c>
      <c r="N37" s="38">
        <v>864895033298561</v>
      </c>
      <c r="O37" s="16" t="s">
        <v>39</v>
      </c>
      <c r="P37" s="17" t="s">
        <v>39</v>
      </c>
      <c r="Q37" s="17" t="s">
        <v>4174</v>
      </c>
      <c r="R37" s="40">
        <v>522</v>
      </c>
      <c r="S37" s="19" t="s">
        <v>3584</v>
      </c>
      <c r="T37" s="42">
        <v>44172</v>
      </c>
      <c r="U37" s="45"/>
      <c r="V37" s="15"/>
      <c r="W37" s="15"/>
    </row>
    <row r="38" spans="1:23" s="34" customFormat="1" ht="29" x14ac:dyDescent="0.35">
      <c r="A38" s="15"/>
      <c r="B38" s="35">
        <v>44166</v>
      </c>
      <c r="C38" s="14">
        <v>34</v>
      </c>
      <c r="D38" s="39" t="s">
        <v>2631</v>
      </c>
      <c r="E38" s="14" t="s">
        <v>2633</v>
      </c>
      <c r="F38" s="74" t="s">
        <v>13</v>
      </c>
      <c r="G38" s="14" t="s">
        <v>1805</v>
      </c>
      <c r="H38" s="14" t="s">
        <v>1767</v>
      </c>
      <c r="I38" s="144"/>
      <c r="J38" s="14" t="s">
        <v>600</v>
      </c>
      <c r="K38" s="14" t="s">
        <v>1043</v>
      </c>
      <c r="L38" s="14" t="s">
        <v>2</v>
      </c>
      <c r="M38" s="38">
        <v>345901012158833</v>
      </c>
      <c r="N38" s="38">
        <v>864352043846526</v>
      </c>
      <c r="O38" s="38"/>
      <c r="P38" s="14" t="s">
        <v>599</v>
      </c>
      <c r="Q38" s="14" t="s">
        <v>8</v>
      </c>
      <c r="R38" s="40">
        <v>1999.84</v>
      </c>
      <c r="S38" s="41" t="s">
        <v>596</v>
      </c>
      <c r="T38" s="42">
        <v>44172</v>
      </c>
      <c r="U38" s="45"/>
      <c r="V38" s="15"/>
      <c r="W38" s="15"/>
    </row>
    <row r="39" spans="1:23" s="34" customFormat="1" ht="29" x14ac:dyDescent="0.35">
      <c r="A39" s="15"/>
      <c r="B39" s="35">
        <v>44166</v>
      </c>
      <c r="C39" s="14">
        <v>35</v>
      </c>
      <c r="D39" s="39" t="s">
        <v>2632</v>
      </c>
      <c r="E39" s="14" t="s">
        <v>2633</v>
      </c>
      <c r="F39" s="74" t="s">
        <v>13</v>
      </c>
      <c r="G39" s="14" t="s">
        <v>1805</v>
      </c>
      <c r="H39" s="14" t="s">
        <v>1767</v>
      </c>
      <c r="I39" s="144"/>
      <c r="J39" s="14" t="s">
        <v>543</v>
      </c>
      <c r="K39" s="14" t="s">
        <v>1045</v>
      </c>
      <c r="L39" s="14" t="s">
        <v>2</v>
      </c>
      <c r="M39" s="38">
        <v>345901012164889</v>
      </c>
      <c r="N39" s="38">
        <v>864352043825132</v>
      </c>
      <c r="O39" s="38"/>
      <c r="P39" s="14" t="s">
        <v>542</v>
      </c>
      <c r="Q39" s="39" t="s">
        <v>2559</v>
      </c>
      <c r="R39" s="40">
        <v>1999.84</v>
      </c>
      <c r="S39" s="41" t="s">
        <v>545</v>
      </c>
      <c r="T39" s="42">
        <v>44172</v>
      </c>
      <c r="U39" s="45"/>
      <c r="V39" s="15"/>
      <c r="W39" s="15"/>
    </row>
    <row r="40" spans="1:23" s="34" customFormat="1" ht="29" x14ac:dyDescent="0.35">
      <c r="A40" s="15"/>
      <c r="B40" s="35">
        <v>44169</v>
      </c>
      <c r="C40" s="14">
        <v>36</v>
      </c>
      <c r="D40" s="36" t="s">
        <v>2635</v>
      </c>
      <c r="E40" s="17" t="s">
        <v>2634</v>
      </c>
      <c r="F40" s="74" t="s">
        <v>13</v>
      </c>
      <c r="G40" s="14" t="s">
        <v>1805</v>
      </c>
      <c r="H40" s="14" t="s">
        <v>1767</v>
      </c>
      <c r="I40" s="145"/>
      <c r="J40" s="17" t="s">
        <v>1507</v>
      </c>
      <c r="K40" s="14" t="s">
        <v>1046</v>
      </c>
      <c r="L40" s="14" t="s">
        <v>2</v>
      </c>
      <c r="M40" s="38">
        <v>8118249610</v>
      </c>
      <c r="N40" s="38">
        <v>865011031967913</v>
      </c>
      <c r="O40" s="38"/>
      <c r="P40" s="14" t="s">
        <v>1</v>
      </c>
      <c r="Q40" s="39" t="s">
        <v>2559</v>
      </c>
      <c r="R40" s="40">
        <v>1999.84</v>
      </c>
      <c r="S40" s="41" t="s">
        <v>1504</v>
      </c>
      <c r="T40" s="42">
        <v>44195</v>
      </c>
      <c r="U40" s="45"/>
      <c r="V40" s="15"/>
      <c r="W40" s="15"/>
    </row>
    <row r="41" spans="1:23" s="34" customFormat="1" ht="29" x14ac:dyDescent="0.35">
      <c r="A41" s="15"/>
      <c r="B41" s="35">
        <v>44176</v>
      </c>
      <c r="C41" s="14">
        <v>37</v>
      </c>
      <c r="D41" s="39" t="s">
        <v>2638</v>
      </c>
      <c r="E41" s="14" t="s">
        <v>2639</v>
      </c>
      <c r="F41" s="74" t="s">
        <v>13</v>
      </c>
      <c r="G41" s="14" t="s">
        <v>39</v>
      </c>
      <c r="H41" s="14" t="s">
        <v>1793</v>
      </c>
      <c r="I41" s="145" t="s">
        <v>39</v>
      </c>
      <c r="J41" s="14" t="s">
        <v>797</v>
      </c>
      <c r="K41" s="14" t="s">
        <v>1026</v>
      </c>
      <c r="L41" s="14" t="s">
        <v>2</v>
      </c>
      <c r="M41" s="38">
        <v>345901012164810</v>
      </c>
      <c r="N41" s="38">
        <v>864352043823996</v>
      </c>
      <c r="O41" s="38" t="s">
        <v>4179</v>
      </c>
      <c r="P41" s="14" t="s">
        <v>4178</v>
      </c>
      <c r="Q41" s="14" t="s">
        <v>2636</v>
      </c>
      <c r="R41" s="40">
        <v>1999.84</v>
      </c>
      <c r="S41" s="41" t="s">
        <v>1025</v>
      </c>
      <c r="T41" s="42">
        <v>44195</v>
      </c>
      <c r="U41" s="45"/>
      <c r="V41" s="15"/>
      <c r="W41" s="15"/>
    </row>
    <row r="42" spans="1:23" s="34" customFormat="1" ht="29" x14ac:dyDescent="0.35">
      <c r="A42" s="15"/>
      <c r="B42" s="35">
        <v>44176</v>
      </c>
      <c r="C42" s="14">
        <v>38</v>
      </c>
      <c r="D42" s="36" t="s">
        <v>2640</v>
      </c>
      <c r="E42" s="17" t="s">
        <v>2639</v>
      </c>
      <c r="F42" s="74" t="s">
        <v>13</v>
      </c>
      <c r="G42" s="14"/>
      <c r="H42" s="14" t="s">
        <v>1793</v>
      </c>
      <c r="I42" s="145"/>
      <c r="J42" s="17" t="s">
        <v>1477</v>
      </c>
      <c r="K42" s="14" t="s">
        <v>1047</v>
      </c>
      <c r="L42" s="14" t="s">
        <v>2</v>
      </c>
      <c r="M42" s="38">
        <v>345901012162302</v>
      </c>
      <c r="N42" s="38">
        <v>864352043822634</v>
      </c>
      <c r="O42" s="38"/>
      <c r="P42" s="14" t="s">
        <v>804</v>
      </c>
      <c r="Q42" s="39" t="s">
        <v>2559</v>
      </c>
      <c r="R42" s="40">
        <v>1999.84</v>
      </c>
      <c r="S42" s="41" t="s">
        <v>1504</v>
      </c>
      <c r="T42" s="42">
        <v>44195</v>
      </c>
      <c r="U42" s="45"/>
      <c r="V42" s="44"/>
      <c r="W42" s="15"/>
    </row>
    <row r="43" spans="1:23" s="34" customFormat="1" ht="29" x14ac:dyDescent="0.35">
      <c r="A43" s="15"/>
      <c r="B43" s="35">
        <v>44181</v>
      </c>
      <c r="C43" s="14">
        <v>39</v>
      </c>
      <c r="D43" s="36" t="s">
        <v>2641</v>
      </c>
      <c r="E43" s="17" t="s">
        <v>2642</v>
      </c>
      <c r="F43" s="74" t="s">
        <v>13</v>
      </c>
      <c r="G43" s="14" t="s">
        <v>803</v>
      </c>
      <c r="H43" s="14" t="s">
        <v>11</v>
      </c>
      <c r="I43" s="145" t="s">
        <v>39</v>
      </c>
      <c r="J43" s="17" t="s">
        <v>1478</v>
      </c>
      <c r="K43" s="14" t="s">
        <v>1048</v>
      </c>
      <c r="L43" s="14" t="s">
        <v>2</v>
      </c>
      <c r="M43" s="38">
        <v>345901012163840</v>
      </c>
      <c r="N43" s="38">
        <v>869530043022470</v>
      </c>
      <c r="O43" s="38" t="s">
        <v>1578</v>
      </c>
      <c r="P43" s="14" t="s">
        <v>4305</v>
      </c>
      <c r="Q43" s="39" t="s">
        <v>2559</v>
      </c>
      <c r="R43" s="40">
        <v>1999.84</v>
      </c>
      <c r="S43" s="41" t="s">
        <v>1504</v>
      </c>
      <c r="T43" s="42">
        <v>44195</v>
      </c>
      <c r="U43" s="45"/>
      <c r="V43" s="15"/>
      <c r="W43" s="15"/>
    </row>
    <row r="44" spans="1:23" s="34" customFormat="1" ht="29" x14ac:dyDescent="0.35">
      <c r="A44" s="15"/>
      <c r="B44" s="35">
        <v>44182</v>
      </c>
      <c r="C44" s="14">
        <v>40</v>
      </c>
      <c r="D44" s="85" t="s">
        <v>3657</v>
      </c>
      <c r="E44" s="14" t="s">
        <v>627</v>
      </c>
      <c r="F44" s="74" t="s">
        <v>13</v>
      </c>
      <c r="G44" s="14" t="s">
        <v>39</v>
      </c>
      <c r="H44" s="14" t="s">
        <v>11</v>
      </c>
      <c r="I44" s="144" t="s">
        <v>39</v>
      </c>
      <c r="J44" s="17" t="s">
        <v>3661</v>
      </c>
      <c r="K44" s="14" t="s">
        <v>1049</v>
      </c>
      <c r="L44" s="14" t="s">
        <v>2</v>
      </c>
      <c r="M44" s="38">
        <v>345901012164886</v>
      </c>
      <c r="N44" s="38">
        <v>867553050392877</v>
      </c>
      <c r="O44" s="16" t="s">
        <v>3660</v>
      </c>
      <c r="P44" s="14" t="s">
        <v>3659</v>
      </c>
      <c r="Q44" s="17" t="s">
        <v>4174</v>
      </c>
      <c r="R44" s="40">
        <v>1999.84</v>
      </c>
      <c r="S44" s="19" t="s">
        <v>3584</v>
      </c>
      <c r="T44" s="42">
        <v>44195</v>
      </c>
      <c r="U44" s="45"/>
      <c r="V44" s="15"/>
      <c r="W44" s="15"/>
    </row>
    <row r="45" spans="1:23" s="34" customFormat="1" ht="29" x14ac:dyDescent="0.35">
      <c r="A45" s="15"/>
      <c r="B45" s="35">
        <v>44183</v>
      </c>
      <c r="C45" s="14">
        <v>41</v>
      </c>
      <c r="D45" s="85" t="s">
        <v>3662</v>
      </c>
      <c r="E45" s="14" t="s">
        <v>627</v>
      </c>
      <c r="F45" s="74" t="s">
        <v>13</v>
      </c>
      <c r="G45" s="14" t="s">
        <v>802</v>
      </c>
      <c r="H45" s="14" t="s">
        <v>11</v>
      </c>
      <c r="I45" s="144" t="s">
        <v>39</v>
      </c>
      <c r="J45" s="17" t="s">
        <v>3665</v>
      </c>
      <c r="K45" s="14" t="s">
        <v>1050</v>
      </c>
      <c r="L45" s="14" t="s">
        <v>2</v>
      </c>
      <c r="M45" s="38">
        <v>345901012163817</v>
      </c>
      <c r="N45" s="38">
        <v>867553050367143</v>
      </c>
      <c r="O45" s="16" t="s">
        <v>3664</v>
      </c>
      <c r="P45" s="14" t="s">
        <v>4177</v>
      </c>
      <c r="Q45" s="17" t="s">
        <v>4174</v>
      </c>
      <c r="R45" s="40">
        <v>1999.84</v>
      </c>
      <c r="S45" s="19" t="s">
        <v>3584</v>
      </c>
      <c r="T45" s="42">
        <v>44195</v>
      </c>
      <c r="U45" s="45"/>
      <c r="V45" s="15"/>
      <c r="W45" s="15"/>
    </row>
    <row r="46" spans="1:23" s="34" customFormat="1" ht="29" x14ac:dyDescent="0.35">
      <c r="A46" s="15"/>
      <c r="B46" s="35">
        <v>44184</v>
      </c>
      <c r="C46" s="14">
        <v>42</v>
      </c>
      <c r="D46" s="36" t="s">
        <v>2643</v>
      </c>
      <c r="E46" s="17" t="s">
        <v>2644</v>
      </c>
      <c r="F46" s="74" t="s">
        <v>13</v>
      </c>
      <c r="G46" s="14"/>
      <c r="H46" s="14" t="s">
        <v>1793</v>
      </c>
      <c r="I46" s="145"/>
      <c r="J46" s="17" t="s">
        <v>1480</v>
      </c>
      <c r="K46" s="14" t="s">
        <v>1051</v>
      </c>
      <c r="L46" s="14" t="s">
        <v>2</v>
      </c>
      <c r="M46" s="38">
        <v>345901012158872</v>
      </c>
      <c r="N46" s="38">
        <v>865011032922008</v>
      </c>
      <c r="O46" s="38"/>
      <c r="P46" s="14" t="s">
        <v>801</v>
      </c>
      <c r="Q46" s="39" t="s">
        <v>2559</v>
      </c>
      <c r="R46" s="40">
        <v>1999.84</v>
      </c>
      <c r="S46" s="41" t="s">
        <v>1504</v>
      </c>
      <c r="T46" s="42">
        <v>44195</v>
      </c>
      <c r="U46" s="45"/>
      <c r="V46" s="15"/>
      <c r="W46" s="15"/>
    </row>
    <row r="47" spans="1:23" s="34" customFormat="1" ht="29" x14ac:dyDescent="0.35">
      <c r="A47" s="15"/>
      <c r="B47" s="35">
        <v>44187</v>
      </c>
      <c r="C47" s="14">
        <v>43</v>
      </c>
      <c r="D47" s="39" t="s">
        <v>2645</v>
      </c>
      <c r="E47" s="14" t="s">
        <v>2646</v>
      </c>
      <c r="F47" s="74" t="s">
        <v>13</v>
      </c>
      <c r="G47" s="14" t="s">
        <v>1805</v>
      </c>
      <c r="H47" s="14" t="s">
        <v>39</v>
      </c>
      <c r="I47" s="144" t="s">
        <v>39</v>
      </c>
      <c r="J47" s="14" t="s">
        <v>908</v>
      </c>
      <c r="K47" s="14" t="s">
        <v>1052</v>
      </c>
      <c r="L47" s="14" t="s">
        <v>728</v>
      </c>
      <c r="M47" s="38">
        <v>345901012159537</v>
      </c>
      <c r="N47" s="38">
        <v>864352043825090</v>
      </c>
      <c r="O47" s="38" t="s">
        <v>4077</v>
      </c>
      <c r="P47" s="14" t="s">
        <v>4076</v>
      </c>
      <c r="Q47" s="14" t="s">
        <v>8</v>
      </c>
      <c r="R47" s="40">
        <v>1999.84</v>
      </c>
      <c r="S47" s="41" t="s">
        <v>4078</v>
      </c>
      <c r="T47" s="14" t="s">
        <v>4079</v>
      </c>
      <c r="U47" s="45"/>
      <c r="V47" s="15"/>
      <c r="W47" s="15"/>
    </row>
    <row r="48" spans="1:23" s="34" customFormat="1" ht="29" x14ac:dyDescent="0.35">
      <c r="A48" s="15"/>
      <c r="B48" s="35">
        <v>44187</v>
      </c>
      <c r="C48" s="14">
        <v>44</v>
      </c>
      <c r="D48" s="36" t="s">
        <v>2648</v>
      </c>
      <c r="E48" s="17" t="s">
        <v>2646</v>
      </c>
      <c r="F48" s="74" t="s">
        <v>13</v>
      </c>
      <c r="G48" s="14"/>
      <c r="H48" s="14" t="s">
        <v>85</v>
      </c>
      <c r="I48" s="145"/>
      <c r="J48" s="17" t="s">
        <v>1481</v>
      </c>
      <c r="K48" s="14" t="s">
        <v>1053</v>
      </c>
      <c r="L48" s="14" t="s">
        <v>728</v>
      </c>
      <c r="M48" s="38">
        <v>345901012158830</v>
      </c>
      <c r="N48" s="38">
        <v>864352043824507</v>
      </c>
      <c r="O48" s="38"/>
      <c r="P48" s="14" t="s">
        <v>800</v>
      </c>
      <c r="Q48" s="39" t="s">
        <v>2559</v>
      </c>
      <c r="R48" s="40">
        <v>1999.84</v>
      </c>
      <c r="S48" s="41" t="s">
        <v>1504</v>
      </c>
      <c r="T48" s="42">
        <v>44195</v>
      </c>
      <c r="U48" s="45"/>
      <c r="V48" s="44"/>
      <c r="W48" s="15"/>
    </row>
    <row r="49" spans="1:23" s="34" customFormat="1" ht="29" x14ac:dyDescent="0.35">
      <c r="A49" s="15"/>
      <c r="B49" s="35">
        <v>44194</v>
      </c>
      <c r="C49" s="14">
        <v>45</v>
      </c>
      <c r="D49" s="85" t="s">
        <v>3667</v>
      </c>
      <c r="E49" s="14" t="s">
        <v>627</v>
      </c>
      <c r="F49" s="74" t="s">
        <v>13</v>
      </c>
      <c r="G49" s="14" t="s">
        <v>39</v>
      </c>
      <c r="H49" s="28" t="s">
        <v>1792</v>
      </c>
      <c r="I49" s="143" t="s">
        <v>39</v>
      </c>
      <c r="J49" s="17" t="s">
        <v>3668</v>
      </c>
      <c r="K49" s="14" t="s">
        <v>1054</v>
      </c>
      <c r="L49" s="14" t="s">
        <v>728</v>
      </c>
      <c r="M49" s="38">
        <v>345901012158834</v>
      </c>
      <c r="N49" s="38">
        <v>358480082113228</v>
      </c>
      <c r="O49" s="38" t="s">
        <v>39</v>
      </c>
      <c r="P49" s="14" t="s">
        <v>799</v>
      </c>
      <c r="Q49" s="17" t="s">
        <v>4174</v>
      </c>
      <c r="R49" s="40">
        <v>1999.84</v>
      </c>
      <c r="S49" s="19" t="s">
        <v>3584</v>
      </c>
      <c r="T49" s="42">
        <v>44195</v>
      </c>
      <c r="U49" s="45"/>
      <c r="V49" s="15"/>
      <c r="W49" s="15"/>
    </row>
    <row r="50" spans="1:23" s="34" customFormat="1" ht="29" x14ac:dyDescent="0.35">
      <c r="A50" s="15"/>
      <c r="B50" s="35">
        <v>44195</v>
      </c>
      <c r="C50" s="14">
        <v>46</v>
      </c>
      <c r="D50" s="36" t="s">
        <v>2649</v>
      </c>
      <c r="E50" s="17" t="s">
        <v>2650</v>
      </c>
      <c r="F50" s="74" t="s">
        <v>13</v>
      </c>
      <c r="G50" s="14"/>
      <c r="H50" s="14" t="s">
        <v>85</v>
      </c>
      <c r="I50" s="145"/>
      <c r="J50" s="17" t="s">
        <v>1485</v>
      </c>
      <c r="K50" s="14" t="s">
        <v>1055</v>
      </c>
      <c r="L50" s="14" t="s">
        <v>728</v>
      </c>
      <c r="M50" s="38">
        <v>345901012165277</v>
      </c>
      <c r="N50" s="38">
        <v>867060032085900</v>
      </c>
      <c r="O50" s="38"/>
      <c r="P50" s="14" t="s">
        <v>798</v>
      </c>
      <c r="Q50" s="39" t="s">
        <v>2559</v>
      </c>
      <c r="R50" s="40">
        <v>1999.84</v>
      </c>
      <c r="S50" s="41" t="s">
        <v>1504</v>
      </c>
      <c r="T50" s="42">
        <v>44195</v>
      </c>
      <c r="U50" s="45"/>
      <c r="V50" s="44"/>
      <c r="W50" s="15"/>
    </row>
    <row r="51" spans="1:23" s="34" customFormat="1" ht="29" x14ac:dyDescent="0.35">
      <c r="A51" s="15"/>
      <c r="B51" s="35">
        <v>44195</v>
      </c>
      <c r="C51" s="14">
        <v>47</v>
      </c>
      <c r="D51" s="39" t="s">
        <v>2651</v>
      </c>
      <c r="E51" s="14" t="s">
        <v>2650</v>
      </c>
      <c r="F51" s="74" t="s">
        <v>13</v>
      </c>
      <c r="G51" s="17" t="s">
        <v>39</v>
      </c>
      <c r="H51" s="14" t="s">
        <v>85</v>
      </c>
      <c r="I51" s="145" t="s">
        <v>39</v>
      </c>
      <c r="J51" s="17" t="s">
        <v>3680</v>
      </c>
      <c r="K51" s="14" t="s">
        <v>1029</v>
      </c>
      <c r="L51" s="14" t="s">
        <v>728</v>
      </c>
      <c r="M51" s="38">
        <v>345901012257115</v>
      </c>
      <c r="N51" s="38">
        <v>864352043811173</v>
      </c>
      <c r="O51" s="38" t="s">
        <v>4181</v>
      </c>
      <c r="P51" s="14" t="s">
        <v>4180</v>
      </c>
      <c r="Q51" s="14" t="s">
        <v>2652</v>
      </c>
      <c r="R51" s="40">
        <v>1999.84</v>
      </c>
      <c r="S51" s="41" t="s">
        <v>1028</v>
      </c>
      <c r="T51" s="42">
        <v>44195</v>
      </c>
      <c r="U51" s="45"/>
      <c r="V51" s="15"/>
      <c r="W51" s="15"/>
    </row>
    <row r="52" spans="1:23" s="34" customFormat="1" ht="29" x14ac:dyDescent="0.35">
      <c r="A52" s="15"/>
      <c r="B52" s="35">
        <v>44201</v>
      </c>
      <c r="C52" s="14">
        <v>50</v>
      </c>
      <c r="D52" s="85" t="s">
        <v>3669</v>
      </c>
      <c r="E52" s="14" t="s">
        <v>627</v>
      </c>
      <c r="F52" s="74" t="s">
        <v>13</v>
      </c>
      <c r="G52" s="14" t="s">
        <v>39</v>
      </c>
      <c r="H52" s="14" t="s">
        <v>85</v>
      </c>
      <c r="I52" s="144" t="s">
        <v>39</v>
      </c>
      <c r="J52" s="17" t="s">
        <v>3672</v>
      </c>
      <c r="K52" s="14" t="s">
        <v>1056</v>
      </c>
      <c r="L52" s="14" t="s">
        <v>2</v>
      </c>
      <c r="M52" s="38">
        <v>345901012471613</v>
      </c>
      <c r="N52" s="38">
        <v>867553050397561</v>
      </c>
      <c r="O52" s="16" t="s">
        <v>3671</v>
      </c>
      <c r="P52" s="17" t="s">
        <v>3670</v>
      </c>
      <c r="Q52" s="17" t="s">
        <v>4174</v>
      </c>
      <c r="R52" s="40">
        <v>1999.84</v>
      </c>
      <c r="S52" s="19" t="s">
        <v>3584</v>
      </c>
      <c r="T52" s="42">
        <v>44201</v>
      </c>
      <c r="U52" s="43">
        <v>44211</v>
      </c>
      <c r="V52" s="15"/>
      <c r="W52" s="15"/>
    </row>
    <row r="53" spans="1:23" s="34" customFormat="1" ht="29" x14ac:dyDescent="0.35">
      <c r="A53" s="15"/>
      <c r="B53" s="35">
        <v>44202</v>
      </c>
      <c r="C53" s="14">
        <v>51</v>
      </c>
      <c r="D53" s="39" t="s">
        <v>2654</v>
      </c>
      <c r="E53" s="14" t="s">
        <v>2655</v>
      </c>
      <c r="F53" s="74" t="s">
        <v>13</v>
      </c>
      <c r="G53" s="14"/>
      <c r="H53" s="14" t="s">
        <v>85</v>
      </c>
      <c r="I53" s="144"/>
      <c r="J53" s="14" t="s">
        <v>518</v>
      </c>
      <c r="K53" s="14" t="s">
        <v>1057</v>
      </c>
      <c r="L53" s="14" t="s">
        <v>728</v>
      </c>
      <c r="M53" s="38">
        <v>345901012257109</v>
      </c>
      <c r="N53" s="38">
        <v>867553051189983</v>
      </c>
      <c r="O53" s="38"/>
      <c r="P53" s="14" t="s">
        <v>517</v>
      </c>
      <c r="Q53" s="14" t="s">
        <v>8</v>
      </c>
      <c r="R53" s="40">
        <v>1999.84</v>
      </c>
      <c r="S53" s="41" t="s">
        <v>2879</v>
      </c>
      <c r="T53" s="42">
        <v>44201</v>
      </c>
      <c r="U53" s="43">
        <v>44211</v>
      </c>
      <c r="V53" s="15"/>
      <c r="W53" s="15"/>
    </row>
    <row r="54" spans="1:23" s="34" customFormat="1" ht="29" x14ac:dyDescent="0.35">
      <c r="A54" s="15"/>
      <c r="B54" s="35">
        <v>44203</v>
      </c>
      <c r="C54" s="14">
        <v>52</v>
      </c>
      <c r="D54" s="39" t="s">
        <v>2656</v>
      </c>
      <c r="E54" s="14" t="s">
        <v>2657</v>
      </c>
      <c r="F54" s="74" t="s">
        <v>13</v>
      </c>
      <c r="G54" s="14"/>
      <c r="H54" s="14" t="s">
        <v>473</v>
      </c>
      <c r="I54" s="144"/>
      <c r="J54" s="14" t="s">
        <v>598</v>
      </c>
      <c r="K54" s="14" t="s">
        <v>1058</v>
      </c>
      <c r="L54" s="14" t="s">
        <v>2</v>
      </c>
      <c r="M54" s="38">
        <v>345901012478194</v>
      </c>
      <c r="N54" s="38">
        <v>869530048398602</v>
      </c>
      <c r="O54" s="38"/>
      <c r="P54" s="14" t="s">
        <v>597</v>
      </c>
      <c r="Q54" s="14" t="s">
        <v>8</v>
      </c>
      <c r="R54" s="40">
        <v>1999.84</v>
      </c>
      <c r="S54" s="41" t="s">
        <v>596</v>
      </c>
      <c r="T54" s="42">
        <v>44201</v>
      </c>
      <c r="U54" s="43">
        <v>44211</v>
      </c>
      <c r="V54" s="15"/>
      <c r="W54" s="15"/>
    </row>
    <row r="55" spans="1:23" s="34" customFormat="1" ht="29" x14ac:dyDescent="0.35">
      <c r="A55" s="15"/>
      <c r="B55" s="35">
        <v>44208</v>
      </c>
      <c r="C55" s="14">
        <v>53</v>
      </c>
      <c r="D55" s="39" t="s">
        <v>2638</v>
      </c>
      <c r="E55" s="46" t="s">
        <v>1027</v>
      </c>
      <c r="F55" s="74" t="s">
        <v>6</v>
      </c>
      <c r="G55" s="14" t="s">
        <v>39</v>
      </c>
      <c r="H55" s="14" t="s">
        <v>1793</v>
      </c>
      <c r="I55" s="145" t="s">
        <v>39</v>
      </c>
      <c r="J55" s="14" t="s">
        <v>797</v>
      </c>
      <c r="K55" s="14" t="s">
        <v>1026</v>
      </c>
      <c r="L55" s="14" t="s">
        <v>2</v>
      </c>
      <c r="M55" s="38">
        <v>345901012164810</v>
      </c>
      <c r="N55" s="38">
        <v>864352043823996</v>
      </c>
      <c r="O55" s="38" t="s">
        <v>4179</v>
      </c>
      <c r="P55" s="14" t="s">
        <v>4178</v>
      </c>
      <c r="Q55" s="14" t="s">
        <v>2636</v>
      </c>
      <c r="R55" s="40">
        <v>754</v>
      </c>
      <c r="S55" s="41" t="s">
        <v>1025</v>
      </c>
      <c r="T55" s="42">
        <v>44228</v>
      </c>
      <c r="U55" s="43">
        <v>44232</v>
      </c>
      <c r="V55" s="15"/>
      <c r="W55" s="15"/>
    </row>
    <row r="56" spans="1:23" s="34" customFormat="1" ht="29" x14ac:dyDescent="0.35">
      <c r="A56" s="15"/>
      <c r="B56" s="35">
        <v>44208</v>
      </c>
      <c r="C56" s="14">
        <v>54</v>
      </c>
      <c r="D56" s="85" t="s">
        <v>3673</v>
      </c>
      <c r="E56" s="14" t="s">
        <v>627</v>
      </c>
      <c r="F56" s="74" t="s">
        <v>138</v>
      </c>
      <c r="G56" s="14" t="s">
        <v>39</v>
      </c>
      <c r="H56" s="14" t="s">
        <v>1793</v>
      </c>
      <c r="I56" s="145" t="s">
        <v>39</v>
      </c>
      <c r="J56" s="17" t="s">
        <v>3676</v>
      </c>
      <c r="K56" s="14" t="s">
        <v>1059</v>
      </c>
      <c r="L56" s="14" t="s">
        <v>2</v>
      </c>
      <c r="M56" s="38">
        <v>345901012164810</v>
      </c>
      <c r="N56" s="38">
        <v>864352043823996</v>
      </c>
      <c r="O56" s="16" t="s">
        <v>3675</v>
      </c>
      <c r="P56" s="17" t="s">
        <v>3674</v>
      </c>
      <c r="Q56" s="17" t="s">
        <v>4174</v>
      </c>
      <c r="R56" s="40">
        <v>696</v>
      </c>
      <c r="S56" s="14" t="s">
        <v>2637</v>
      </c>
      <c r="T56" s="19" t="s">
        <v>3584</v>
      </c>
      <c r="U56" s="43">
        <v>44232</v>
      </c>
      <c r="V56" s="15"/>
      <c r="W56" s="15"/>
    </row>
    <row r="57" spans="1:23" s="34" customFormat="1" ht="29" x14ac:dyDescent="0.35">
      <c r="A57" s="15"/>
      <c r="B57" s="35">
        <v>44210</v>
      </c>
      <c r="C57" s="14">
        <v>55</v>
      </c>
      <c r="D57" s="39" t="s">
        <v>2651</v>
      </c>
      <c r="E57" s="46" t="s">
        <v>1028</v>
      </c>
      <c r="F57" s="74" t="s">
        <v>6</v>
      </c>
      <c r="G57" s="17" t="s">
        <v>39</v>
      </c>
      <c r="H57" s="14" t="s">
        <v>473</v>
      </c>
      <c r="I57" s="145" t="s">
        <v>39</v>
      </c>
      <c r="J57" s="17" t="s">
        <v>3680</v>
      </c>
      <c r="K57" s="14" t="s">
        <v>1029</v>
      </c>
      <c r="L57" s="14" t="s">
        <v>2</v>
      </c>
      <c r="M57" s="38">
        <v>345901012257115</v>
      </c>
      <c r="N57" s="38">
        <v>864352043811173</v>
      </c>
      <c r="O57" s="38" t="s">
        <v>4181</v>
      </c>
      <c r="P57" s="14" t="s">
        <v>4180</v>
      </c>
      <c r="Q57" s="14" t="s">
        <v>2652</v>
      </c>
      <c r="R57" s="40">
        <v>754</v>
      </c>
      <c r="S57" s="41" t="s">
        <v>1028</v>
      </c>
      <c r="T57" s="42">
        <v>44228</v>
      </c>
      <c r="U57" s="43">
        <v>44232</v>
      </c>
      <c r="V57" s="15"/>
      <c r="W57" s="15"/>
    </row>
    <row r="58" spans="1:23" s="34" customFormat="1" ht="29" x14ac:dyDescent="0.35">
      <c r="A58" s="15"/>
      <c r="B58" s="35">
        <v>44210</v>
      </c>
      <c r="C58" s="14">
        <v>56</v>
      </c>
      <c r="D58" s="85" t="s">
        <v>3677</v>
      </c>
      <c r="E58" s="14" t="s">
        <v>627</v>
      </c>
      <c r="F58" s="74" t="s">
        <v>138</v>
      </c>
      <c r="G58" s="17" t="s">
        <v>39</v>
      </c>
      <c r="H58" s="14" t="s">
        <v>473</v>
      </c>
      <c r="I58" s="145" t="s">
        <v>39</v>
      </c>
      <c r="J58" s="17" t="s">
        <v>3680</v>
      </c>
      <c r="K58" s="14" t="s">
        <v>1060</v>
      </c>
      <c r="L58" s="14" t="s">
        <v>2</v>
      </c>
      <c r="M58" s="38">
        <v>345901012257115</v>
      </c>
      <c r="N58" s="38">
        <v>864352043811173</v>
      </c>
      <c r="O58" s="16" t="s">
        <v>3679</v>
      </c>
      <c r="P58" s="17" t="s">
        <v>3678</v>
      </c>
      <c r="Q58" s="17" t="s">
        <v>4174</v>
      </c>
      <c r="R58" s="40">
        <v>696</v>
      </c>
      <c r="S58" s="14" t="s">
        <v>2653</v>
      </c>
      <c r="T58" s="19" t="s">
        <v>3584</v>
      </c>
      <c r="U58" s="43">
        <v>44232</v>
      </c>
      <c r="V58" s="15"/>
      <c r="W58" s="15"/>
    </row>
    <row r="59" spans="1:23" s="34" customFormat="1" ht="29" x14ac:dyDescent="0.35">
      <c r="A59" s="15"/>
      <c r="B59" s="51">
        <v>44211</v>
      </c>
      <c r="C59" s="14">
        <v>107</v>
      </c>
      <c r="D59" s="85" t="s">
        <v>3698</v>
      </c>
      <c r="E59" s="14" t="s">
        <v>627</v>
      </c>
      <c r="F59" s="74" t="s">
        <v>13</v>
      </c>
      <c r="G59" s="17" t="s">
        <v>39</v>
      </c>
      <c r="H59" s="14" t="s">
        <v>473</v>
      </c>
      <c r="I59" s="145" t="s">
        <v>39</v>
      </c>
      <c r="J59" s="17" t="s">
        <v>26</v>
      </c>
      <c r="K59" s="14" t="s">
        <v>1061</v>
      </c>
      <c r="L59" s="14" t="s">
        <v>2</v>
      </c>
      <c r="M59" s="38">
        <v>345901012255296</v>
      </c>
      <c r="N59" s="38">
        <v>863844051167721</v>
      </c>
      <c r="O59" s="16" t="s">
        <v>796</v>
      </c>
      <c r="P59" s="17" t="s">
        <v>39</v>
      </c>
      <c r="Q59" s="17" t="s">
        <v>4174</v>
      </c>
      <c r="R59" s="40">
        <v>1999.84</v>
      </c>
      <c r="S59" s="19" t="s">
        <v>3584</v>
      </c>
      <c r="T59" s="14"/>
      <c r="U59" s="45"/>
      <c r="V59" s="15"/>
      <c r="W59" s="15"/>
    </row>
    <row r="60" spans="1:23" s="34" customFormat="1" ht="14.5" x14ac:dyDescent="0.35">
      <c r="A60" s="15"/>
      <c r="B60" s="35">
        <v>44214</v>
      </c>
      <c r="C60" s="14">
        <v>57</v>
      </c>
      <c r="D60" s="39">
        <v>128</v>
      </c>
      <c r="E60" s="14" t="s">
        <v>7</v>
      </c>
      <c r="F60" s="74" t="s">
        <v>40</v>
      </c>
      <c r="G60" s="14" t="s">
        <v>2658</v>
      </c>
      <c r="H60" s="14" t="s">
        <v>672</v>
      </c>
      <c r="I60" s="144"/>
      <c r="J60" s="14" t="s">
        <v>39</v>
      </c>
      <c r="K60" s="14" t="s">
        <v>39</v>
      </c>
      <c r="L60" s="14" t="s">
        <v>728</v>
      </c>
      <c r="M60" s="38" t="s">
        <v>39</v>
      </c>
      <c r="N60" s="38" t="s">
        <v>39</v>
      </c>
      <c r="O60" s="38"/>
      <c r="P60" s="14" t="s">
        <v>39</v>
      </c>
      <c r="Q60" s="14" t="s">
        <v>39</v>
      </c>
      <c r="R60" s="40">
        <v>0</v>
      </c>
      <c r="S60" s="14" t="s">
        <v>40</v>
      </c>
      <c r="T60" s="14" t="s">
        <v>39</v>
      </c>
      <c r="U60" s="45" t="s">
        <v>39</v>
      </c>
      <c r="V60" s="15"/>
      <c r="W60" s="15"/>
    </row>
    <row r="61" spans="1:23" s="34" customFormat="1" ht="29" x14ac:dyDescent="0.35">
      <c r="A61" s="15"/>
      <c r="B61" s="35">
        <v>44215</v>
      </c>
      <c r="C61" s="14">
        <v>58</v>
      </c>
      <c r="D61" s="36" t="s">
        <v>2659</v>
      </c>
      <c r="E61" s="17" t="s">
        <v>2660</v>
      </c>
      <c r="F61" s="74" t="s">
        <v>13</v>
      </c>
      <c r="G61" s="14"/>
      <c r="H61" s="14" t="s">
        <v>473</v>
      </c>
      <c r="I61" s="145"/>
      <c r="J61" s="17" t="s">
        <v>1486</v>
      </c>
      <c r="K61" s="14" t="s">
        <v>1508</v>
      </c>
      <c r="L61" s="14" t="s">
        <v>728</v>
      </c>
      <c r="M61" s="38">
        <v>345901012161615</v>
      </c>
      <c r="N61" s="38">
        <v>863844051167499</v>
      </c>
      <c r="O61" s="38"/>
      <c r="P61" s="14" t="s">
        <v>795</v>
      </c>
      <c r="Q61" s="39" t="s">
        <v>2559</v>
      </c>
      <c r="R61" s="40">
        <v>1999.84</v>
      </c>
      <c r="S61" s="41" t="s">
        <v>1504</v>
      </c>
      <c r="T61" s="42">
        <v>44228</v>
      </c>
      <c r="U61" s="43">
        <v>44232</v>
      </c>
      <c r="V61" s="15"/>
      <c r="W61" s="15"/>
    </row>
    <row r="62" spans="1:23" s="34" customFormat="1" ht="29" x14ac:dyDescent="0.35">
      <c r="A62" s="15"/>
      <c r="B62" s="35">
        <v>44217</v>
      </c>
      <c r="C62" s="14">
        <v>59</v>
      </c>
      <c r="D62" s="36" t="s">
        <v>1928</v>
      </c>
      <c r="E62" s="85" t="s">
        <v>2661</v>
      </c>
      <c r="F62" s="74" t="s">
        <v>13</v>
      </c>
      <c r="G62" s="14"/>
      <c r="H62" s="14" t="s">
        <v>1793</v>
      </c>
      <c r="I62" s="144"/>
      <c r="J62" s="14" t="s">
        <v>794</v>
      </c>
      <c r="K62" s="14" t="s">
        <v>1062</v>
      </c>
      <c r="L62" s="14" t="s">
        <v>728</v>
      </c>
      <c r="M62" s="38">
        <v>345901012159571</v>
      </c>
      <c r="N62" s="38">
        <v>865011032219306</v>
      </c>
      <c r="O62" s="38"/>
      <c r="P62" s="14" t="s">
        <v>793</v>
      </c>
      <c r="Q62" s="14" t="s">
        <v>8</v>
      </c>
      <c r="R62" s="40">
        <v>1999.84</v>
      </c>
      <c r="S62" s="41" t="s">
        <v>1931</v>
      </c>
      <c r="T62" s="42">
        <v>44228</v>
      </c>
      <c r="U62" s="43">
        <v>44232</v>
      </c>
      <c r="V62" s="44"/>
      <c r="W62" s="15"/>
    </row>
    <row r="63" spans="1:23" s="34" customFormat="1" ht="29" x14ac:dyDescent="0.35">
      <c r="A63" s="15"/>
      <c r="B63" s="35">
        <v>44218</v>
      </c>
      <c r="C63" s="14">
        <v>60</v>
      </c>
      <c r="D63" s="39" t="s">
        <v>2662</v>
      </c>
      <c r="E63" s="14" t="s">
        <v>2663</v>
      </c>
      <c r="F63" s="74" t="s">
        <v>13</v>
      </c>
      <c r="G63" s="14"/>
      <c r="H63" s="14" t="s">
        <v>473</v>
      </c>
      <c r="I63" s="144"/>
      <c r="J63" s="14" t="s">
        <v>634</v>
      </c>
      <c r="K63" s="14" t="s">
        <v>1155</v>
      </c>
      <c r="L63" s="14" t="s">
        <v>2</v>
      </c>
      <c r="M63" s="38">
        <v>345901012471608</v>
      </c>
      <c r="N63" s="38">
        <v>865011032232416</v>
      </c>
      <c r="O63" s="38"/>
      <c r="P63" s="14" t="s">
        <v>633</v>
      </c>
      <c r="Q63" s="39" t="s">
        <v>2559</v>
      </c>
      <c r="R63" s="40">
        <v>1999.84</v>
      </c>
      <c r="S63" s="41" t="s">
        <v>624</v>
      </c>
      <c r="T63" s="42">
        <v>44228</v>
      </c>
      <c r="U63" s="43">
        <v>44232</v>
      </c>
      <c r="V63" s="15"/>
      <c r="W63" s="15"/>
    </row>
    <row r="64" spans="1:23" s="34" customFormat="1" ht="29" x14ac:dyDescent="0.35">
      <c r="A64" s="15"/>
      <c r="B64" s="35">
        <v>44221</v>
      </c>
      <c r="C64" s="14">
        <v>61</v>
      </c>
      <c r="D64" s="36" t="s">
        <v>2664</v>
      </c>
      <c r="E64" s="17" t="s">
        <v>2665</v>
      </c>
      <c r="F64" s="74" t="s">
        <v>13</v>
      </c>
      <c r="G64" s="14"/>
      <c r="H64" s="14" t="s">
        <v>473</v>
      </c>
      <c r="I64" s="145"/>
      <c r="J64" s="17" t="s">
        <v>1487</v>
      </c>
      <c r="K64" s="14" t="s">
        <v>1063</v>
      </c>
      <c r="L64" s="14" t="s">
        <v>728</v>
      </c>
      <c r="M64" s="38">
        <v>345901012473212</v>
      </c>
      <c r="N64" s="38">
        <v>865011032218845</v>
      </c>
      <c r="O64" s="38"/>
      <c r="P64" s="14" t="s">
        <v>792</v>
      </c>
      <c r="Q64" s="39" t="s">
        <v>2559</v>
      </c>
      <c r="R64" s="40">
        <v>1999.84</v>
      </c>
      <c r="S64" s="41" t="s">
        <v>1504</v>
      </c>
      <c r="T64" s="42">
        <v>44228</v>
      </c>
      <c r="U64" s="43">
        <v>44232</v>
      </c>
      <c r="V64" s="15"/>
      <c r="W64" s="15"/>
    </row>
    <row r="65" spans="1:23" s="34" customFormat="1" ht="29" x14ac:dyDescent="0.35">
      <c r="A65" s="15"/>
      <c r="B65" s="35">
        <v>44223</v>
      </c>
      <c r="C65" s="14">
        <v>62</v>
      </c>
      <c r="D65" s="85" t="s">
        <v>3681</v>
      </c>
      <c r="E65" s="14" t="s">
        <v>627</v>
      </c>
      <c r="F65" s="74" t="s">
        <v>13</v>
      </c>
      <c r="G65" s="14" t="s">
        <v>39</v>
      </c>
      <c r="H65" s="14" t="s">
        <v>473</v>
      </c>
      <c r="I65" s="144" t="s">
        <v>39</v>
      </c>
      <c r="J65" s="17" t="s">
        <v>3684</v>
      </c>
      <c r="K65" s="14" t="s">
        <v>1064</v>
      </c>
      <c r="L65" s="14" t="s">
        <v>2</v>
      </c>
      <c r="M65" s="38">
        <v>345901012473185</v>
      </c>
      <c r="N65" s="38">
        <v>865011032237076</v>
      </c>
      <c r="O65" s="16" t="s">
        <v>3683</v>
      </c>
      <c r="P65" s="17" t="s">
        <v>3682</v>
      </c>
      <c r="Q65" s="17" t="s">
        <v>4174</v>
      </c>
      <c r="R65" s="40">
        <v>1999.84</v>
      </c>
      <c r="S65" s="19" t="s">
        <v>3584</v>
      </c>
      <c r="T65" s="42">
        <v>44228</v>
      </c>
      <c r="U65" s="43">
        <v>44232</v>
      </c>
      <c r="V65" s="15"/>
      <c r="W65" s="15"/>
    </row>
    <row r="66" spans="1:23" s="34" customFormat="1" ht="29" x14ac:dyDescent="0.35">
      <c r="A66" s="15"/>
      <c r="B66" s="35">
        <v>44224</v>
      </c>
      <c r="C66" s="14">
        <v>63</v>
      </c>
      <c r="D66" s="85" t="s">
        <v>2667</v>
      </c>
      <c r="E66" s="17" t="s">
        <v>1505</v>
      </c>
      <c r="F66" s="74" t="s">
        <v>13</v>
      </c>
      <c r="G66" s="14"/>
      <c r="H66" s="14" t="s">
        <v>85</v>
      </c>
      <c r="I66" s="145"/>
      <c r="J66" s="17" t="s">
        <v>1488</v>
      </c>
      <c r="K66" s="14" t="s">
        <v>1066</v>
      </c>
      <c r="L66" s="14" t="s">
        <v>2</v>
      </c>
      <c r="M66" s="38">
        <v>345901012473186</v>
      </c>
      <c r="N66" s="38">
        <v>865011032239684</v>
      </c>
      <c r="O66" s="38"/>
      <c r="P66" s="14" t="s">
        <v>791</v>
      </c>
      <c r="Q66" s="39" t="s">
        <v>2559</v>
      </c>
      <c r="R66" s="40">
        <v>1999.84</v>
      </c>
      <c r="S66" s="41" t="s">
        <v>1504</v>
      </c>
      <c r="T66" s="42">
        <v>44228</v>
      </c>
      <c r="U66" s="43">
        <v>44232</v>
      </c>
      <c r="V66" s="15"/>
      <c r="W66" s="15"/>
    </row>
    <row r="67" spans="1:23" s="34" customFormat="1" ht="29" x14ac:dyDescent="0.35">
      <c r="A67" s="15"/>
      <c r="B67" s="35">
        <v>44229</v>
      </c>
      <c r="C67" s="14">
        <v>64</v>
      </c>
      <c r="D67" s="39">
        <v>135</v>
      </c>
      <c r="E67" s="46"/>
      <c r="F67" s="74" t="s">
        <v>40</v>
      </c>
      <c r="G67" s="14"/>
      <c r="H67" s="14" t="s">
        <v>527</v>
      </c>
      <c r="I67" s="144"/>
      <c r="J67" s="14" t="s">
        <v>790</v>
      </c>
      <c r="K67" s="14" t="s">
        <v>1067</v>
      </c>
      <c r="L67" s="14" t="s">
        <v>2</v>
      </c>
      <c r="M67" s="38" t="s">
        <v>39</v>
      </c>
      <c r="N67" s="38" t="s">
        <v>39</v>
      </c>
      <c r="O67" s="38"/>
      <c r="P67" s="14" t="s">
        <v>39</v>
      </c>
      <c r="Q67" s="14" t="s">
        <v>39</v>
      </c>
      <c r="R67" s="40">
        <v>0</v>
      </c>
      <c r="S67" s="14" t="s">
        <v>40</v>
      </c>
      <c r="T67" s="42">
        <v>44228</v>
      </c>
      <c r="U67" s="43">
        <v>44232</v>
      </c>
      <c r="V67" s="15"/>
      <c r="W67" s="15"/>
    </row>
    <row r="68" spans="1:23" s="34" customFormat="1" ht="29" x14ac:dyDescent="0.35">
      <c r="A68" s="15"/>
      <c r="B68" s="35">
        <v>44229</v>
      </c>
      <c r="C68" s="14">
        <v>65</v>
      </c>
      <c r="D68" s="39" t="s">
        <v>2666</v>
      </c>
      <c r="E68" s="46" t="s">
        <v>462</v>
      </c>
      <c r="F68" s="74" t="s">
        <v>13</v>
      </c>
      <c r="G68" s="14"/>
      <c r="H68" s="14" t="s">
        <v>470</v>
      </c>
      <c r="I68" s="144"/>
      <c r="J68" s="14" t="s">
        <v>475</v>
      </c>
      <c r="K68" s="14" t="s">
        <v>1068</v>
      </c>
      <c r="L68" s="14" t="s">
        <v>2</v>
      </c>
      <c r="M68" s="38">
        <v>345901012591007</v>
      </c>
      <c r="N68" s="38">
        <v>863844050491528</v>
      </c>
      <c r="O68" s="38"/>
      <c r="P68" s="14" t="s">
        <v>474</v>
      </c>
      <c r="Q68" s="39" t="s">
        <v>2559</v>
      </c>
      <c r="R68" s="40">
        <v>1999.84</v>
      </c>
      <c r="S68" s="41" t="s">
        <v>462</v>
      </c>
      <c r="T68" s="42">
        <v>44228</v>
      </c>
      <c r="U68" s="43">
        <v>44232</v>
      </c>
      <c r="V68" s="15"/>
      <c r="W68" s="15"/>
    </row>
    <row r="69" spans="1:23" s="34" customFormat="1" ht="29" x14ac:dyDescent="0.35">
      <c r="A69" s="15"/>
      <c r="B69" s="35">
        <v>44230</v>
      </c>
      <c r="C69" s="14">
        <v>66</v>
      </c>
      <c r="D69" s="74" t="s">
        <v>2668</v>
      </c>
      <c r="E69" s="14" t="s">
        <v>2671</v>
      </c>
      <c r="F69" s="74" t="s">
        <v>13</v>
      </c>
      <c r="G69" s="14"/>
      <c r="H69" s="14" t="s">
        <v>784</v>
      </c>
      <c r="I69" s="144"/>
      <c r="J69" s="14" t="s">
        <v>783</v>
      </c>
      <c r="K69" s="14" t="s">
        <v>1069</v>
      </c>
      <c r="L69" s="14" t="s">
        <v>2</v>
      </c>
      <c r="M69" s="38">
        <v>345901012591006</v>
      </c>
      <c r="N69" s="38">
        <v>863844050491643</v>
      </c>
      <c r="O69" s="38"/>
      <c r="P69" s="14" t="s">
        <v>789</v>
      </c>
      <c r="Q69" s="14" t="s">
        <v>8</v>
      </c>
      <c r="R69" s="40">
        <v>1999.84</v>
      </c>
      <c r="S69" s="41" t="s">
        <v>1065</v>
      </c>
      <c r="T69" s="42">
        <v>44228</v>
      </c>
      <c r="U69" s="43">
        <v>44232</v>
      </c>
      <c r="V69" s="15"/>
      <c r="W69" s="15"/>
    </row>
    <row r="70" spans="1:23" s="34" customFormat="1" ht="29" x14ac:dyDescent="0.35">
      <c r="A70" s="15"/>
      <c r="B70" s="35">
        <v>44231</v>
      </c>
      <c r="C70" s="14">
        <v>67</v>
      </c>
      <c r="D70" s="74" t="s">
        <v>2668</v>
      </c>
      <c r="E70" s="14" t="s">
        <v>1065</v>
      </c>
      <c r="F70" s="74" t="s">
        <v>6</v>
      </c>
      <c r="G70" s="14"/>
      <c r="H70" s="14" t="s">
        <v>784</v>
      </c>
      <c r="I70" s="144"/>
      <c r="J70" s="14" t="s">
        <v>783</v>
      </c>
      <c r="K70" s="14" t="s">
        <v>1069</v>
      </c>
      <c r="L70" s="14" t="s">
        <v>2</v>
      </c>
      <c r="M70" s="38">
        <v>345901012591006</v>
      </c>
      <c r="N70" s="38">
        <v>863844050491643</v>
      </c>
      <c r="O70" s="38"/>
      <c r="P70" s="14" t="s">
        <v>789</v>
      </c>
      <c r="Q70" s="14" t="s">
        <v>2669</v>
      </c>
      <c r="R70" s="40">
        <v>754</v>
      </c>
      <c r="S70" s="41" t="s">
        <v>1065</v>
      </c>
      <c r="T70" s="42">
        <v>44232</v>
      </c>
      <c r="U70" s="43">
        <v>44236</v>
      </c>
      <c r="V70" s="15"/>
      <c r="W70" s="15"/>
    </row>
    <row r="71" spans="1:23" s="34" customFormat="1" ht="43.5" x14ac:dyDescent="0.35">
      <c r="A71" s="15"/>
      <c r="B71" s="35">
        <v>44231</v>
      </c>
      <c r="C71" s="14">
        <v>68</v>
      </c>
      <c r="D71" s="36" t="s">
        <v>2203</v>
      </c>
      <c r="E71" s="14" t="s">
        <v>627</v>
      </c>
      <c r="F71" s="74" t="s">
        <v>138</v>
      </c>
      <c r="G71" s="14"/>
      <c r="H71" s="14" t="s">
        <v>527</v>
      </c>
      <c r="I71" s="144"/>
      <c r="J71" s="14" t="s">
        <v>788</v>
      </c>
      <c r="K71" s="14" t="s">
        <v>1070</v>
      </c>
      <c r="L71" s="14" t="s">
        <v>728</v>
      </c>
      <c r="M71" s="38">
        <v>345901012591006</v>
      </c>
      <c r="N71" s="38">
        <v>863844050491643</v>
      </c>
      <c r="O71" s="38"/>
      <c r="P71" s="14" t="s">
        <v>787</v>
      </c>
      <c r="Q71" s="14" t="s">
        <v>2670</v>
      </c>
      <c r="R71" s="40">
        <v>696</v>
      </c>
      <c r="S71" s="19" t="s">
        <v>2204</v>
      </c>
      <c r="T71" s="42">
        <v>44232</v>
      </c>
      <c r="U71" s="43">
        <v>44236</v>
      </c>
      <c r="V71" s="15"/>
      <c r="W71" s="15"/>
    </row>
    <row r="72" spans="1:23" s="34" customFormat="1" ht="29" x14ac:dyDescent="0.35">
      <c r="A72" s="15"/>
      <c r="B72" s="35">
        <v>44232</v>
      </c>
      <c r="C72" s="14">
        <v>69</v>
      </c>
      <c r="D72" s="85" t="s">
        <v>3685</v>
      </c>
      <c r="E72" s="14" t="s">
        <v>666</v>
      </c>
      <c r="F72" s="74" t="s">
        <v>13</v>
      </c>
      <c r="G72" s="14" t="s">
        <v>39</v>
      </c>
      <c r="H72" s="14" t="s">
        <v>473</v>
      </c>
      <c r="I72" s="144" t="s">
        <v>39</v>
      </c>
      <c r="J72" s="17" t="s">
        <v>26</v>
      </c>
      <c r="K72" s="14" t="s">
        <v>1071</v>
      </c>
      <c r="L72" s="14" t="s">
        <v>728</v>
      </c>
      <c r="M72" s="38">
        <v>345901012591009</v>
      </c>
      <c r="N72" s="38">
        <v>863844051165881</v>
      </c>
      <c r="O72" s="16" t="s">
        <v>39</v>
      </c>
      <c r="P72" s="17" t="s">
        <v>786</v>
      </c>
      <c r="Q72" s="17" t="s">
        <v>4174</v>
      </c>
      <c r="R72" s="40">
        <v>1999.84</v>
      </c>
      <c r="S72" s="19" t="s">
        <v>3584</v>
      </c>
      <c r="T72" s="42">
        <v>44232</v>
      </c>
      <c r="U72" s="43">
        <v>44236</v>
      </c>
      <c r="V72" s="15"/>
      <c r="W72" s="15"/>
    </row>
    <row r="73" spans="1:23" s="34" customFormat="1" ht="29" x14ac:dyDescent="0.35">
      <c r="A73" s="15"/>
      <c r="B73" s="35">
        <v>44236</v>
      </c>
      <c r="C73" s="14">
        <v>70</v>
      </c>
      <c r="D73" s="74" t="s">
        <v>2673</v>
      </c>
      <c r="E73" s="46" t="s">
        <v>2672</v>
      </c>
      <c r="F73" s="74" t="s">
        <v>13</v>
      </c>
      <c r="G73" s="14"/>
      <c r="H73" s="14"/>
      <c r="I73" s="144"/>
      <c r="J73" s="14" t="s">
        <v>396</v>
      </c>
      <c r="K73" s="14" t="s">
        <v>1072</v>
      </c>
      <c r="L73" s="14" t="s">
        <v>2</v>
      </c>
      <c r="M73" s="38">
        <v>345901012471681</v>
      </c>
      <c r="N73" s="38">
        <v>865011031937601</v>
      </c>
      <c r="O73" s="38"/>
      <c r="P73" s="14" t="s">
        <v>395</v>
      </c>
      <c r="Q73" s="14" t="s">
        <v>8</v>
      </c>
      <c r="R73" s="40">
        <v>1999.84</v>
      </c>
      <c r="S73" s="41" t="s">
        <v>2676</v>
      </c>
      <c r="T73" s="42">
        <v>44251</v>
      </c>
      <c r="U73" s="43">
        <v>44253</v>
      </c>
      <c r="V73" s="15"/>
      <c r="W73" s="15"/>
    </row>
    <row r="74" spans="1:23" s="34" customFormat="1" ht="29" x14ac:dyDescent="0.35">
      <c r="A74" s="15"/>
      <c r="B74" s="35">
        <v>44237</v>
      </c>
      <c r="C74" s="14">
        <v>71</v>
      </c>
      <c r="D74" s="85" t="s">
        <v>2681</v>
      </c>
      <c r="E74" s="17" t="s">
        <v>2682</v>
      </c>
      <c r="F74" s="74" t="s">
        <v>13</v>
      </c>
      <c r="G74" s="14"/>
      <c r="H74" s="14" t="s">
        <v>1793</v>
      </c>
      <c r="I74" s="145"/>
      <c r="J74" s="17" t="s">
        <v>1484</v>
      </c>
      <c r="K74" s="17" t="s">
        <v>1482</v>
      </c>
      <c r="L74" s="14" t="s">
        <v>2</v>
      </c>
      <c r="M74" s="38">
        <v>345901012471682</v>
      </c>
      <c r="N74" s="38">
        <v>865011031935704</v>
      </c>
      <c r="O74" s="38"/>
      <c r="P74" s="14" t="s">
        <v>785</v>
      </c>
      <c r="Q74" s="39" t="s">
        <v>2559</v>
      </c>
      <c r="R74" s="40">
        <v>1999.84</v>
      </c>
      <c r="S74" s="41" t="s">
        <v>1504</v>
      </c>
      <c r="T74" s="42">
        <v>44251</v>
      </c>
      <c r="U74" s="43">
        <v>44253</v>
      </c>
      <c r="V74" s="15"/>
      <c r="W74" s="15"/>
    </row>
    <row r="75" spans="1:23" s="34" customFormat="1" ht="29" x14ac:dyDescent="0.35">
      <c r="A75" s="15"/>
      <c r="B75" s="35">
        <v>44238</v>
      </c>
      <c r="C75" s="14">
        <v>72</v>
      </c>
      <c r="D75" s="85" t="s">
        <v>3687</v>
      </c>
      <c r="E75" s="14" t="s">
        <v>627</v>
      </c>
      <c r="F75" s="74" t="s">
        <v>13</v>
      </c>
      <c r="G75" s="14" t="s">
        <v>39</v>
      </c>
      <c r="H75" s="14" t="s">
        <v>784</v>
      </c>
      <c r="I75" s="144" t="s">
        <v>39</v>
      </c>
      <c r="J75" s="17" t="s">
        <v>3690</v>
      </c>
      <c r="K75" s="14" t="s">
        <v>1073</v>
      </c>
      <c r="L75" s="14" t="s">
        <v>2</v>
      </c>
      <c r="M75" s="38">
        <v>345901012471657</v>
      </c>
      <c r="N75" s="38">
        <v>865011031939326</v>
      </c>
      <c r="O75" s="16" t="s">
        <v>3689</v>
      </c>
      <c r="P75" s="14" t="s">
        <v>3688</v>
      </c>
      <c r="Q75" s="17" t="s">
        <v>4174</v>
      </c>
      <c r="R75" s="40">
        <v>1999.84</v>
      </c>
      <c r="S75" s="19" t="s">
        <v>3584</v>
      </c>
      <c r="T75" s="42">
        <v>44251</v>
      </c>
      <c r="U75" s="43">
        <v>44253</v>
      </c>
      <c r="V75" s="15"/>
      <c r="W75" s="15"/>
    </row>
    <row r="76" spans="1:23" s="34" customFormat="1" ht="29" x14ac:dyDescent="0.35">
      <c r="A76" s="15"/>
      <c r="B76" s="35">
        <v>44240</v>
      </c>
      <c r="C76" s="14">
        <v>73</v>
      </c>
      <c r="D76" s="85" t="s">
        <v>3691</v>
      </c>
      <c r="E76" s="14" t="s">
        <v>627</v>
      </c>
      <c r="F76" s="74" t="s">
        <v>13</v>
      </c>
      <c r="G76" s="14" t="s">
        <v>39</v>
      </c>
      <c r="H76" s="14" t="s">
        <v>782</v>
      </c>
      <c r="I76" s="144" t="s">
        <v>39</v>
      </c>
      <c r="J76" s="17" t="s">
        <v>26</v>
      </c>
      <c r="K76" s="52" t="s">
        <v>1074</v>
      </c>
      <c r="L76" s="14" t="s">
        <v>2</v>
      </c>
      <c r="M76" s="38">
        <v>345901012471635</v>
      </c>
      <c r="N76" s="38" t="s">
        <v>2683</v>
      </c>
      <c r="O76" s="16" t="s">
        <v>781</v>
      </c>
      <c r="P76" s="17" t="s">
        <v>39</v>
      </c>
      <c r="Q76" s="17" t="s">
        <v>4174</v>
      </c>
      <c r="R76" s="40">
        <v>1999.84</v>
      </c>
      <c r="S76" s="19" t="s">
        <v>3584</v>
      </c>
      <c r="T76" s="42">
        <v>44251</v>
      </c>
      <c r="U76" s="43">
        <v>44253</v>
      </c>
      <c r="V76" s="15"/>
      <c r="W76" s="15"/>
    </row>
    <row r="77" spans="1:23" s="34" customFormat="1" ht="29" x14ac:dyDescent="0.35">
      <c r="A77" s="15"/>
      <c r="B77" s="35">
        <v>44249</v>
      </c>
      <c r="C77" s="14">
        <v>74</v>
      </c>
      <c r="D77" s="85" t="s">
        <v>2684</v>
      </c>
      <c r="E77" s="17" t="s">
        <v>2685</v>
      </c>
      <c r="F77" s="74" t="s">
        <v>13</v>
      </c>
      <c r="G77" s="14"/>
      <c r="H77" s="14" t="s">
        <v>473</v>
      </c>
      <c r="I77" s="145"/>
      <c r="J77" s="17" t="s">
        <v>1483</v>
      </c>
      <c r="K77" s="14" t="s">
        <v>1075</v>
      </c>
      <c r="L77" s="14" t="s">
        <v>728</v>
      </c>
      <c r="M77" s="38">
        <v>345901012255307</v>
      </c>
      <c r="N77" s="38">
        <v>863844050695888</v>
      </c>
      <c r="O77" s="38"/>
      <c r="P77" s="14" t="s">
        <v>780</v>
      </c>
      <c r="Q77" s="39" t="s">
        <v>2559</v>
      </c>
      <c r="R77" s="40">
        <v>1999.84</v>
      </c>
      <c r="S77" s="41" t="s">
        <v>1504</v>
      </c>
      <c r="T77" s="42">
        <v>44251</v>
      </c>
      <c r="U77" s="43">
        <v>44253</v>
      </c>
      <c r="V77" s="15"/>
      <c r="W77" s="15"/>
    </row>
    <row r="78" spans="1:23" s="34" customFormat="1" ht="29" x14ac:dyDescent="0.35">
      <c r="A78" s="15"/>
      <c r="B78" s="35">
        <v>44252</v>
      </c>
      <c r="C78" s="14">
        <v>75</v>
      </c>
      <c r="D78" s="85" t="s">
        <v>2686</v>
      </c>
      <c r="E78" s="17" t="s">
        <v>2687</v>
      </c>
      <c r="F78" s="74" t="s">
        <v>13</v>
      </c>
      <c r="G78" s="14"/>
      <c r="H78" s="14" t="s">
        <v>473</v>
      </c>
      <c r="I78" s="145"/>
      <c r="J78" s="17" t="s">
        <v>1489</v>
      </c>
      <c r="K78" s="17" t="s">
        <v>1490</v>
      </c>
      <c r="L78" s="14" t="s">
        <v>728</v>
      </c>
      <c r="M78" s="38" t="s">
        <v>779</v>
      </c>
      <c r="N78" s="38">
        <v>863844050695607</v>
      </c>
      <c r="O78" s="38"/>
      <c r="P78" s="14" t="s">
        <v>778</v>
      </c>
      <c r="Q78" s="39" t="s">
        <v>2559</v>
      </c>
      <c r="R78" s="40">
        <v>1999.84</v>
      </c>
      <c r="S78" s="41" t="s">
        <v>1504</v>
      </c>
      <c r="T78" s="42">
        <v>44258</v>
      </c>
      <c r="U78" s="43">
        <v>44270</v>
      </c>
      <c r="V78" s="15"/>
      <c r="W78" s="15"/>
    </row>
    <row r="79" spans="1:23" s="34" customFormat="1" ht="29" x14ac:dyDescent="0.35">
      <c r="A79" s="15"/>
      <c r="B79" s="35">
        <v>44252</v>
      </c>
      <c r="C79" s="14">
        <v>76</v>
      </c>
      <c r="D79" s="36" t="s">
        <v>1932</v>
      </c>
      <c r="E79" s="85" t="s">
        <v>2939</v>
      </c>
      <c r="F79" s="74" t="s">
        <v>13</v>
      </c>
      <c r="G79" s="14"/>
      <c r="H79" s="14" t="s">
        <v>473</v>
      </c>
      <c r="I79" s="145"/>
      <c r="J79" s="17" t="s">
        <v>2940</v>
      </c>
      <c r="K79" s="17" t="s">
        <v>1933</v>
      </c>
      <c r="L79" s="14" t="s">
        <v>728</v>
      </c>
      <c r="M79" s="38" t="s">
        <v>777</v>
      </c>
      <c r="N79" s="38">
        <v>863844050699245</v>
      </c>
      <c r="O79" s="38"/>
      <c r="P79" s="14" t="s">
        <v>776</v>
      </c>
      <c r="Q79" s="14" t="s">
        <v>8</v>
      </c>
      <c r="R79" s="40">
        <v>1999.84</v>
      </c>
      <c r="S79" s="41" t="s">
        <v>1931</v>
      </c>
      <c r="T79" s="42">
        <v>44258</v>
      </c>
      <c r="U79" s="43">
        <v>44270</v>
      </c>
      <c r="V79" s="44"/>
      <c r="W79" s="15"/>
    </row>
    <row r="80" spans="1:23" s="34" customFormat="1" ht="29" x14ac:dyDescent="0.35">
      <c r="A80" s="15"/>
      <c r="B80" s="35">
        <v>44256</v>
      </c>
      <c r="C80" s="14">
        <v>77</v>
      </c>
      <c r="D80" s="36" t="s">
        <v>2206</v>
      </c>
      <c r="E80" s="14" t="s">
        <v>627</v>
      </c>
      <c r="F80" s="74" t="s">
        <v>13</v>
      </c>
      <c r="G80" s="14"/>
      <c r="H80" s="14" t="s">
        <v>775</v>
      </c>
      <c r="I80" s="144"/>
      <c r="J80" s="14" t="s">
        <v>774</v>
      </c>
      <c r="K80" s="14" t="s">
        <v>1076</v>
      </c>
      <c r="L80" s="14" t="s">
        <v>2</v>
      </c>
      <c r="M80" s="38" t="s">
        <v>773</v>
      </c>
      <c r="N80" s="38">
        <v>863844050698064</v>
      </c>
      <c r="O80" s="38"/>
      <c r="P80" s="14" t="s">
        <v>772</v>
      </c>
      <c r="Q80" s="14" t="s">
        <v>8</v>
      </c>
      <c r="R80" s="40">
        <v>1999.84</v>
      </c>
      <c r="S80" s="19" t="s">
        <v>2200</v>
      </c>
      <c r="T80" s="42">
        <v>44258</v>
      </c>
      <c r="U80" s="43">
        <v>44270</v>
      </c>
      <c r="V80" s="15"/>
      <c r="W80" s="15"/>
    </row>
    <row r="81" spans="1:23" s="34" customFormat="1" ht="29" x14ac:dyDescent="0.35">
      <c r="A81" s="15"/>
      <c r="B81" s="35">
        <v>44268</v>
      </c>
      <c r="C81" s="14">
        <v>78</v>
      </c>
      <c r="D81" s="39" t="s">
        <v>1934</v>
      </c>
      <c r="E81" s="85" t="s">
        <v>1929</v>
      </c>
      <c r="F81" s="74" t="s">
        <v>13</v>
      </c>
      <c r="G81" s="14"/>
      <c r="H81" s="14" t="s">
        <v>527</v>
      </c>
      <c r="I81" s="144"/>
      <c r="J81" s="14" t="s">
        <v>771</v>
      </c>
      <c r="K81" s="14" t="s">
        <v>1077</v>
      </c>
      <c r="L81" s="14" t="s">
        <v>2</v>
      </c>
      <c r="M81" s="38" t="s">
        <v>770</v>
      </c>
      <c r="N81" s="38">
        <v>864606046773361</v>
      </c>
      <c r="O81" s="38"/>
      <c r="P81" s="14" t="s">
        <v>769</v>
      </c>
      <c r="Q81" s="14" t="s">
        <v>8</v>
      </c>
      <c r="R81" s="40">
        <v>1999.84</v>
      </c>
      <c r="S81" s="41" t="s">
        <v>1931</v>
      </c>
      <c r="T81" s="42">
        <v>44284</v>
      </c>
      <c r="U81" s="43">
        <v>44286</v>
      </c>
      <c r="V81" s="44"/>
      <c r="W81" s="15"/>
    </row>
    <row r="82" spans="1:23" s="34" customFormat="1" ht="29" x14ac:dyDescent="0.35">
      <c r="A82" s="15"/>
      <c r="B82" s="35">
        <v>44268</v>
      </c>
      <c r="C82" s="14">
        <v>79</v>
      </c>
      <c r="D82" s="36" t="s">
        <v>1935</v>
      </c>
      <c r="E82" s="85" t="s">
        <v>2688</v>
      </c>
      <c r="F82" s="74" t="s">
        <v>13</v>
      </c>
      <c r="G82" s="14"/>
      <c r="H82" s="14" t="s">
        <v>1793</v>
      </c>
      <c r="I82" s="144"/>
      <c r="J82" s="14" t="s">
        <v>768</v>
      </c>
      <c r="K82" s="14" t="s">
        <v>1078</v>
      </c>
      <c r="L82" s="14" t="s">
        <v>2</v>
      </c>
      <c r="M82" s="38" t="s">
        <v>767</v>
      </c>
      <c r="N82" s="38">
        <v>358480086815885</v>
      </c>
      <c r="O82" s="38"/>
      <c r="P82" s="14" t="s">
        <v>766</v>
      </c>
      <c r="Q82" s="14" t="s">
        <v>8</v>
      </c>
      <c r="R82" s="40">
        <v>1999.84</v>
      </c>
      <c r="S82" s="41" t="s">
        <v>1931</v>
      </c>
      <c r="T82" s="42">
        <v>44284</v>
      </c>
      <c r="U82" s="43">
        <v>44286</v>
      </c>
      <c r="V82" s="44"/>
      <c r="W82" s="15"/>
    </row>
    <row r="83" spans="1:23" s="34" customFormat="1" ht="29" x14ac:dyDescent="0.35">
      <c r="A83" s="15"/>
      <c r="B83" s="35">
        <v>44271</v>
      </c>
      <c r="C83" s="14">
        <v>80</v>
      </c>
      <c r="D83" s="36" t="s">
        <v>1936</v>
      </c>
      <c r="E83" s="85" t="s">
        <v>2689</v>
      </c>
      <c r="F83" s="74" t="s">
        <v>13</v>
      </c>
      <c r="G83" s="14"/>
      <c r="H83" s="14" t="s">
        <v>473</v>
      </c>
      <c r="I83" s="144"/>
      <c r="J83" s="14" t="s">
        <v>765</v>
      </c>
      <c r="K83" s="14" t="s">
        <v>1079</v>
      </c>
      <c r="L83" s="14" t="s">
        <v>2</v>
      </c>
      <c r="M83" s="38" t="s">
        <v>764</v>
      </c>
      <c r="N83" s="38">
        <v>863844050695532</v>
      </c>
      <c r="O83" s="38"/>
      <c r="P83" s="14" t="s">
        <v>763</v>
      </c>
      <c r="Q83" s="14" t="s">
        <v>8</v>
      </c>
      <c r="R83" s="40">
        <v>1999.84</v>
      </c>
      <c r="S83" s="41" t="s">
        <v>1931</v>
      </c>
      <c r="T83" s="42">
        <v>44284</v>
      </c>
      <c r="U83" s="43">
        <v>44286</v>
      </c>
      <c r="V83" s="15"/>
      <c r="W83" s="15"/>
    </row>
    <row r="84" spans="1:23" s="34" customFormat="1" ht="29" x14ac:dyDescent="0.35">
      <c r="A84" s="15"/>
      <c r="B84" s="35">
        <v>44271</v>
      </c>
      <c r="C84" s="14">
        <v>81</v>
      </c>
      <c r="D84" s="36" t="s">
        <v>1937</v>
      </c>
      <c r="E84" s="85" t="s">
        <v>2689</v>
      </c>
      <c r="F84" s="74" t="s">
        <v>13</v>
      </c>
      <c r="G84" s="14"/>
      <c r="H84" s="14" t="s">
        <v>11</v>
      </c>
      <c r="I84" s="144"/>
      <c r="J84" s="14" t="s">
        <v>762</v>
      </c>
      <c r="K84" s="14" t="s">
        <v>1938</v>
      </c>
      <c r="L84" s="14" t="s">
        <v>2</v>
      </c>
      <c r="M84" s="38" t="s">
        <v>761</v>
      </c>
      <c r="N84" s="38">
        <v>863844050700423</v>
      </c>
      <c r="O84" s="38"/>
      <c r="P84" s="14" t="s">
        <v>760</v>
      </c>
      <c r="Q84" s="14" t="s">
        <v>8</v>
      </c>
      <c r="R84" s="40">
        <v>1999.84</v>
      </c>
      <c r="S84" s="41" t="s">
        <v>1931</v>
      </c>
      <c r="T84" s="42">
        <v>44284</v>
      </c>
      <c r="U84" s="43">
        <v>44286</v>
      </c>
      <c r="V84" s="44"/>
      <c r="W84" s="15"/>
    </row>
    <row r="85" spans="1:23" s="34" customFormat="1" ht="29" x14ac:dyDescent="0.35">
      <c r="A85" s="15"/>
      <c r="B85" s="35">
        <v>44271</v>
      </c>
      <c r="C85" s="14">
        <v>82</v>
      </c>
      <c r="D85" s="36" t="s">
        <v>1939</v>
      </c>
      <c r="E85" s="85" t="s">
        <v>2689</v>
      </c>
      <c r="F85" s="74" t="s">
        <v>13</v>
      </c>
      <c r="G85" s="14"/>
      <c r="H85" s="14" t="s">
        <v>473</v>
      </c>
      <c r="I85" s="144"/>
      <c r="J85" s="14" t="s">
        <v>759</v>
      </c>
      <c r="K85" s="14" t="s">
        <v>1080</v>
      </c>
      <c r="L85" s="14" t="s">
        <v>2</v>
      </c>
      <c r="M85" s="38" t="s">
        <v>758</v>
      </c>
      <c r="N85" s="38">
        <v>863844050700092</v>
      </c>
      <c r="O85" s="38"/>
      <c r="P85" s="14" t="s">
        <v>757</v>
      </c>
      <c r="Q85" s="14" t="s">
        <v>8</v>
      </c>
      <c r="R85" s="40">
        <v>1999.84</v>
      </c>
      <c r="S85" s="41" t="s">
        <v>1931</v>
      </c>
      <c r="T85" s="42">
        <v>44284</v>
      </c>
      <c r="U85" s="43">
        <v>44286</v>
      </c>
      <c r="V85" s="15"/>
      <c r="W85" s="15"/>
    </row>
    <row r="86" spans="1:23" s="34" customFormat="1" ht="29" x14ac:dyDescent="0.35">
      <c r="A86" s="15"/>
      <c r="B86" s="35">
        <v>44272</v>
      </c>
      <c r="C86" s="14">
        <v>83</v>
      </c>
      <c r="D86" s="85" t="s">
        <v>2690</v>
      </c>
      <c r="E86" s="17" t="s">
        <v>2691</v>
      </c>
      <c r="F86" s="74" t="s">
        <v>13</v>
      </c>
      <c r="G86" s="14"/>
      <c r="H86" s="14" t="s">
        <v>11</v>
      </c>
      <c r="I86" s="145"/>
      <c r="J86" s="17" t="s">
        <v>1491</v>
      </c>
      <c r="K86" s="14" t="s">
        <v>1081</v>
      </c>
      <c r="L86" s="14" t="s">
        <v>756</v>
      </c>
      <c r="M86" s="38">
        <v>8123195890</v>
      </c>
      <c r="N86" s="38">
        <v>865011033005951</v>
      </c>
      <c r="O86" s="38"/>
      <c r="P86" s="14" t="s">
        <v>752</v>
      </c>
      <c r="Q86" s="39" t="s">
        <v>2559</v>
      </c>
      <c r="R86" s="40">
        <v>1999.84</v>
      </c>
      <c r="S86" s="41" t="s">
        <v>1504</v>
      </c>
      <c r="T86" s="42">
        <v>44284</v>
      </c>
      <c r="U86" s="43">
        <v>44286</v>
      </c>
      <c r="V86" s="15"/>
      <c r="W86" s="15"/>
    </row>
    <row r="87" spans="1:23" s="34" customFormat="1" ht="29" x14ac:dyDescent="0.35">
      <c r="A87" s="15"/>
      <c r="B87" s="35">
        <v>44272</v>
      </c>
      <c r="C87" s="14">
        <v>84</v>
      </c>
      <c r="D87" s="85" t="s">
        <v>2556</v>
      </c>
      <c r="E87" s="14" t="s">
        <v>2692</v>
      </c>
      <c r="F87" s="74" t="s">
        <v>13</v>
      </c>
      <c r="G87" s="14" t="s">
        <v>39</v>
      </c>
      <c r="H87" s="14" t="s">
        <v>1793</v>
      </c>
      <c r="I87" s="144" t="s">
        <v>39</v>
      </c>
      <c r="J87" s="17" t="s">
        <v>2558</v>
      </c>
      <c r="K87" s="14" t="s">
        <v>1082</v>
      </c>
      <c r="L87" s="14" t="s">
        <v>756</v>
      </c>
      <c r="M87" s="38">
        <v>8115777419</v>
      </c>
      <c r="N87" s="38">
        <v>865011033005613</v>
      </c>
      <c r="O87" s="38" t="s">
        <v>3270</v>
      </c>
      <c r="P87" s="17" t="s">
        <v>3271</v>
      </c>
      <c r="Q87" s="17" t="s">
        <v>2559</v>
      </c>
      <c r="R87" s="40">
        <v>1999.84</v>
      </c>
      <c r="S87" s="19" t="s">
        <v>2560</v>
      </c>
      <c r="T87" s="42">
        <v>44284</v>
      </c>
      <c r="U87" s="43">
        <v>44286</v>
      </c>
      <c r="V87" s="44"/>
      <c r="W87" s="15"/>
    </row>
    <row r="88" spans="1:23" s="34" customFormat="1" ht="29" x14ac:dyDescent="0.35">
      <c r="A88" s="15"/>
      <c r="B88" s="35">
        <v>44274</v>
      </c>
      <c r="C88" s="14">
        <v>85</v>
      </c>
      <c r="D88" s="74" t="s">
        <v>2693</v>
      </c>
      <c r="E88" s="14" t="s">
        <v>2694</v>
      </c>
      <c r="F88" s="74" t="s">
        <v>13</v>
      </c>
      <c r="G88" s="14"/>
      <c r="H88" s="14" t="s">
        <v>473</v>
      </c>
      <c r="I88" s="144"/>
      <c r="J88" s="14" t="s">
        <v>602</v>
      </c>
      <c r="K88" s="14" t="s">
        <v>1083</v>
      </c>
      <c r="L88" s="14" t="s">
        <v>2</v>
      </c>
      <c r="M88" s="38">
        <v>8122011380</v>
      </c>
      <c r="N88" s="38">
        <v>865011033049058</v>
      </c>
      <c r="O88" s="38"/>
      <c r="P88" s="14" t="s">
        <v>601</v>
      </c>
      <c r="Q88" s="14" t="s">
        <v>8</v>
      </c>
      <c r="R88" s="40">
        <v>1999.84</v>
      </c>
      <c r="S88" s="41" t="s">
        <v>2695</v>
      </c>
      <c r="T88" s="42">
        <v>44284</v>
      </c>
      <c r="U88" s="43">
        <v>44286</v>
      </c>
      <c r="V88" s="15"/>
      <c r="W88" s="15"/>
    </row>
    <row r="89" spans="1:23" s="34" customFormat="1" ht="29" x14ac:dyDescent="0.35">
      <c r="A89" s="15"/>
      <c r="B89" s="35">
        <v>44278</v>
      </c>
      <c r="C89" s="14">
        <v>86</v>
      </c>
      <c r="D89" s="36" t="s">
        <v>1940</v>
      </c>
      <c r="E89" s="85" t="s">
        <v>2696</v>
      </c>
      <c r="F89" s="74" t="s">
        <v>13</v>
      </c>
      <c r="G89" s="14"/>
      <c r="H89" s="14" t="s">
        <v>1793</v>
      </c>
      <c r="I89" s="144"/>
      <c r="J89" s="14" t="s">
        <v>755</v>
      </c>
      <c r="K89" s="14" t="s">
        <v>1084</v>
      </c>
      <c r="L89" s="14" t="s">
        <v>2</v>
      </c>
      <c r="M89" s="38" t="s">
        <v>754</v>
      </c>
      <c r="N89" s="38">
        <v>865011032238058</v>
      </c>
      <c r="O89" s="38"/>
      <c r="P89" s="14" t="s">
        <v>753</v>
      </c>
      <c r="Q89" s="14" t="s">
        <v>8</v>
      </c>
      <c r="R89" s="40">
        <v>1999.84</v>
      </c>
      <c r="S89" s="41" t="s">
        <v>1931</v>
      </c>
      <c r="T89" s="42">
        <v>44284</v>
      </c>
      <c r="U89" s="43">
        <v>44286</v>
      </c>
      <c r="V89" s="15"/>
      <c r="W89" s="15"/>
    </row>
    <row r="90" spans="1:23" s="34" customFormat="1" ht="29" x14ac:dyDescent="0.35">
      <c r="A90" s="15"/>
      <c r="B90" s="35">
        <v>44279</v>
      </c>
      <c r="C90" s="14">
        <v>87</v>
      </c>
      <c r="D90" s="85" t="s">
        <v>2690</v>
      </c>
      <c r="E90" s="14" t="s">
        <v>1086</v>
      </c>
      <c r="F90" s="74" t="s">
        <v>36</v>
      </c>
      <c r="G90" s="14"/>
      <c r="H90" s="14" t="s">
        <v>11</v>
      </c>
      <c r="I90" s="145"/>
      <c r="J90" s="17" t="s">
        <v>1491</v>
      </c>
      <c r="K90" s="14" t="s">
        <v>1081</v>
      </c>
      <c r="L90" s="14" t="s">
        <v>2</v>
      </c>
      <c r="M90" s="38">
        <v>8123195890</v>
      </c>
      <c r="N90" s="38">
        <v>865011033005951</v>
      </c>
      <c r="O90" s="38"/>
      <c r="P90" s="14" t="s">
        <v>752</v>
      </c>
      <c r="Q90" s="14" t="s">
        <v>8</v>
      </c>
      <c r="R90" s="40">
        <v>0</v>
      </c>
      <c r="S90" s="41" t="s">
        <v>1504</v>
      </c>
      <c r="T90" s="42" t="s">
        <v>39</v>
      </c>
      <c r="U90" s="45"/>
      <c r="V90" s="15"/>
      <c r="W90" s="15"/>
    </row>
    <row r="91" spans="1:23" s="34" customFormat="1" ht="29" x14ac:dyDescent="0.35">
      <c r="A91" s="15"/>
      <c r="B91" s="35">
        <v>44279</v>
      </c>
      <c r="C91" s="14">
        <v>88</v>
      </c>
      <c r="D91" s="85" t="s">
        <v>2690</v>
      </c>
      <c r="E91" s="14" t="s">
        <v>1086</v>
      </c>
      <c r="F91" s="74" t="s">
        <v>36</v>
      </c>
      <c r="G91" s="14"/>
      <c r="H91" s="14" t="s">
        <v>11</v>
      </c>
      <c r="I91" s="145"/>
      <c r="J91" s="17" t="s">
        <v>1491</v>
      </c>
      <c r="K91" s="14" t="s">
        <v>1081</v>
      </c>
      <c r="L91" s="14" t="s">
        <v>2</v>
      </c>
      <c r="M91" s="38">
        <v>8123195890</v>
      </c>
      <c r="N91" s="38">
        <v>865011033005951</v>
      </c>
      <c r="O91" s="38"/>
      <c r="P91" s="14" t="s">
        <v>752</v>
      </c>
      <c r="Q91" s="14" t="s">
        <v>8</v>
      </c>
      <c r="R91" s="40">
        <v>0</v>
      </c>
      <c r="S91" s="41" t="s">
        <v>1504</v>
      </c>
      <c r="T91" s="14" t="s">
        <v>39</v>
      </c>
      <c r="U91" s="45"/>
      <c r="V91" s="15"/>
      <c r="W91" s="15"/>
    </row>
    <row r="92" spans="1:23" s="34" customFormat="1" ht="29" x14ac:dyDescent="0.35">
      <c r="A92" s="15"/>
      <c r="B92" s="35">
        <v>44281</v>
      </c>
      <c r="C92" s="14">
        <v>89</v>
      </c>
      <c r="D92" s="85" t="s">
        <v>2698</v>
      </c>
      <c r="E92" s="17" t="s">
        <v>2697</v>
      </c>
      <c r="F92" s="74" t="s">
        <v>13</v>
      </c>
      <c r="G92" s="14"/>
      <c r="H92" s="14" t="s">
        <v>473</v>
      </c>
      <c r="I92" s="145"/>
      <c r="J92" s="17" t="s">
        <v>1492</v>
      </c>
      <c r="K92" s="17" t="s">
        <v>1493</v>
      </c>
      <c r="L92" s="14" t="s">
        <v>2</v>
      </c>
      <c r="M92" s="38" t="s">
        <v>751</v>
      </c>
      <c r="N92" s="38">
        <v>863844050547204</v>
      </c>
      <c r="O92" s="38"/>
      <c r="P92" s="14" t="s">
        <v>750</v>
      </c>
      <c r="Q92" s="39" t="s">
        <v>2559</v>
      </c>
      <c r="R92" s="40">
        <v>1999.84</v>
      </c>
      <c r="S92" s="41" t="s">
        <v>1504</v>
      </c>
      <c r="T92" s="42">
        <v>44284</v>
      </c>
      <c r="U92" s="43">
        <v>44286</v>
      </c>
      <c r="V92" s="15"/>
      <c r="W92" s="15"/>
    </row>
    <row r="93" spans="1:23" s="34" customFormat="1" ht="29" x14ac:dyDescent="0.35">
      <c r="A93" s="15"/>
      <c r="B93" s="35">
        <v>44285</v>
      </c>
      <c r="C93" s="14">
        <v>90</v>
      </c>
      <c r="D93" s="36" t="s">
        <v>1941</v>
      </c>
      <c r="E93" s="85" t="s">
        <v>2699</v>
      </c>
      <c r="F93" s="74" t="s">
        <v>13</v>
      </c>
      <c r="G93" s="14"/>
      <c r="H93" s="14" t="s">
        <v>11</v>
      </c>
      <c r="I93" s="144"/>
      <c r="J93" s="14" t="s">
        <v>749</v>
      </c>
      <c r="K93" s="14" t="s">
        <v>1085</v>
      </c>
      <c r="L93" s="14" t="s">
        <v>2</v>
      </c>
      <c r="M93" s="38" t="s">
        <v>748</v>
      </c>
      <c r="N93" s="38">
        <v>864893035773723</v>
      </c>
      <c r="O93" s="38"/>
      <c r="P93" s="14" t="s">
        <v>747</v>
      </c>
      <c r="Q93" s="14" t="s">
        <v>8</v>
      </c>
      <c r="R93" s="40">
        <v>1999.84</v>
      </c>
      <c r="S93" s="41" t="s">
        <v>1931</v>
      </c>
      <c r="T93" s="42">
        <v>44287</v>
      </c>
      <c r="U93" s="43">
        <v>44301</v>
      </c>
      <c r="V93" s="15"/>
      <c r="W93" s="15"/>
    </row>
    <row r="94" spans="1:23" s="34" customFormat="1" ht="29" x14ac:dyDescent="0.35">
      <c r="A94" s="15"/>
      <c r="B94" s="35">
        <v>44285</v>
      </c>
      <c r="C94" s="14">
        <v>91</v>
      </c>
      <c r="D94" s="39">
        <v>160</v>
      </c>
      <c r="E94" s="46" t="s">
        <v>39</v>
      </c>
      <c r="F94" s="39" t="s">
        <v>40</v>
      </c>
      <c r="G94" s="14"/>
      <c r="H94" s="14" t="s">
        <v>1793</v>
      </c>
      <c r="I94" s="144"/>
      <c r="J94" s="14" t="s">
        <v>632</v>
      </c>
      <c r="K94" s="14" t="s">
        <v>1087</v>
      </c>
      <c r="L94" s="14" t="s">
        <v>2</v>
      </c>
      <c r="M94" s="38" t="s">
        <v>39</v>
      </c>
      <c r="N94" s="38" t="s">
        <v>39</v>
      </c>
      <c r="O94" s="38"/>
      <c r="P94" s="14" t="s">
        <v>39</v>
      </c>
      <c r="Q94" s="14" t="s">
        <v>8</v>
      </c>
      <c r="R94" s="40">
        <v>0</v>
      </c>
      <c r="S94" s="14" t="s">
        <v>40</v>
      </c>
      <c r="T94" s="14"/>
      <c r="U94" s="45"/>
      <c r="V94" s="15"/>
      <c r="W94" s="15"/>
    </row>
    <row r="95" spans="1:23" s="34" customFormat="1" ht="29" x14ac:dyDescent="0.35">
      <c r="A95" s="15"/>
      <c r="B95" s="35">
        <v>44285</v>
      </c>
      <c r="C95" s="14">
        <v>92</v>
      </c>
      <c r="D95" s="85" t="s">
        <v>3693</v>
      </c>
      <c r="E95" s="14" t="s">
        <v>627</v>
      </c>
      <c r="F95" s="74" t="s">
        <v>13</v>
      </c>
      <c r="G95" s="17" t="s">
        <v>39</v>
      </c>
      <c r="H95" s="14" t="s">
        <v>1793</v>
      </c>
      <c r="I95" s="145" t="s">
        <v>39</v>
      </c>
      <c r="J95" s="17" t="s">
        <v>3694</v>
      </c>
      <c r="K95" s="17" t="s">
        <v>3692</v>
      </c>
      <c r="L95" s="14" t="s">
        <v>2</v>
      </c>
      <c r="M95" s="38" t="s">
        <v>4182</v>
      </c>
      <c r="N95" s="38">
        <v>865011031930432</v>
      </c>
      <c r="O95" s="16" t="s">
        <v>39</v>
      </c>
      <c r="P95" s="17" t="s">
        <v>746</v>
      </c>
      <c r="Q95" s="17" t="s">
        <v>4174</v>
      </c>
      <c r="R95" s="40">
        <v>1999.84</v>
      </c>
      <c r="S95" s="19" t="s">
        <v>3584</v>
      </c>
      <c r="T95" s="42">
        <v>44287</v>
      </c>
      <c r="U95" s="43">
        <v>44301</v>
      </c>
      <c r="V95" s="15"/>
      <c r="W95" s="15"/>
    </row>
    <row r="96" spans="1:23" s="34" customFormat="1" ht="29" x14ac:dyDescent="0.35">
      <c r="A96" s="15"/>
      <c r="B96" s="35">
        <v>44286</v>
      </c>
      <c r="C96" s="14">
        <v>93</v>
      </c>
      <c r="D96" s="74" t="s">
        <v>2700</v>
      </c>
      <c r="E96" s="14" t="s">
        <v>2701</v>
      </c>
      <c r="F96" s="74" t="s">
        <v>13</v>
      </c>
      <c r="G96" s="14" t="s">
        <v>39</v>
      </c>
      <c r="H96" s="14" t="s">
        <v>1793</v>
      </c>
      <c r="I96" s="144" t="s">
        <v>39</v>
      </c>
      <c r="J96" s="14" t="s">
        <v>632</v>
      </c>
      <c r="K96" s="14" t="s">
        <v>1088</v>
      </c>
      <c r="L96" s="14" t="s">
        <v>2</v>
      </c>
      <c r="M96" s="38" t="s">
        <v>631</v>
      </c>
      <c r="N96" s="38">
        <v>865011031930929</v>
      </c>
      <c r="O96" s="38"/>
      <c r="P96" s="14" t="s">
        <v>630</v>
      </c>
      <c r="Q96" s="14" t="s">
        <v>8</v>
      </c>
      <c r="R96" s="40">
        <v>1999.84</v>
      </c>
      <c r="S96" s="41" t="s">
        <v>624</v>
      </c>
      <c r="T96" s="42">
        <v>44287</v>
      </c>
      <c r="U96" s="43">
        <v>44301</v>
      </c>
      <c r="V96" s="15"/>
      <c r="W96" s="15"/>
    </row>
    <row r="97" spans="1:23" s="34" customFormat="1" ht="29" x14ac:dyDescent="0.35">
      <c r="A97" s="15"/>
      <c r="B97" s="35">
        <v>44291</v>
      </c>
      <c r="C97" s="14">
        <v>108</v>
      </c>
      <c r="D97" s="85" t="s">
        <v>3699</v>
      </c>
      <c r="E97" s="14" t="s">
        <v>627</v>
      </c>
      <c r="F97" s="74" t="s">
        <v>13</v>
      </c>
      <c r="G97" s="17" t="s">
        <v>39</v>
      </c>
      <c r="H97" s="14" t="s">
        <v>473</v>
      </c>
      <c r="I97" s="145" t="s">
        <v>39</v>
      </c>
      <c r="J97" s="17" t="s">
        <v>26</v>
      </c>
      <c r="K97" s="14" t="s">
        <v>1089</v>
      </c>
      <c r="L97" s="14" t="s">
        <v>2</v>
      </c>
      <c r="M97" s="38" t="s">
        <v>4184</v>
      </c>
      <c r="N97" s="38">
        <v>865011031932917</v>
      </c>
      <c r="O97" s="16" t="s">
        <v>3701</v>
      </c>
      <c r="P97" s="17" t="s">
        <v>3700</v>
      </c>
      <c r="Q97" s="17" t="s">
        <v>4174</v>
      </c>
      <c r="R97" s="40">
        <v>1999.84</v>
      </c>
      <c r="S97" s="19" t="s">
        <v>3584</v>
      </c>
      <c r="T97" s="14"/>
      <c r="U97" s="45"/>
      <c r="V97" s="15"/>
      <c r="W97" s="15"/>
    </row>
    <row r="98" spans="1:23" s="34" customFormat="1" ht="29" x14ac:dyDescent="0.35">
      <c r="A98" s="15"/>
      <c r="B98" s="35">
        <v>44292</v>
      </c>
      <c r="C98" s="14">
        <v>94</v>
      </c>
      <c r="D98" s="36" t="s">
        <v>1942</v>
      </c>
      <c r="E98" s="85" t="s">
        <v>2702</v>
      </c>
      <c r="F98" s="74" t="s">
        <v>13</v>
      </c>
      <c r="G98" s="14"/>
      <c r="H98" s="14" t="s">
        <v>473</v>
      </c>
      <c r="I98" s="144"/>
      <c r="J98" s="14" t="s">
        <v>745</v>
      </c>
      <c r="K98" s="14" t="s">
        <v>1090</v>
      </c>
      <c r="L98" s="14" t="s">
        <v>2</v>
      </c>
      <c r="M98" s="38" t="s">
        <v>744</v>
      </c>
      <c r="N98" s="38">
        <v>865011031931257</v>
      </c>
      <c r="O98" s="38"/>
      <c r="P98" s="14" t="s">
        <v>743</v>
      </c>
      <c r="Q98" s="14" t="s">
        <v>8</v>
      </c>
      <c r="R98" s="40">
        <v>1999.84</v>
      </c>
      <c r="S98" s="41" t="s">
        <v>1931</v>
      </c>
      <c r="T98" s="42"/>
      <c r="U98" s="43"/>
      <c r="V98" s="15"/>
      <c r="W98" s="15"/>
    </row>
    <row r="99" spans="1:23" s="34" customFormat="1" ht="29" x14ac:dyDescent="0.35">
      <c r="A99" s="15"/>
      <c r="B99" s="35">
        <v>44292</v>
      </c>
      <c r="C99" s="14">
        <v>101</v>
      </c>
      <c r="D99" s="85" t="s">
        <v>2703</v>
      </c>
      <c r="E99" s="17" t="s">
        <v>2702</v>
      </c>
      <c r="F99" s="74" t="s">
        <v>13</v>
      </c>
      <c r="G99" s="14"/>
      <c r="H99" s="14" t="s">
        <v>473</v>
      </c>
      <c r="I99" s="145"/>
      <c r="J99" s="17" t="s">
        <v>1494</v>
      </c>
      <c r="K99" s="17" t="s">
        <v>1495</v>
      </c>
      <c r="L99" s="14" t="s">
        <v>2</v>
      </c>
      <c r="M99" s="38" t="s">
        <v>742</v>
      </c>
      <c r="N99" s="38">
        <v>865011031931166</v>
      </c>
      <c r="O99" s="38"/>
      <c r="P99" s="14" t="s">
        <v>741</v>
      </c>
      <c r="Q99" s="39" t="s">
        <v>2559</v>
      </c>
      <c r="R99" s="40">
        <v>1999.84</v>
      </c>
      <c r="S99" s="41" t="s">
        <v>1504</v>
      </c>
      <c r="T99" s="14"/>
      <c r="U99" s="45"/>
      <c r="V99" s="15"/>
      <c r="W99" s="15"/>
    </row>
    <row r="100" spans="1:23" s="34" customFormat="1" ht="29" x14ac:dyDescent="0.35">
      <c r="A100" s="15"/>
      <c r="B100" s="35">
        <v>44293</v>
      </c>
      <c r="C100" s="14">
        <v>95</v>
      </c>
      <c r="D100" s="36" t="s">
        <v>1944</v>
      </c>
      <c r="E100" s="46" t="s">
        <v>39</v>
      </c>
      <c r="F100" s="74" t="s">
        <v>40</v>
      </c>
      <c r="G100" s="14"/>
      <c r="H100" s="14" t="s">
        <v>473</v>
      </c>
      <c r="I100" s="145"/>
      <c r="J100" s="17" t="s">
        <v>2207</v>
      </c>
      <c r="K100" s="14" t="s">
        <v>1091</v>
      </c>
      <c r="L100" s="14" t="s">
        <v>2</v>
      </c>
      <c r="M100" s="38" t="s">
        <v>39</v>
      </c>
      <c r="N100" s="38" t="s">
        <v>39</v>
      </c>
      <c r="O100" s="38"/>
      <c r="P100" s="14" t="s">
        <v>39</v>
      </c>
      <c r="Q100" s="14" t="s">
        <v>8</v>
      </c>
      <c r="R100" s="40">
        <v>290</v>
      </c>
      <c r="S100" s="14" t="s">
        <v>40</v>
      </c>
      <c r="T100" s="41" t="s">
        <v>1853</v>
      </c>
      <c r="U100" s="43"/>
      <c r="V100" s="15"/>
      <c r="W100" s="15"/>
    </row>
    <row r="101" spans="1:23" s="34" customFormat="1" ht="29" x14ac:dyDescent="0.35">
      <c r="A101" s="15"/>
      <c r="B101" s="35">
        <v>44293</v>
      </c>
      <c r="C101" s="14">
        <v>95</v>
      </c>
      <c r="D101" s="36" t="s">
        <v>1944</v>
      </c>
      <c r="E101" s="85" t="s">
        <v>3523</v>
      </c>
      <c r="F101" s="74" t="s">
        <v>13</v>
      </c>
      <c r="G101" s="14" t="s">
        <v>39</v>
      </c>
      <c r="H101" s="14" t="s">
        <v>473</v>
      </c>
      <c r="I101" s="145" t="s">
        <v>39</v>
      </c>
      <c r="J101" s="17" t="s">
        <v>3520</v>
      </c>
      <c r="K101" s="14" t="s">
        <v>1091</v>
      </c>
      <c r="L101" s="14" t="s">
        <v>2</v>
      </c>
      <c r="M101" s="38">
        <v>8120010508</v>
      </c>
      <c r="N101" s="38">
        <v>865011031937544</v>
      </c>
      <c r="O101" s="38" t="s">
        <v>620</v>
      </c>
      <c r="P101" s="14" t="s">
        <v>3522</v>
      </c>
      <c r="Q101" s="74" t="s">
        <v>2843</v>
      </c>
      <c r="R101" s="40">
        <v>1999.84</v>
      </c>
      <c r="S101" s="41" t="s">
        <v>2792</v>
      </c>
      <c r="T101" s="17" t="s">
        <v>2793</v>
      </c>
      <c r="U101" s="45"/>
      <c r="V101" s="44"/>
      <c r="W101" s="15"/>
    </row>
    <row r="102" spans="1:23" s="34" customFormat="1" ht="29" x14ac:dyDescent="0.35">
      <c r="A102" s="15"/>
      <c r="B102" s="35">
        <v>44293</v>
      </c>
      <c r="C102" s="14">
        <v>96</v>
      </c>
      <c r="D102" s="39">
        <v>165</v>
      </c>
      <c r="E102" s="46"/>
      <c r="F102" s="74" t="s">
        <v>40</v>
      </c>
      <c r="G102" s="14"/>
      <c r="H102" s="14" t="s">
        <v>473</v>
      </c>
      <c r="I102" s="144"/>
      <c r="J102" s="14" t="s">
        <v>739</v>
      </c>
      <c r="K102" s="14" t="s">
        <v>1092</v>
      </c>
      <c r="L102" s="14" t="s">
        <v>2</v>
      </c>
      <c r="M102" s="38" t="s">
        <v>39</v>
      </c>
      <c r="N102" s="38" t="s">
        <v>39</v>
      </c>
      <c r="O102" s="38"/>
      <c r="P102" s="14" t="s">
        <v>39</v>
      </c>
      <c r="Q102" s="14" t="s">
        <v>8</v>
      </c>
      <c r="R102" s="40">
        <v>290</v>
      </c>
      <c r="S102" s="14" t="s">
        <v>40</v>
      </c>
      <c r="T102" s="42"/>
      <c r="U102" s="43"/>
      <c r="V102" s="15"/>
      <c r="W102" s="15"/>
    </row>
    <row r="103" spans="1:23" s="34" customFormat="1" ht="29" x14ac:dyDescent="0.35">
      <c r="A103" s="15"/>
      <c r="B103" s="35">
        <v>44293</v>
      </c>
      <c r="C103" s="14">
        <v>96</v>
      </c>
      <c r="D103" s="85" t="s">
        <v>3335</v>
      </c>
      <c r="E103" s="14" t="s">
        <v>627</v>
      </c>
      <c r="F103" s="74" t="s">
        <v>13</v>
      </c>
      <c r="G103" s="14" t="s">
        <v>39</v>
      </c>
      <c r="H103" s="14" t="s">
        <v>473</v>
      </c>
      <c r="I103" s="144" t="s">
        <v>39</v>
      </c>
      <c r="J103" s="17" t="s">
        <v>3334</v>
      </c>
      <c r="K103" s="14" t="s">
        <v>1092</v>
      </c>
      <c r="L103" s="14" t="s">
        <v>2</v>
      </c>
      <c r="M103" s="38" t="s">
        <v>4343</v>
      </c>
      <c r="N103" s="38">
        <v>865011031936256</v>
      </c>
      <c r="O103" s="16" t="s">
        <v>740</v>
      </c>
      <c r="P103" s="14" t="s">
        <v>3336</v>
      </c>
      <c r="Q103" s="17" t="s">
        <v>2559</v>
      </c>
      <c r="R103" s="40">
        <v>1999.84</v>
      </c>
      <c r="S103" s="19" t="s">
        <v>3329</v>
      </c>
      <c r="T103" s="14"/>
      <c r="U103" s="45"/>
      <c r="V103" s="15"/>
      <c r="W103" s="15"/>
    </row>
    <row r="104" spans="1:23" s="34" customFormat="1" ht="29" x14ac:dyDescent="0.35">
      <c r="A104" s="15"/>
      <c r="B104" s="35">
        <v>44293</v>
      </c>
      <c r="C104" s="14">
        <v>97</v>
      </c>
      <c r="D104" s="36" t="s">
        <v>2208</v>
      </c>
      <c r="E104" s="14" t="s">
        <v>738</v>
      </c>
      <c r="F104" s="74" t="s">
        <v>13</v>
      </c>
      <c r="G104" s="14"/>
      <c r="H104" s="14" t="s">
        <v>473</v>
      </c>
      <c r="I104" s="144"/>
      <c r="J104" s="14" t="s">
        <v>737</v>
      </c>
      <c r="K104" s="14" t="s">
        <v>1093</v>
      </c>
      <c r="L104" s="14" t="s">
        <v>2</v>
      </c>
      <c r="M104" s="38" t="s">
        <v>736</v>
      </c>
      <c r="N104" s="38">
        <v>865011031932669</v>
      </c>
      <c r="O104" s="38"/>
      <c r="P104" s="14" t="s">
        <v>735</v>
      </c>
      <c r="Q104" s="14" t="s">
        <v>8</v>
      </c>
      <c r="R104" s="40">
        <v>1999.84</v>
      </c>
      <c r="S104" s="19" t="s">
        <v>2200</v>
      </c>
      <c r="T104" s="14"/>
      <c r="U104" s="45"/>
      <c r="V104" s="15"/>
      <c r="W104" s="15"/>
    </row>
    <row r="105" spans="1:23" s="34" customFormat="1" ht="29" x14ac:dyDescent="0.35">
      <c r="A105" s="15"/>
      <c r="B105" s="35">
        <v>44294</v>
      </c>
      <c r="C105" s="14">
        <v>98</v>
      </c>
      <c r="D105" s="74" t="s">
        <v>2704</v>
      </c>
      <c r="E105" s="14" t="s">
        <v>2705</v>
      </c>
      <c r="F105" s="74" t="s">
        <v>13</v>
      </c>
      <c r="G105" s="14"/>
      <c r="H105" s="14" t="s">
        <v>1793</v>
      </c>
      <c r="I105" s="144"/>
      <c r="J105" s="14" t="s">
        <v>2815</v>
      </c>
      <c r="K105" s="14" t="s">
        <v>1094</v>
      </c>
      <c r="L105" s="14" t="s">
        <v>2</v>
      </c>
      <c r="M105" s="38" t="s">
        <v>595</v>
      </c>
      <c r="N105" s="38">
        <v>865011031932297</v>
      </c>
      <c r="O105" s="38"/>
      <c r="P105" s="14" t="s">
        <v>594</v>
      </c>
      <c r="Q105" s="14" t="s">
        <v>8</v>
      </c>
      <c r="R105" s="40">
        <v>1999.84</v>
      </c>
      <c r="S105" s="41" t="s">
        <v>596</v>
      </c>
      <c r="T105" s="14" t="s">
        <v>2811</v>
      </c>
      <c r="U105" s="45">
        <v>251</v>
      </c>
      <c r="V105" s="15"/>
      <c r="W105" s="15"/>
    </row>
    <row r="106" spans="1:23" s="34" customFormat="1" ht="29" x14ac:dyDescent="0.35">
      <c r="A106" s="15"/>
      <c r="B106" s="35">
        <v>44294</v>
      </c>
      <c r="C106" s="14">
        <v>99</v>
      </c>
      <c r="D106" s="39">
        <v>168</v>
      </c>
      <c r="E106" s="46" t="s">
        <v>39</v>
      </c>
      <c r="F106" s="74" t="s">
        <v>40</v>
      </c>
      <c r="G106" s="14"/>
      <c r="H106" s="14" t="s">
        <v>1793</v>
      </c>
      <c r="I106" s="144"/>
      <c r="J106" s="14" t="s">
        <v>734</v>
      </c>
      <c r="K106" s="14" t="s">
        <v>1095</v>
      </c>
      <c r="L106" s="14" t="s">
        <v>2</v>
      </c>
      <c r="M106" s="38" t="s">
        <v>39</v>
      </c>
      <c r="N106" s="38" t="s">
        <v>39</v>
      </c>
      <c r="O106" s="38"/>
      <c r="P106" s="14" t="s">
        <v>39</v>
      </c>
      <c r="Q106" s="14" t="s">
        <v>39</v>
      </c>
      <c r="R106" s="40">
        <v>0</v>
      </c>
      <c r="S106" s="14" t="s">
        <v>40</v>
      </c>
      <c r="T106" s="14"/>
      <c r="U106" s="45"/>
      <c r="V106" s="15"/>
      <c r="W106" s="15"/>
    </row>
    <row r="107" spans="1:23" s="34" customFormat="1" ht="29" x14ac:dyDescent="0.35">
      <c r="A107" s="15"/>
      <c r="B107" s="35">
        <v>44298</v>
      </c>
      <c r="C107" s="14">
        <v>100</v>
      </c>
      <c r="D107" s="39">
        <v>169</v>
      </c>
      <c r="E107" s="46" t="s">
        <v>39</v>
      </c>
      <c r="F107" s="74" t="s">
        <v>40</v>
      </c>
      <c r="G107" s="14"/>
      <c r="H107" s="14" t="s">
        <v>1793</v>
      </c>
      <c r="I107" s="144"/>
      <c r="J107" s="14" t="s">
        <v>734</v>
      </c>
      <c r="K107" s="14" t="s">
        <v>1096</v>
      </c>
      <c r="L107" s="14" t="s">
        <v>2</v>
      </c>
      <c r="M107" s="38" t="s">
        <v>39</v>
      </c>
      <c r="N107" s="38" t="s">
        <v>39</v>
      </c>
      <c r="O107" s="38"/>
      <c r="P107" s="14" t="s">
        <v>39</v>
      </c>
      <c r="Q107" s="14" t="s">
        <v>39</v>
      </c>
      <c r="R107" s="40">
        <v>290</v>
      </c>
      <c r="S107" s="14" t="s">
        <v>40</v>
      </c>
      <c r="T107" s="14"/>
      <c r="U107" s="45"/>
      <c r="V107" s="15"/>
      <c r="W107" s="15"/>
    </row>
    <row r="108" spans="1:23" s="34" customFormat="1" ht="29" x14ac:dyDescent="0.35">
      <c r="A108" s="15"/>
      <c r="B108" s="35">
        <v>44300</v>
      </c>
      <c r="C108" s="14">
        <v>102</v>
      </c>
      <c r="D108" s="39" t="s">
        <v>2611</v>
      </c>
      <c r="E108" s="14" t="s">
        <v>2711</v>
      </c>
      <c r="F108" s="74" t="s">
        <v>13</v>
      </c>
      <c r="G108" s="14"/>
      <c r="H108" s="14" t="s">
        <v>1793</v>
      </c>
      <c r="I108" s="144"/>
      <c r="J108" s="14" t="s">
        <v>732</v>
      </c>
      <c r="K108" s="14" t="s">
        <v>1097</v>
      </c>
      <c r="L108" s="14" t="s">
        <v>728</v>
      </c>
      <c r="M108" s="38" t="s">
        <v>731</v>
      </c>
      <c r="N108" s="38">
        <v>865011031937122</v>
      </c>
      <c r="O108" s="38"/>
      <c r="P108" s="14" t="s">
        <v>733</v>
      </c>
      <c r="Q108" s="14" t="s">
        <v>8</v>
      </c>
      <c r="R108" s="40">
        <v>1999.84</v>
      </c>
      <c r="S108" s="41" t="s">
        <v>2708</v>
      </c>
      <c r="T108" s="14"/>
      <c r="U108" s="45"/>
      <c r="V108" s="15"/>
      <c r="W108" s="15"/>
    </row>
    <row r="109" spans="1:23" s="34" customFormat="1" ht="29" x14ac:dyDescent="0.35">
      <c r="A109" s="15"/>
      <c r="B109" s="35">
        <v>44301</v>
      </c>
      <c r="C109" s="14">
        <v>103</v>
      </c>
      <c r="D109" s="39" t="s">
        <v>2611</v>
      </c>
      <c r="E109" s="14" t="s">
        <v>1099</v>
      </c>
      <c r="F109" s="74" t="s">
        <v>6</v>
      </c>
      <c r="G109" s="14"/>
      <c r="H109" s="14" t="s">
        <v>1793</v>
      </c>
      <c r="I109" s="144"/>
      <c r="J109" s="14" t="s">
        <v>732</v>
      </c>
      <c r="K109" s="14" t="s">
        <v>1098</v>
      </c>
      <c r="L109" s="14" t="s">
        <v>728</v>
      </c>
      <c r="M109" s="38" t="s">
        <v>731</v>
      </c>
      <c r="N109" s="38">
        <v>865011031937122</v>
      </c>
      <c r="O109" s="38"/>
      <c r="P109" s="14" t="s">
        <v>733</v>
      </c>
      <c r="Q109" s="14" t="s">
        <v>2710</v>
      </c>
      <c r="R109" s="40">
        <v>754</v>
      </c>
      <c r="S109" s="41" t="s">
        <v>2708</v>
      </c>
      <c r="T109" s="14" t="s">
        <v>2714</v>
      </c>
      <c r="U109" s="45"/>
      <c r="V109" s="15"/>
      <c r="W109" s="15"/>
    </row>
    <row r="110" spans="1:23" s="34" customFormat="1" ht="29" x14ac:dyDescent="0.35">
      <c r="A110" s="15"/>
      <c r="B110" s="35">
        <v>44301</v>
      </c>
      <c r="C110" s="14">
        <v>104</v>
      </c>
      <c r="D110" s="36" t="s">
        <v>2610</v>
      </c>
      <c r="E110" s="85" t="s">
        <v>2712</v>
      </c>
      <c r="F110" s="74" t="s">
        <v>138</v>
      </c>
      <c r="G110" s="14" t="s">
        <v>39</v>
      </c>
      <c r="H110" s="14" t="s">
        <v>1793</v>
      </c>
      <c r="I110" s="144" t="s">
        <v>39</v>
      </c>
      <c r="J110" s="17" t="s">
        <v>4648</v>
      </c>
      <c r="K110" s="14" t="s">
        <v>1100</v>
      </c>
      <c r="L110" s="14" t="s">
        <v>728</v>
      </c>
      <c r="M110" s="38" t="s">
        <v>731</v>
      </c>
      <c r="N110" s="38">
        <v>865011031937122</v>
      </c>
      <c r="O110" s="38" t="s">
        <v>4650</v>
      </c>
      <c r="P110" s="14" t="s">
        <v>4649</v>
      </c>
      <c r="Q110" s="14" t="s">
        <v>2709</v>
      </c>
      <c r="R110" s="40">
        <v>696</v>
      </c>
      <c r="S110" s="19" t="s">
        <v>2479</v>
      </c>
      <c r="T110" s="14"/>
      <c r="U110" s="45"/>
      <c r="V110" s="15"/>
      <c r="W110" s="15"/>
    </row>
    <row r="111" spans="1:23" s="34" customFormat="1" ht="29" x14ac:dyDescent="0.35">
      <c r="A111" s="15"/>
      <c r="B111" s="35">
        <v>44302</v>
      </c>
      <c r="C111" s="14">
        <v>105</v>
      </c>
      <c r="D111" s="36" t="s">
        <v>1945</v>
      </c>
      <c r="E111" s="85" t="s">
        <v>2715</v>
      </c>
      <c r="F111" s="74" t="s">
        <v>13</v>
      </c>
      <c r="G111" s="14"/>
      <c r="H111" s="14" t="s">
        <v>11</v>
      </c>
      <c r="I111" s="145"/>
      <c r="J111" s="17" t="s">
        <v>1946</v>
      </c>
      <c r="K111" s="17" t="s">
        <v>1947</v>
      </c>
      <c r="L111" s="14" t="s">
        <v>2</v>
      </c>
      <c r="M111" s="38">
        <v>8123545362</v>
      </c>
      <c r="N111" s="38">
        <v>865011031935183</v>
      </c>
      <c r="O111" s="38"/>
      <c r="P111" s="14" t="s">
        <v>730</v>
      </c>
      <c r="Q111" s="14" t="s">
        <v>8</v>
      </c>
      <c r="R111" s="40">
        <v>1999.84</v>
      </c>
      <c r="S111" s="41" t="s">
        <v>1931</v>
      </c>
      <c r="T111" s="14"/>
      <c r="U111" s="45"/>
      <c r="V111" s="15"/>
      <c r="W111" s="15"/>
    </row>
    <row r="112" spans="1:23" s="34" customFormat="1" ht="29" x14ac:dyDescent="0.35">
      <c r="A112" s="15"/>
      <c r="B112" s="35">
        <v>44308</v>
      </c>
      <c r="C112" s="14">
        <v>106</v>
      </c>
      <c r="D112" s="85" t="s">
        <v>3696</v>
      </c>
      <c r="E112" s="14" t="s">
        <v>627</v>
      </c>
      <c r="F112" s="74" t="s">
        <v>13</v>
      </c>
      <c r="G112" s="17" t="s">
        <v>39</v>
      </c>
      <c r="H112" s="14" t="s">
        <v>473</v>
      </c>
      <c r="I112" s="145" t="s">
        <v>39</v>
      </c>
      <c r="J112" s="17" t="s">
        <v>26</v>
      </c>
      <c r="K112" s="14" t="s">
        <v>1101</v>
      </c>
      <c r="L112" s="14" t="s">
        <v>2</v>
      </c>
      <c r="M112" s="38" t="s">
        <v>4183</v>
      </c>
      <c r="N112" s="38">
        <v>865011031932867</v>
      </c>
      <c r="O112" s="16" t="s">
        <v>39</v>
      </c>
      <c r="P112" s="17" t="s">
        <v>729</v>
      </c>
      <c r="Q112" s="17" t="s">
        <v>4174</v>
      </c>
      <c r="R112" s="40">
        <v>1999.84</v>
      </c>
      <c r="S112" s="19" t="s">
        <v>3584</v>
      </c>
      <c r="T112" s="14"/>
      <c r="U112" s="45"/>
      <c r="V112" s="15"/>
      <c r="W112" s="15"/>
    </row>
    <row r="113" spans="1:23" s="34" customFormat="1" ht="29" x14ac:dyDescent="0.35">
      <c r="A113" s="15"/>
      <c r="B113" s="35">
        <v>44317</v>
      </c>
      <c r="C113" s="14">
        <v>109</v>
      </c>
      <c r="D113" s="36" t="s">
        <v>1948</v>
      </c>
      <c r="E113" s="85" t="s">
        <v>2716</v>
      </c>
      <c r="F113" s="74" t="s">
        <v>13</v>
      </c>
      <c r="G113" s="14"/>
      <c r="H113" s="14" t="s">
        <v>473</v>
      </c>
      <c r="I113" s="145"/>
      <c r="J113" s="17" t="s">
        <v>1949</v>
      </c>
      <c r="K113" s="17" t="s">
        <v>1950</v>
      </c>
      <c r="L113" s="14" t="s">
        <v>728</v>
      </c>
      <c r="M113" s="38" t="s">
        <v>727</v>
      </c>
      <c r="N113" s="38">
        <v>865011031937015</v>
      </c>
      <c r="O113" s="38"/>
      <c r="P113" s="14" t="s">
        <v>726</v>
      </c>
      <c r="Q113" s="14" t="s">
        <v>8</v>
      </c>
      <c r="R113" s="40">
        <v>1999.84</v>
      </c>
      <c r="S113" s="41" t="s">
        <v>1931</v>
      </c>
      <c r="T113" s="42">
        <v>44317</v>
      </c>
      <c r="U113" s="43">
        <v>44331</v>
      </c>
      <c r="V113" s="15"/>
      <c r="W113" s="15"/>
    </row>
    <row r="114" spans="1:23" s="34" customFormat="1" ht="43.5" x14ac:dyDescent="0.35">
      <c r="A114" s="15"/>
      <c r="B114" s="35">
        <v>44319</v>
      </c>
      <c r="C114" s="14">
        <v>110</v>
      </c>
      <c r="D114" s="36" t="s">
        <v>1951</v>
      </c>
      <c r="E114" s="85" t="s">
        <v>2717</v>
      </c>
      <c r="F114" s="74" t="s">
        <v>13</v>
      </c>
      <c r="G114" s="14"/>
      <c r="H114" s="14" t="s">
        <v>11</v>
      </c>
      <c r="I114" s="144"/>
      <c r="J114" s="14" t="s">
        <v>2209</v>
      </c>
      <c r="K114" s="14" t="s">
        <v>1103</v>
      </c>
      <c r="L114" s="14" t="s">
        <v>2</v>
      </c>
      <c r="M114" s="38" t="s">
        <v>725</v>
      </c>
      <c r="N114" s="38">
        <v>865011031932735</v>
      </c>
      <c r="O114" s="38"/>
      <c r="P114" s="14" t="s">
        <v>724</v>
      </c>
      <c r="Q114" s="14" t="s">
        <v>8</v>
      </c>
      <c r="R114" s="40">
        <v>1999.84</v>
      </c>
      <c r="S114" s="41" t="s">
        <v>1931</v>
      </c>
      <c r="T114" s="42">
        <v>44317</v>
      </c>
      <c r="U114" s="43">
        <v>44331</v>
      </c>
      <c r="V114" s="15"/>
      <c r="W114" s="15"/>
    </row>
    <row r="115" spans="1:23" s="34" customFormat="1" ht="29" x14ac:dyDescent="0.35">
      <c r="A115" s="15"/>
      <c r="B115" s="35">
        <v>44330</v>
      </c>
      <c r="C115" s="14">
        <v>111</v>
      </c>
      <c r="D115" s="74" t="s">
        <v>2718</v>
      </c>
      <c r="E115" s="14" t="s">
        <v>2719</v>
      </c>
      <c r="F115" s="74" t="s">
        <v>13</v>
      </c>
      <c r="G115" s="14"/>
      <c r="H115" s="14" t="s">
        <v>473</v>
      </c>
      <c r="I115" s="144"/>
      <c r="J115" s="14" t="s">
        <v>472</v>
      </c>
      <c r="K115" s="14" t="s">
        <v>1104</v>
      </c>
      <c r="L115" s="14" t="s">
        <v>2</v>
      </c>
      <c r="M115" s="38">
        <v>8120013080</v>
      </c>
      <c r="N115" s="38">
        <v>865011033005340</v>
      </c>
      <c r="O115" s="38"/>
      <c r="P115" s="14" t="s">
        <v>471</v>
      </c>
      <c r="Q115" s="39" t="s">
        <v>2720</v>
      </c>
      <c r="R115" s="40">
        <v>1999.84</v>
      </c>
      <c r="S115" s="41" t="s">
        <v>462</v>
      </c>
      <c r="T115" s="42">
        <v>44345</v>
      </c>
      <c r="U115" s="43">
        <v>44347</v>
      </c>
      <c r="V115" s="15"/>
      <c r="W115" s="15"/>
    </row>
    <row r="116" spans="1:23" s="34" customFormat="1" ht="29" x14ac:dyDescent="0.35">
      <c r="A116" s="15"/>
      <c r="B116" s="35">
        <v>44337</v>
      </c>
      <c r="C116" s="14">
        <v>112</v>
      </c>
      <c r="D116" s="74" t="s">
        <v>2722</v>
      </c>
      <c r="E116" s="14" t="s">
        <v>2721</v>
      </c>
      <c r="F116" s="74" t="s">
        <v>13</v>
      </c>
      <c r="G116" s="14"/>
      <c r="H116" s="14" t="s">
        <v>470</v>
      </c>
      <c r="I116" s="144"/>
      <c r="J116" s="14" t="s">
        <v>469</v>
      </c>
      <c r="K116" s="14" t="s">
        <v>1105</v>
      </c>
      <c r="L116" s="14" t="s">
        <v>2</v>
      </c>
      <c r="M116" s="38">
        <v>8123525183</v>
      </c>
      <c r="N116" s="38">
        <v>865011031935282</v>
      </c>
      <c r="O116" s="38"/>
      <c r="P116" s="14" t="s">
        <v>468</v>
      </c>
      <c r="Q116" s="39" t="s">
        <v>2559</v>
      </c>
      <c r="R116" s="40">
        <v>1999.84</v>
      </c>
      <c r="S116" s="41" t="s">
        <v>462</v>
      </c>
      <c r="T116" s="42">
        <v>44345</v>
      </c>
      <c r="U116" s="43">
        <v>44347</v>
      </c>
      <c r="V116" s="15"/>
      <c r="W116" s="15"/>
    </row>
    <row r="117" spans="1:23" s="34" customFormat="1" ht="29" x14ac:dyDescent="0.35">
      <c r="B117" s="35">
        <v>44340</v>
      </c>
      <c r="C117" s="14">
        <v>113</v>
      </c>
      <c r="D117" s="74" t="s">
        <v>2723</v>
      </c>
      <c r="E117" s="14" t="s">
        <v>2724</v>
      </c>
      <c r="F117" s="74" t="s">
        <v>13</v>
      </c>
      <c r="G117" s="14"/>
      <c r="H117" s="14" t="s">
        <v>473</v>
      </c>
      <c r="I117" s="144"/>
      <c r="J117" s="14" t="s">
        <v>534</v>
      </c>
      <c r="K117" s="14" t="s">
        <v>1106</v>
      </c>
      <c r="L117" s="14" t="s">
        <v>2</v>
      </c>
      <c r="M117" s="38">
        <v>8115777580</v>
      </c>
      <c r="N117" s="38">
        <v>865011031938757</v>
      </c>
      <c r="O117" s="38"/>
      <c r="P117" s="14" t="s">
        <v>533</v>
      </c>
      <c r="Q117" s="14" t="s">
        <v>8</v>
      </c>
      <c r="R117" s="40">
        <v>1999.84</v>
      </c>
      <c r="S117" s="41" t="s">
        <v>2819</v>
      </c>
      <c r="T117" s="42">
        <v>44345</v>
      </c>
      <c r="U117" s="43">
        <v>44347</v>
      </c>
      <c r="V117" s="53" t="s">
        <v>1107</v>
      </c>
      <c r="W117" s="15"/>
    </row>
    <row r="118" spans="1:23" s="34" customFormat="1" ht="29" x14ac:dyDescent="0.35">
      <c r="A118" s="15"/>
      <c r="B118" s="35">
        <v>44340</v>
      </c>
      <c r="C118" s="14">
        <v>114</v>
      </c>
      <c r="D118" s="74" t="s">
        <v>2725</v>
      </c>
      <c r="E118" s="14" t="s">
        <v>2724</v>
      </c>
      <c r="F118" s="74" t="s">
        <v>13</v>
      </c>
      <c r="G118" s="14"/>
      <c r="H118" s="14" t="s">
        <v>473</v>
      </c>
      <c r="I118" s="144"/>
      <c r="J118" s="14" t="s">
        <v>337</v>
      </c>
      <c r="K118" s="14" t="s">
        <v>1276</v>
      </c>
      <c r="L118" s="14" t="s">
        <v>2</v>
      </c>
      <c r="M118" s="38">
        <v>8118241462</v>
      </c>
      <c r="N118" s="38">
        <v>863844051238373</v>
      </c>
      <c r="O118" s="38"/>
      <c r="P118" s="14" t="s">
        <v>336</v>
      </c>
      <c r="Q118" s="14" t="s">
        <v>8</v>
      </c>
      <c r="R118" s="40">
        <v>1999.84</v>
      </c>
      <c r="S118" s="41" t="s">
        <v>338</v>
      </c>
      <c r="T118" s="42">
        <v>44345</v>
      </c>
      <c r="U118" s="43">
        <v>44347</v>
      </c>
      <c r="V118" s="15"/>
      <c r="W118" s="15"/>
    </row>
    <row r="119" spans="1:23" s="34" customFormat="1" ht="29" x14ac:dyDescent="0.35">
      <c r="A119" s="15"/>
      <c r="B119" s="35">
        <v>44355</v>
      </c>
      <c r="C119" s="14">
        <v>115</v>
      </c>
      <c r="D119" s="36" t="s">
        <v>1952</v>
      </c>
      <c r="E119" s="85" t="s">
        <v>2729</v>
      </c>
      <c r="F119" s="74" t="s">
        <v>13</v>
      </c>
      <c r="G119" s="14"/>
      <c r="H119" s="14" t="s">
        <v>11</v>
      </c>
      <c r="I119" s="144"/>
      <c r="J119" s="14" t="s">
        <v>723</v>
      </c>
      <c r="K119" s="14" t="s">
        <v>1108</v>
      </c>
      <c r="L119" s="14" t="s">
        <v>2</v>
      </c>
      <c r="M119" s="38">
        <v>8123194394</v>
      </c>
      <c r="N119" s="38">
        <v>863844052854186</v>
      </c>
      <c r="O119" s="38"/>
      <c r="P119" s="14" t="s">
        <v>722</v>
      </c>
      <c r="Q119" s="14" t="s">
        <v>8</v>
      </c>
      <c r="R119" s="40">
        <v>1999.84</v>
      </c>
      <c r="S119" s="41" t="s">
        <v>1931</v>
      </c>
      <c r="T119" s="42">
        <v>44359</v>
      </c>
      <c r="U119" s="43">
        <v>44362</v>
      </c>
      <c r="V119" s="15"/>
      <c r="W119" s="15"/>
    </row>
    <row r="120" spans="1:23" s="34" customFormat="1" ht="29" x14ac:dyDescent="0.35">
      <c r="A120" s="15"/>
      <c r="B120" s="35">
        <v>44358</v>
      </c>
      <c r="C120" s="14">
        <v>116</v>
      </c>
      <c r="D120" s="90" t="s">
        <v>2731</v>
      </c>
      <c r="E120" s="14" t="s">
        <v>627</v>
      </c>
      <c r="F120" s="74" t="s">
        <v>13</v>
      </c>
      <c r="G120" s="14"/>
      <c r="H120" s="14" t="s">
        <v>473</v>
      </c>
      <c r="I120" s="144"/>
      <c r="J120" s="14" t="s">
        <v>721</v>
      </c>
      <c r="K120" s="14" t="s">
        <v>2211</v>
      </c>
      <c r="L120" s="14" t="s">
        <v>2</v>
      </c>
      <c r="M120" s="38">
        <v>8118249644</v>
      </c>
      <c r="N120" s="38">
        <v>863844052854103</v>
      </c>
      <c r="O120" s="38"/>
      <c r="P120" s="14" t="s">
        <v>720</v>
      </c>
      <c r="Q120" s="14" t="s">
        <v>8</v>
      </c>
      <c r="R120" s="40">
        <v>1999.84</v>
      </c>
      <c r="S120" s="49" t="s">
        <v>2200</v>
      </c>
      <c r="T120" s="42">
        <v>44359</v>
      </c>
      <c r="U120" s="43">
        <v>44362</v>
      </c>
      <c r="V120" s="53" t="s">
        <v>2730</v>
      </c>
      <c r="W120" s="15"/>
    </row>
    <row r="121" spans="1:23" s="34" customFormat="1" ht="29" x14ac:dyDescent="0.35">
      <c r="A121" s="15"/>
      <c r="B121" s="35">
        <v>44361</v>
      </c>
      <c r="C121" s="14">
        <v>117</v>
      </c>
      <c r="D121" s="36" t="s">
        <v>2212</v>
      </c>
      <c r="E121" s="14" t="s">
        <v>627</v>
      </c>
      <c r="F121" s="74" t="s">
        <v>13</v>
      </c>
      <c r="G121" s="14"/>
      <c r="H121" s="14" t="s">
        <v>473</v>
      </c>
      <c r="I121" s="144"/>
      <c r="J121" s="14" t="s">
        <v>719</v>
      </c>
      <c r="K121" s="14" t="s">
        <v>2213</v>
      </c>
      <c r="L121" s="14" t="s">
        <v>2</v>
      </c>
      <c r="M121" s="38">
        <v>8118249666</v>
      </c>
      <c r="N121" s="38">
        <v>863844052849210</v>
      </c>
      <c r="O121" s="38"/>
      <c r="P121" s="14" t="s">
        <v>718</v>
      </c>
      <c r="Q121" s="14" t="s">
        <v>8</v>
      </c>
      <c r="R121" s="40">
        <v>1999.84</v>
      </c>
      <c r="S121" s="19" t="s">
        <v>2200</v>
      </c>
      <c r="T121" s="42">
        <v>44375</v>
      </c>
      <c r="U121" s="43">
        <v>44377</v>
      </c>
      <c r="V121" s="15"/>
      <c r="W121" s="15"/>
    </row>
    <row r="122" spans="1:23" s="34" customFormat="1" ht="29" x14ac:dyDescent="0.35">
      <c r="A122" s="15"/>
      <c r="B122" s="35">
        <v>44361</v>
      </c>
      <c r="C122" s="14">
        <v>118</v>
      </c>
      <c r="D122" s="36" t="s">
        <v>1953</v>
      </c>
      <c r="E122" s="85" t="s">
        <v>2732</v>
      </c>
      <c r="F122" s="74" t="s">
        <v>13</v>
      </c>
      <c r="G122" s="14"/>
      <c r="H122" s="14" t="s">
        <v>473</v>
      </c>
      <c r="I122" s="144"/>
      <c r="J122" s="14" t="s">
        <v>717</v>
      </c>
      <c r="K122" s="14" t="s">
        <v>1957</v>
      </c>
      <c r="L122" s="14" t="s">
        <v>2</v>
      </c>
      <c r="M122" s="38">
        <v>8112814639</v>
      </c>
      <c r="N122" s="38">
        <v>865011030541511</v>
      </c>
      <c r="O122" s="38"/>
      <c r="P122" s="14" t="s">
        <v>716</v>
      </c>
      <c r="Q122" s="14" t="s">
        <v>8</v>
      </c>
      <c r="R122" s="40">
        <v>1999.84</v>
      </c>
      <c r="S122" s="41" t="s">
        <v>1931</v>
      </c>
      <c r="T122" s="42">
        <v>44375</v>
      </c>
      <c r="U122" s="43">
        <v>44377</v>
      </c>
      <c r="V122" s="15"/>
      <c r="W122" s="15"/>
    </row>
    <row r="123" spans="1:23" s="34" customFormat="1" ht="29" x14ac:dyDescent="0.35">
      <c r="A123" s="15"/>
      <c r="B123" s="35">
        <v>44363</v>
      </c>
      <c r="C123" s="14">
        <v>119</v>
      </c>
      <c r="D123" s="39" t="s">
        <v>2094</v>
      </c>
      <c r="E123" s="14" t="s">
        <v>627</v>
      </c>
      <c r="F123" s="74" t="s">
        <v>13</v>
      </c>
      <c r="G123" s="14"/>
      <c r="H123" s="14" t="s">
        <v>527</v>
      </c>
      <c r="I123" s="145"/>
      <c r="J123" s="17" t="s">
        <v>2092</v>
      </c>
      <c r="K123" s="14" t="s">
        <v>2093</v>
      </c>
      <c r="L123" s="14" t="s">
        <v>2</v>
      </c>
      <c r="M123" s="38" t="s">
        <v>715</v>
      </c>
      <c r="N123" s="38">
        <v>863844052849921</v>
      </c>
      <c r="O123" s="38"/>
      <c r="P123" s="14" t="s">
        <v>971</v>
      </c>
      <c r="Q123" s="14" t="s">
        <v>8</v>
      </c>
      <c r="R123" s="40">
        <v>1999.84</v>
      </c>
      <c r="S123" s="41" t="s">
        <v>2735</v>
      </c>
      <c r="T123" s="17" t="s">
        <v>2736</v>
      </c>
      <c r="U123" s="43">
        <v>44377</v>
      </c>
      <c r="V123" s="15"/>
      <c r="W123" s="15"/>
    </row>
    <row r="124" spans="1:23" s="34" customFormat="1" ht="29" x14ac:dyDescent="0.35">
      <c r="A124" s="15"/>
      <c r="B124" s="35">
        <v>44364</v>
      </c>
      <c r="C124" s="14">
        <v>120</v>
      </c>
      <c r="D124" s="85" t="s">
        <v>3702</v>
      </c>
      <c r="E124" s="14" t="s">
        <v>627</v>
      </c>
      <c r="F124" s="74" t="s">
        <v>13</v>
      </c>
      <c r="G124" s="17" t="s">
        <v>39</v>
      </c>
      <c r="H124" s="14" t="s">
        <v>714</v>
      </c>
      <c r="I124" s="145" t="s">
        <v>39</v>
      </c>
      <c r="J124" s="17" t="s">
        <v>3703</v>
      </c>
      <c r="K124" s="14" t="s">
        <v>1109</v>
      </c>
      <c r="L124" s="14" t="s">
        <v>2</v>
      </c>
      <c r="M124" s="38" t="s">
        <v>4185</v>
      </c>
      <c r="N124" s="38">
        <v>864606045288767</v>
      </c>
      <c r="O124" s="16" t="s">
        <v>713</v>
      </c>
      <c r="P124" s="17" t="s">
        <v>39</v>
      </c>
      <c r="Q124" s="17" t="s">
        <v>4174</v>
      </c>
      <c r="R124" s="40">
        <v>1999.84</v>
      </c>
      <c r="S124" s="19" t="s">
        <v>3584</v>
      </c>
      <c r="T124" s="42">
        <v>44375</v>
      </c>
      <c r="U124" s="43">
        <v>44377</v>
      </c>
      <c r="V124" s="15"/>
      <c r="W124" s="15"/>
    </row>
    <row r="125" spans="1:23" s="34" customFormat="1" ht="29" x14ac:dyDescent="0.35">
      <c r="A125" s="15"/>
      <c r="B125" s="35">
        <v>44368</v>
      </c>
      <c r="C125" s="14">
        <v>121</v>
      </c>
      <c r="D125" s="85" t="s">
        <v>3704</v>
      </c>
      <c r="E125" s="14" t="s">
        <v>627</v>
      </c>
      <c r="F125" s="74" t="s">
        <v>13</v>
      </c>
      <c r="G125" s="17" t="s">
        <v>39</v>
      </c>
      <c r="H125" s="14" t="s">
        <v>11</v>
      </c>
      <c r="I125" s="145" t="s">
        <v>39</v>
      </c>
      <c r="J125" s="17" t="s">
        <v>3707</v>
      </c>
      <c r="K125" s="14" t="s">
        <v>1110</v>
      </c>
      <c r="L125" s="14" t="s">
        <v>2</v>
      </c>
      <c r="M125" s="38" t="s">
        <v>4186</v>
      </c>
      <c r="N125" s="38">
        <v>863844052850887</v>
      </c>
      <c r="O125" s="16" t="s">
        <v>3706</v>
      </c>
      <c r="P125" s="17" t="s">
        <v>3705</v>
      </c>
      <c r="Q125" s="17" t="s">
        <v>4174</v>
      </c>
      <c r="R125" s="40">
        <v>1999.84</v>
      </c>
      <c r="S125" s="19" t="s">
        <v>3584</v>
      </c>
      <c r="T125" s="42">
        <v>44375</v>
      </c>
      <c r="U125" s="43">
        <v>44377</v>
      </c>
      <c r="V125" s="15"/>
      <c r="W125" s="15"/>
    </row>
    <row r="126" spans="1:23" s="34" customFormat="1" ht="29" x14ac:dyDescent="0.35">
      <c r="A126" s="15"/>
      <c r="B126" s="35">
        <v>44371</v>
      </c>
      <c r="C126" s="14">
        <v>122</v>
      </c>
      <c r="D126" s="85" t="s">
        <v>2738</v>
      </c>
      <c r="E126" s="17" t="s">
        <v>2739</v>
      </c>
      <c r="F126" s="74" t="s">
        <v>13</v>
      </c>
      <c r="G126" s="14"/>
      <c r="H126" s="14" t="s">
        <v>527</v>
      </c>
      <c r="I126" s="145"/>
      <c r="J126" s="17" t="s">
        <v>1496</v>
      </c>
      <c r="K126" s="14" t="s">
        <v>1111</v>
      </c>
      <c r="L126" s="14" t="s">
        <v>2</v>
      </c>
      <c r="M126" s="38" t="s">
        <v>712</v>
      </c>
      <c r="N126" s="38">
        <v>863844052821755</v>
      </c>
      <c r="O126" s="38"/>
      <c r="P126" s="14" t="s">
        <v>711</v>
      </c>
      <c r="Q126" s="39" t="s">
        <v>2559</v>
      </c>
      <c r="R126" s="40">
        <v>1999.84</v>
      </c>
      <c r="S126" s="41" t="s">
        <v>1504</v>
      </c>
      <c r="T126" s="42">
        <v>44375</v>
      </c>
      <c r="U126" s="43">
        <v>44377</v>
      </c>
      <c r="V126" s="15"/>
      <c r="W126" s="15"/>
    </row>
    <row r="127" spans="1:23" s="34" customFormat="1" ht="29" x14ac:dyDescent="0.35">
      <c r="A127" s="15"/>
      <c r="B127" s="35">
        <v>44372</v>
      </c>
      <c r="C127" s="14">
        <v>123</v>
      </c>
      <c r="D127" s="85" t="s">
        <v>2740</v>
      </c>
      <c r="E127" s="17" t="s">
        <v>2741</v>
      </c>
      <c r="F127" s="74" t="s">
        <v>13</v>
      </c>
      <c r="G127" s="46" t="s">
        <v>710</v>
      </c>
      <c r="H127" s="14" t="s">
        <v>527</v>
      </c>
      <c r="I127" s="145"/>
      <c r="J127" s="17" t="s">
        <v>1498</v>
      </c>
      <c r="K127" s="14" t="s">
        <v>1112</v>
      </c>
      <c r="L127" s="14" t="s">
        <v>2</v>
      </c>
      <c r="M127" s="38" t="s">
        <v>709</v>
      </c>
      <c r="N127" s="38">
        <v>863844052818298</v>
      </c>
      <c r="O127" s="38"/>
      <c r="P127" s="14" t="s">
        <v>708</v>
      </c>
      <c r="Q127" s="39" t="s">
        <v>2559</v>
      </c>
      <c r="R127" s="40">
        <v>1999.84</v>
      </c>
      <c r="S127" s="41" t="s">
        <v>1504</v>
      </c>
      <c r="T127" s="42">
        <v>44375</v>
      </c>
      <c r="U127" s="43">
        <v>44377</v>
      </c>
      <c r="V127" s="15"/>
      <c r="W127" s="15"/>
    </row>
    <row r="128" spans="1:23" s="34" customFormat="1" ht="29" x14ac:dyDescent="0.35">
      <c r="A128" s="15"/>
      <c r="B128" s="35">
        <v>44376</v>
      </c>
      <c r="C128" s="14">
        <v>124</v>
      </c>
      <c r="D128" s="85" t="s">
        <v>3372</v>
      </c>
      <c r="E128" s="14" t="s">
        <v>627</v>
      </c>
      <c r="F128" s="74" t="s">
        <v>13</v>
      </c>
      <c r="G128" s="14" t="s">
        <v>39</v>
      </c>
      <c r="H128" s="14" t="s">
        <v>694</v>
      </c>
      <c r="I128" s="144" t="s">
        <v>39</v>
      </c>
      <c r="J128" s="121" t="s">
        <v>3349</v>
      </c>
      <c r="K128" s="14" t="s">
        <v>1113</v>
      </c>
      <c r="L128" s="14" t="s">
        <v>2</v>
      </c>
      <c r="M128" s="38" t="s">
        <v>4342</v>
      </c>
      <c r="N128" s="38">
        <v>863844052820021</v>
      </c>
      <c r="O128" s="38" t="s">
        <v>3424</v>
      </c>
      <c r="P128" s="14" t="s">
        <v>3423</v>
      </c>
      <c r="Q128" s="17" t="s">
        <v>2559</v>
      </c>
      <c r="R128" s="40">
        <v>1999.84</v>
      </c>
      <c r="S128" s="19" t="s">
        <v>3329</v>
      </c>
      <c r="T128" s="42">
        <v>44375</v>
      </c>
      <c r="U128" s="43">
        <v>44377</v>
      </c>
      <c r="V128" s="15"/>
      <c r="W128" s="15"/>
    </row>
    <row r="129" spans="1:23" s="34" customFormat="1" ht="29" x14ac:dyDescent="0.35">
      <c r="A129" s="15"/>
      <c r="B129" s="35">
        <v>44378</v>
      </c>
      <c r="C129" s="14">
        <v>125</v>
      </c>
      <c r="D129" s="85" t="s">
        <v>3708</v>
      </c>
      <c r="E129" s="14" t="s">
        <v>707</v>
      </c>
      <c r="F129" s="74" t="s">
        <v>13</v>
      </c>
      <c r="G129" s="17" t="s">
        <v>39</v>
      </c>
      <c r="H129" s="14" t="s">
        <v>694</v>
      </c>
      <c r="I129" s="145" t="s">
        <v>39</v>
      </c>
      <c r="J129" s="17" t="s">
        <v>3712</v>
      </c>
      <c r="K129" s="14" t="s">
        <v>3709</v>
      </c>
      <c r="L129" s="14" t="s">
        <v>2</v>
      </c>
      <c r="M129" s="38" t="s">
        <v>4187</v>
      </c>
      <c r="N129" s="38">
        <v>863844052847990</v>
      </c>
      <c r="O129" s="16" t="s">
        <v>3711</v>
      </c>
      <c r="P129" s="17" t="s">
        <v>3710</v>
      </c>
      <c r="Q129" s="17" t="s">
        <v>4174</v>
      </c>
      <c r="R129" s="40">
        <v>1999.84</v>
      </c>
      <c r="S129" s="19" t="s">
        <v>3584</v>
      </c>
      <c r="T129" s="42">
        <v>44389</v>
      </c>
      <c r="U129" s="43">
        <v>44392</v>
      </c>
      <c r="V129" s="44"/>
      <c r="W129" s="15"/>
    </row>
    <row r="130" spans="1:23" s="34" customFormat="1" ht="29" x14ac:dyDescent="0.35">
      <c r="A130" s="15"/>
      <c r="B130" s="35">
        <v>44384</v>
      </c>
      <c r="C130" s="14">
        <v>126</v>
      </c>
      <c r="D130" s="85" t="s">
        <v>2561</v>
      </c>
      <c r="E130" s="14" t="s">
        <v>2743</v>
      </c>
      <c r="F130" s="74" t="s">
        <v>13</v>
      </c>
      <c r="G130" s="14" t="s">
        <v>39</v>
      </c>
      <c r="H130" s="14" t="s">
        <v>705</v>
      </c>
      <c r="I130" s="144" t="s">
        <v>39</v>
      </c>
      <c r="J130" s="17" t="s">
        <v>2562</v>
      </c>
      <c r="K130" s="14" t="s">
        <v>1115</v>
      </c>
      <c r="L130" s="14" t="s">
        <v>2</v>
      </c>
      <c r="M130" s="38" t="s">
        <v>706</v>
      </c>
      <c r="N130" s="38">
        <v>863844052847537</v>
      </c>
      <c r="O130" s="14" t="s">
        <v>704</v>
      </c>
      <c r="P130" s="14" t="s">
        <v>39</v>
      </c>
      <c r="Q130" s="17" t="s">
        <v>2559</v>
      </c>
      <c r="R130" s="40">
        <v>1999.84</v>
      </c>
      <c r="S130" s="41" t="s">
        <v>1114</v>
      </c>
      <c r="T130" s="42">
        <v>44389</v>
      </c>
      <c r="U130" s="43">
        <v>44392</v>
      </c>
      <c r="V130" s="15"/>
      <c r="W130" s="15"/>
    </row>
    <row r="131" spans="1:23" s="34" customFormat="1" ht="29" x14ac:dyDescent="0.35">
      <c r="A131" s="15"/>
      <c r="B131" s="35">
        <v>44384</v>
      </c>
      <c r="C131" s="14">
        <v>126</v>
      </c>
      <c r="D131" s="85" t="s">
        <v>2561</v>
      </c>
      <c r="E131" s="14" t="s">
        <v>3273</v>
      </c>
      <c r="F131" s="74" t="s">
        <v>36</v>
      </c>
      <c r="G131" s="14" t="s">
        <v>21</v>
      </c>
      <c r="H131" s="14" t="s">
        <v>705</v>
      </c>
      <c r="I131" s="144" t="s">
        <v>39</v>
      </c>
      <c r="J131" s="17" t="s">
        <v>2562</v>
      </c>
      <c r="K131" s="14" t="s">
        <v>1115</v>
      </c>
      <c r="L131" s="14" t="s">
        <v>2</v>
      </c>
      <c r="M131" s="38">
        <v>8119174218</v>
      </c>
      <c r="N131" s="38">
        <v>863844052847537</v>
      </c>
      <c r="O131" s="14" t="s">
        <v>704</v>
      </c>
      <c r="P131" s="14" t="s">
        <v>39</v>
      </c>
      <c r="Q131" s="17" t="s">
        <v>3272</v>
      </c>
      <c r="R131" s="40">
        <v>0</v>
      </c>
      <c r="S131" s="19" t="s">
        <v>2560</v>
      </c>
      <c r="T131" s="42">
        <v>44375</v>
      </c>
      <c r="U131" s="43">
        <v>44377</v>
      </c>
      <c r="V131" s="44" t="s">
        <v>2742</v>
      </c>
      <c r="W131" s="15"/>
    </row>
    <row r="132" spans="1:23" s="34" customFormat="1" ht="29" x14ac:dyDescent="0.35">
      <c r="A132" s="15"/>
      <c r="B132" s="35">
        <v>44387</v>
      </c>
      <c r="C132" s="14">
        <v>127</v>
      </c>
      <c r="D132" s="36" t="s">
        <v>2215</v>
      </c>
      <c r="E132" s="14" t="s">
        <v>627</v>
      </c>
      <c r="F132" s="74" t="s">
        <v>13</v>
      </c>
      <c r="G132" s="14"/>
      <c r="H132" s="14" t="s">
        <v>527</v>
      </c>
      <c r="I132" s="144" t="s">
        <v>39</v>
      </c>
      <c r="J132" s="17" t="s">
        <v>4319</v>
      </c>
      <c r="K132" s="14" t="s">
        <v>2049</v>
      </c>
      <c r="L132" s="14" t="s">
        <v>2</v>
      </c>
      <c r="M132" s="38">
        <v>8115319749</v>
      </c>
      <c r="N132" s="38">
        <v>359857084517101</v>
      </c>
      <c r="O132" s="38" t="s">
        <v>4322</v>
      </c>
      <c r="P132" s="14" t="s">
        <v>4321</v>
      </c>
      <c r="Q132" s="74" t="s">
        <v>2745</v>
      </c>
      <c r="R132" s="40">
        <v>1999.84</v>
      </c>
      <c r="S132" s="19" t="s">
        <v>2744</v>
      </c>
      <c r="T132" s="19" t="s">
        <v>2747</v>
      </c>
      <c r="U132" s="43">
        <v>44377</v>
      </c>
      <c r="V132" s="15"/>
      <c r="W132" s="15"/>
    </row>
    <row r="133" spans="1:23" s="34" customFormat="1" ht="29" x14ac:dyDescent="0.35">
      <c r="A133" s="15"/>
      <c r="B133" s="35">
        <v>44387</v>
      </c>
      <c r="C133" s="14">
        <v>128</v>
      </c>
      <c r="D133" s="74" t="s">
        <v>2750</v>
      </c>
      <c r="E133" s="14" t="s">
        <v>627</v>
      </c>
      <c r="F133" s="74" t="s">
        <v>13</v>
      </c>
      <c r="G133" s="14"/>
      <c r="H133" s="14" t="s">
        <v>473</v>
      </c>
      <c r="I133" s="144"/>
      <c r="J133" s="14" t="s">
        <v>703</v>
      </c>
      <c r="K133" s="14" t="s">
        <v>974</v>
      </c>
      <c r="L133" s="14" t="s">
        <v>2</v>
      </c>
      <c r="M133" s="38">
        <v>8118220273</v>
      </c>
      <c r="N133" s="38">
        <v>359857084516731</v>
      </c>
      <c r="O133" s="16"/>
      <c r="P133" s="17" t="s">
        <v>2144</v>
      </c>
      <c r="Q133" s="14" t="s">
        <v>2751</v>
      </c>
      <c r="R133" s="40">
        <v>1999.84</v>
      </c>
      <c r="S133" s="19" t="s">
        <v>2748</v>
      </c>
      <c r="T133" s="17" t="s">
        <v>2753</v>
      </c>
      <c r="U133" s="117">
        <v>729</v>
      </c>
      <c r="V133" s="100" t="s">
        <v>2148</v>
      </c>
      <c r="W133" s="15"/>
    </row>
    <row r="134" spans="1:23" s="34" customFormat="1" ht="29" x14ac:dyDescent="0.35">
      <c r="A134" s="15"/>
      <c r="B134" s="35">
        <v>44390</v>
      </c>
      <c r="C134" s="14">
        <v>129</v>
      </c>
      <c r="D134" s="36" t="s">
        <v>2216</v>
      </c>
      <c r="E134" s="14" t="s">
        <v>627</v>
      </c>
      <c r="F134" s="74" t="s">
        <v>13</v>
      </c>
      <c r="G134" s="14"/>
      <c r="H134" s="14" t="s">
        <v>527</v>
      </c>
      <c r="I134" s="144"/>
      <c r="J134" s="14" t="s">
        <v>702</v>
      </c>
      <c r="K134" s="14" t="s">
        <v>1116</v>
      </c>
      <c r="L134" s="14" t="s">
        <v>2</v>
      </c>
      <c r="M134" s="38">
        <v>8126310881</v>
      </c>
      <c r="N134" s="38">
        <v>359857084508282</v>
      </c>
      <c r="O134" s="38"/>
      <c r="P134" s="14" t="s">
        <v>701</v>
      </c>
      <c r="Q134" s="14" t="s">
        <v>8</v>
      </c>
      <c r="R134" s="40">
        <v>1999.84</v>
      </c>
      <c r="S134" s="19" t="s">
        <v>2200</v>
      </c>
      <c r="T134" s="42">
        <v>44375</v>
      </c>
      <c r="U134" s="43">
        <v>44377</v>
      </c>
      <c r="V134" s="15"/>
      <c r="W134" s="15"/>
    </row>
    <row r="135" spans="1:23" s="34" customFormat="1" ht="29" x14ac:dyDescent="0.35">
      <c r="A135" s="15"/>
      <c r="B135" s="35">
        <v>44390</v>
      </c>
      <c r="C135" s="14">
        <v>130</v>
      </c>
      <c r="D135" s="36" t="s">
        <v>2217</v>
      </c>
      <c r="E135" s="14" t="s">
        <v>627</v>
      </c>
      <c r="F135" s="74" t="s">
        <v>13</v>
      </c>
      <c r="G135" s="14"/>
      <c r="H135" s="14" t="s">
        <v>1793</v>
      </c>
      <c r="I135" s="144"/>
      <c r="J135" s="14" t="s">
        <v>700</v>
      </c>
      <c r="K135" s="14" t="s">
        <v>2218</v>
      </c>
      <c r="L135" s="14" t="s">
        <v>50</v>
      </c>
      <c r="M135" s="38" t="s">
        <v>699</v>
      </c>
      <c r="N135" s="38">
        <v>860856040476974</v>
      </c>
      <c r="O135" s="38"/>
      <c r="P135" s="14" t="s">
        <v>621</v>
      </c>
      <c r="Q135" s="14" t="s">
        <v>8</v>
      </c>
      <c r="R135" s="40">
        <v>1999.84</v>
      </c>
      <c r="S135" s="19" t="s">
        <v>2200</v>
      </c>
      <c r="T135" s="42">
        <v>44375</v>
      </c>
      <c r="U135" s="43">
        <v>44377</v>
      </c>
      <c r="V135" s="15"/>
      <c r="W135" s="15"/>
    </row>
    <row r="136" spans="1:23" s="34" customFormat="1" ht="29" x14ac:dyDescent="0.35">
      <c r="A136" s="15"/>
      <c r="B136" s="35">
        <v>44394</v>
      </c>
      <c r="C136" s="14">
        <v>131</v>
      </c>
      <c r="D136" s="36" t="s">
        <v>2219</v>
      </c>
      <c r="E136" s="14" t="s">
        <v>627</v>
      </c>
      <c r="F136" s="74" t="s">
        <v>13</v>
      </c>
      <c r="G136" s="14"/>
      <c r="H136" s="14" t="s">
        <v>527</v>
      </c>
      <c r="I136" s="144"/>
      <c r="J136" s="14" t="s">
        <v>698</v>
      </c>
      <c r="K136" s="14" t="s">
        <v>1117</v>
      </c>
      <c r="L136" s="14" t="s">
        <v>2</v>
      </c>
      <c r="M136" s="38">
        <v>8261715040</v>
      </c>
      <c r="N136" s="38">
        <v>359857084517028</v>
      </c>
      <c r="O136" s="38"/>
      <c r="P136" s="14" t="s">
        <v>697</v>
      </c>
      <c r="Q136" s="14" t="s">
        <v>8</v>
      </c>
      <c r="R136" s="40">
        <v>1999.84</v>
      </c>
      <c r="S136" s="41" t="s">
        <v>2200</v>
      </c>
      <c r="T136" s="42">
        <v>44375</v>
      </c>
      <c r="U136" s="43">
        <v>44377</v>
      </c>
      <c r="V136" s="15"/>
      <c r="W136" s="15"/>
    </row>
    <row r="137" spans="1:23" s="34" customFormat="1" ht="29" x14ac:dyDescent="0.35">
      <c r="A137" s="15"/>
      <c r="B137" s="35">
        <v>44396</v>
      </c>
      <c r="C137" s="14">
        <v>132</v>
      </c>
      <c r="D137" s="36" t="s">
        <v>2220</v>
      </c>
      <c r="E137" s="14" t="s">
        <v>627</v>
      </c>
      <c r="F137" s="74" t="s">
        <v>13</v>
      </c>
      <c r="G137" s="46" t="s">
        <v>685</v>
      </c>
      <c r="H137" s="14" t="s">
        <v>473</v>
      </c>
      <c r="I137" s="144"/>
      <c r="J137" s="14" t="s">
        <v>696</v>
      </c>
      <c r="K137" s="14" t="s">
        <v>1118</v>
      </c>
      <c r="L137" s="14" t="s">
        <v>50</v>
      </c>
      <c r="M137" s="38">
        <v>8116841485</v>
      </c>
      <c r="N137" s="38">
        <v>864893039428316</v>
      </c>
      <c r="O137" s="38"/>
      <c r="P137" s="14" t="s">
        <v>695</v>
      </c>
      <c r="Q137" s="14" t="s">
        <v>8</v>
      </c>
      <c r="R137" s="40">
        <v>1999.84</v>
      </c>
      <c r="S137" s="41" t="s">
        <v>2200</v>
      </c>
      <c r="T137" s="42">
        <v>44405</v>
      </c>
      <c r="U137" s="43">
        <v>44407</v>
      </c>
      <c r="V137" s="44"/>
      <c r="W137" s="15"/>
    </row>
    <row r="138" spans="1:23" s="34" customFormat="1" ht="29" x14ac:dyDescent="0.35">
      <c r="A138" s="15"/>
      <c r="B138" s="35">
        <v>44399</v>
      </c>
      <c r="C138" s="14">
        <v>133</v>
      </c>
      <c r="D138" s="36" t="s">
        <v>2221</v>
      </c>
      <c r="E138" s="14" t="s">
        <v>627</v>
      </c>
      <c r="F138" s="74" t="s">
        <v>13</v>
      </c>
      <c r="G138" s="14"/>
      <c r="H138" s="14" t="s">
        <v>694</v>
      </c>
      <c r="I138" s="144"/>
      <c r="J138" s="14" t="s">
        <v>693</v>
      </c>
      <c r="K138" s="14" t="s">
        <v>1119</v>
      </c>
      <c r="L138" s="14" t="s">
        <v>2</v>
      </c>
      <c r="M138" s="38">
        <v>8118229130</v>
      </c>
      <c r="N138" s="38">
        <v>359857084508688</v>
      </c>
      <c r="O138" s="38"/>
      <c r="P138" s="14" t="s">
        <v>692</v>
      </c>
      <c r="Q138" s="14" t="s">
        <v>8</v>
      </c>
      <c r="R138" s="40">
        <v>1999.84</v>
      </c>
      <c r="S138" s="41" t="s">
        <v>2200</v>
      </c>
      <c r="T138" s="42">
        <v>44405</v>
      </c>
      <c r="U138" s="43">
        <v>44407</v>
      </c>
      <c r="V138" s="44"/>
      <c r="W138" s="15"/>
    </row>
    <row r="139" spans="1:23" s="34" customFormat="1" ht="29" x14ac:dyDescent="0.35">
      <c r="A139" s="15"/>
      <c r="B139" s="35">
        <v>44399</v>
      </c>
      <c r="C139" s="14">
        <v>134</v>
      </c>
      <c r="D139" s="85" t="s">
        <v>2564</v>
      </c>
      <c r="E139" s="14" t="s">
        <v>627</v>
      </c>
      <c r="F139" s="74" t="s">
        <v>13</v>
      </c>
      <c r="G139" s="14" t="s">
        <v>39</v>
      </c>
      <c r="H139" s="14" t="s">
        <v>1793</v>
      </c>
      <c r="I139" s="144" t="s">
        <v>39</v>
      </c>
      <c r="J139" s="14" t="s">
        <v>2565</v>
      </c>
      <c r="K139" s="14" t="s">
        <v>1120</v>
      </c>
      <c r="L139" s="14" t="s">
        <v>2</v>
      </c>
      <c r="M139" s="38">
        <v>8118229192</v>
      </c>
      <c r="N139" s="38">
        <v>359857084515931</v>
      </c>
      <c r="O139" s="38" t="s">
        <v>3275</v>
      </c>
      <c r="P139" s="14" t="s">
        <v>3274</v>
      </c>
      <c r="Q139" s="17" t="s">
        <v>2559</v>
      </c>
      <c r="R139" s="40">
        <v>1999.84</v>
      </c>
      <c r="S139" s="19" t="s">
        <v>2560</v>
      </c>
      <c r="T139" s="42">
        <v>44405</v>
      </c>
      <c r="U139" s="43">
        <v>44407</v>
      </c>
      <c r="V139" s="44"/>
      <c r="W139" s="15"/>
    </row>
    <row r="140" spans="1:23" s="34" customFormat="1" ht="29" x14ac:dyDescent="0.35">
      <c r="A140" s="15"/>
      <c r="B140" s="35">
        <v>44400</v>
      </c>
      <c r="C140" s="14">
        <v>135</v>
      </c>
      <c r="D140" s="36" t="s">
        <v>2222</v>
      </c>
      <c r="E140" s="14" t="s">
        <v>691</v>
      </c>
      <c r="F140" s="74" t="s">
        <v>13</v>
      </c>
      <c r="G140" s="46" t="s">
        <v>612</v>
      </c>
      <c r="H140" s="14" t="s">
        <v>1767</v>
      </c>
      <c r="I140" s="144"/>
      <c r="J140" s="14" t="s">
        <v>690</v>
      </c>
      <c r="K140" s="14" t="s">
        <v>1121</v>
      </c>
      <c r="L140" s="14" t="s">
        <v>2</v>
      </c>
      <c r="M140" s="38">
        <v>8120013099</v>
      </c>
      <c r="N140" s="38">
        <v>865011033065385</v>
      </c>
      <c r="O140" s="38"/>
      <c r="P140" s="14" t="s">
        <v>689</v>
      </c>
      <c r="Q140" s="14" t="s">
        <v>8</v>
      </c>
      <c r="R140" s="40">
        <v>1999.84</v>
      </c>
      <c r="S140" s="19" t="s">
        <v>2200</v>
      </c>
      <c r="T140" s="42">
        <v>44405</v>
      </c>
      <c r="U140" s="43">
        <v>44407</v>
      </c>
      <c r="V140" s="44"/>
      <c r="W140" s="15"/>
    </row>
    <row r="141" spans="1:23" s="34" customFormat="1" ht="29" x14ac:dyDescent="0.35">
      <c r="A141" s="15"/>
      <c r="B141" s="35">
        <v>44400</v>
      </c>
      <c r="C141" s="14">
        <v>136</v>
      </c>
      <c r="D141" s="36" t="s">
        <v>2223</v>
      </c>
      <c r="E141" s="14" t="s">
        <v>627</v>
      </c>
      <c r="F141" s="74" t="s">
        <v>13</v>
      </c>
      <c r="G141" s="46" t="s">
        <v>685</v>
      </c>
      <c r="H141" s="14" t="s">
        <v>473</v>
      </c>
      <c r="I141" s="144"/>
      <c r="J141" s="14" t="s">
        <v>688</v>
      </c>
      <c r="K141" s="14" t="s">
        <v>1122</v>
      </c>
      <c r="L141" s="14" t="s">
        <v>2</v>
      </c>
      <c r="M141" s="38" t="s">
        <v>687</v>
      </c>
      <c r="N141" s="38">
        <v>863844052851083</v>
      </c>
      <c r="O141" s="38"/>
      <c r="P141" s="14" t="s">
        <v>686</v>
      </c>
      <c r="Q141" s="14" t="s">
        <v>8</v>
      </c>
      <c r="R141" s="40">
        <v>1999.84</v>
      </c>
      <c r="S141" s="19" t="s">
        <v>2200</v>
      </c>
      <c r="T141" s="42">
        <v>44405</v>
      </c>
      <c r="U141" s="43">
        <v>44407</v>
      </c>
      <c r="V141" s="44"/>
      <c r="W141" s="15"/>
    </row>
    <row r="142" spans="1:23" s="34" customFormat="1" ht="29" x14ac:dyDescent="0.35">
      <c r="A142" s="15"/>
      <c r="B142" s="35">
        <v>44400</v>
      </c>
      <c r="C142" s="14">
        <v>137</v>
      </c>
      <c r="D142" s="74" t="s">
        <v>2757</v>
      </c>
      <c r="E142" s="14" t="s">
        <v>2758</v>
      </c>
      <c r="F142" s="74" t="s">
        <v>13</v>
      </c>
      <c r="G142" s="14"/>
      <c r="H142" s="14" t="s">
        <v>473</v>
      </c>
      <c r="I142" s="144"/>
      <c r="J142" s="14" t="s">
        <v>629</v>
      </c>
      <c r="K142" s="14" t="s">
        <v>1123</v>
      </c>
      <c r="L142" s="14" t="s">
        <v>2</v>
      </c>
      <c r="M142" s="38">
        <v>8261715044</v>
      </c>
      <c r="N142" s="38">
        <v>359857084511807</v>
      </c>
      <c r="O142" s="38"/>
      <c r="P142" s="14" t="s">
        <v>628</v>
      </c>
      <c r="Q142" s="14" t="s">
        <v>8</v>
      </c>
      <c r="R142" s="40">
        <v>1999.84</v>
      </c>
      <c r="S142" s="41" t="s">
        <v>624</v>
      </c>
      <c r="T142" s="42">
        <v>44405</v>
      </c>
      <c r="U142" s="43">
        <v>44407</v>
      </c>
      <c r="V142" s="46" t="s">
        <v>685</v>
      </c>
      <c r="W142" s="15"/>
    </row>
    <row r="143" spans="1:23" s="34" customFormat="1" ht="29" x14ac:dyDescent="0.35">
      <c r="A143" s="15"/>
      <c r="B143" s="35">
        <v>44400</v>
      </c>
      <c r="C143" s="14">
        <v>138</v>
      </c>
      <c r="D143" s="36" t="s">
        <v>2224</v>
      </c>
      <c r="E143" s="14" t="s">
        <v>627</v>
      </c>
      <c r="F143" s="74" t="s">
        <v>13</v>
      </c>
      <c r="G143" s="14"/>
      <c r="H143" s="14" t="s">
        <v>473</v>
      </c>
      <c r="I143" s="144"/>
      <c r="J143" s="14" t="s">
        <v>684</v>
      </c>
      <c r="K143" s="14" t="s">
        <v>1124</v>
      </c>
      <c r="L143" s="14" t="s">
        <v>2</v>
      </c>
      <c r="M143" s="38">
        <v>8261715045</v>
      </c>
      <c r="N143" s="38">
        <v>359857084510494</v>
      </c>
      <c r="O143" s="38"/>
      <c r="P143" s="14" t="s">
        <v>683</v>
      </c>
      <c r="Q143" s="14" t="s">
        <v>8</v>
      </c>
      <c r="R143" s="40">
        <v>1999.84</v>
      </c>
      <c r="S143" s="19" t="s">
        <v>2200</v>
      </c>
      <c r="T143" s="42">
        <v>44405</v>
      </c>
      <c r="U143" s="43">
        <v>44407</v>
      </c>
      <c r="V143" s="46" t="s">
        <v>685</v>
      </c>
      <c r="W143" s="15"/>
    </row>
    <row r="144" spans="1:23" s="34" customFormat="1" ht="29" x14ac:dyDescent="0.35">
      <c r="A144" s="15"/>
      <c r="B144" s="35">
        <v>44405</v>
      </c>
      <c r="C144" s="14">
        <v>139</v>
      </c>
      <c r="D144" s="39">
        <v>208</v>
      </c>
      <c r="E144" s="46" t="s">
        <v>39</v>
      </c>
      <c r="F144" s="74" t="s">
        <v>40</v>
      </c>
      <c r="G144" s="14"/>
      <c r="H144" s="14" t="s">
        <v>473</v>
      </c>
      <c r="I144" s="144"/>
      <c r="J144" s="14" t="s">
        <v>682</v>
      </c>
      <c r="K144" s="14" t="s">
        <v>1125</v>
      </c>
      <c r="L144" s="14" t="s">
        <v>2</v>
      </c>
      <c r="M144" s="38" t="s">
        <v>39</v>
      </c>
      <c r="N144" s="38" t="s">
        <v>39</v>
      </c>
      <c r="O144" s="38"/>
      <c r="P144" s="14" t="s">
        <v>681</v>
      </c>
      <c r="Q144" s="14" t="s">
        <v>8</v>
      </c>
      <c r="R144" s="40">
        <v>290</v>
      </c>
      <c r="S144" s="14" t="s">
        <v>40</v>
      </c>
      <c r="T144" s="42">
        <v>44420</v>
      </c>
      <c r="U144" s="43">
        <v>44421</v>
      </c>
      <c r="V144" s="15"/>
      <c r="W144" s="15"/>
    </row>
    <row r="145" spans="1:23" s="34" customFormat="1" ht="29" x14ac:dyDescent="0.35">
      <c r="A145" s="15"/>
      <c r="B145" s="35">
        <v>44405</v>
      </c>
      <c r="C145" s="14">
        <v>139</v>
      </c>
      <c r="D145" s="74" t="s">
        <v>2759</v>
      </c>
      <c r="E145" s="14" t="s">
        <v>2760</v>
      </c>
      <c r="F145" s="74" t="s">
        <v>13</v>
      </c>
      <c r="G145" s="14"/>
      <c r="H145" s="14" t="s">
        <v>17</v>
      </c>
      <c r="I145" s="144"/>
      <c r="J145" s="14" t="s">
        <v>682</v>
      </c>
      <c r="K145" s="14" t="s">
        <v>1125</v>
      </c>
      <c r="L145" s="14" t="s">
        <v>2</v>
      </c>
      <c r="M145" s="38">
        <v>8128616935</v>
      </c>
      <c r="N145" s="38">
        <v>359857084515394</v>
      </c>
      <c r="O145" s="38"/>
      <c r="P145" s="14" t="s">
        <v>681</v>
      </c>
      <c r="Q145" s="39" t="s">
        <v>2559</v>
      </c>
      <c r="R145" s="40">
        <v>1999.84</v>
      </c>
      <c r="S145" s="41" t="s">
        <v>1539</v>
      </c>
      <c r="T145" s="42">
        <v>44420</v>
      </c>
      <c r="U145" s="43">
        <v>44421</v>
      </c>
      <c r="V145" s="44"/>
      <c r="W145" s="15"/>
    </row>
    <row r="146" spans="1:23" s="34" customFormat="1" ht="29" x14ac:dyDescent="0.35">
      <c r="A146" s="15"/>
      <c r="B146" s="35">
        <v>44413</v>
      </c>
      <c r="C146" s="14">
        <v>140</v>
      </c>
      <c r="D146" s="85" t="s">
        <v>3713</v>
      </c>
      <c r="E146" s="14" t="s">
        <v>680</v>
      </c>
      <c r="F146" s="74" t="s">
        <v>13</v>
      </c>
      <c r="G146" s="17" t="s">
        <v>39</v>
      </c>
      <c r="H146" s="14" t="s">
        <v>473</v>
      </c>
      <c r="I146" s="145" t="s">
        <v>39</v>
      </c>
      <c r="J146" s="17" t="s">
        <v>26</v>
      </c>
      <c r="K146" s="14" t="s">
        <v>1126</v>
      </c>
      <c r="L146" s="14" t="s">
        <v>2</v>
      </c>
      <c r="M146" s="38">
        <v>8115257466</v>
      </c>
      <c r="N146" s="38">
        <v>359857084513977</v>
      </c>
      <c r="O146" s="16" t="s">
        <v>679</v>
      </c>
      <c r="P146" s="17" t="s">
        <v>39</v>
      </c>
      <c r="Q146" s="17" t="s">
        <v>4174</v>
      </c>
      <c r="R146" s="40">
        <v>1999.84</v>
      </c>
      <c r="S146" s="19" t="s">
        <v>3584</v>
      </c>
      <c r="T146" s="42">
        <v>44420</v>
      </c>
      <c r="U146" s="43">
        <v>44421</v>
      </c>
      <c r="V146" s="44"/>
      <c r="W146" s="15"/>
    </row>
    <row r="147" spans="1:23" s="34" customFormat="1" ht="29" x14ac:dyDescent="0.35">
      <c r="A147" s="15"/>
      <c r="B147" s="35">
        <v>44420</v>
      </c>
      <c r="C147" s="14">
        <v>141</v>
      </c>
      <c r="D147" s="85" t="s">
        <v>2566</v>
      </c>
      <c r="E147" s="14" t="s">
        <v>678</v>
      </c>
      <c r="F147" s="74" t="s">
        <v>13</v>
      </c>
      <c r="G147" s="14" t="s">
        <v>39</v>
      </c>
      <c r="H147" s="14" t="s">
        <v>527</v>
      </c>
      <c r="I147" s="144" t="s">
        <v>39</v>
      </c>
      <c r="J147" s="55" t="s">
        <v>2567</v>
      </c>
      <c r="K147" s="14" t="s">
        <v>2608</v>
      </c>
      <c r="L147" s="14" t="s">
        <v>2</v>
      </c>
      <c r="M147" s="38">
        <v>8118237888</v>
      </c>
      <c r="N147" s="38">
        <v>359857084513514</v>
      </c>
      <c r="O147" s="38" t="s">
        <v>3276</v>
      </c>
      <c r="P147" s="14" t="s">
        <v>3277</v>
      </c>
      <c r="Q147" s="17" t="s">
        <v>2559</v>
      </c>
      <c r="R147" s="40">
        <v>1999.84</v>
      </c>
      <c r="S147" s="19" t="s">
        <v>2560</v>
      </c>
      <c r="T147" s="42">
        <v>44420</v>
      </c>
      <c r="U147" s="43">
        <v>44421</v>
      </c>
      <c r="V147" s="15"/>
      <c r="W147" s="15"/>
    </row>
    <row r="148" spans="1:23" s="34" customFormat="1" ht="29" x14ac:dyDescent="0.35">
      <c r="A148" s="15"/>
      <c r="B148" s="35">
        <v>44427</v>
      </c>
      <c r="C148" s="14">
        <v>142</v>
      </c>
      <c r="D148" s="74" t="s">
        <v>2761</v>
      </c>
      <c r="E148" s="14" t="s">
        <v>2762</v>
      </c>
      <c r="F148" s="74" t="s">
        <v>13</v>
      </c>
      <c r="G148" s="14"/>
      <c r="H148" s="14" t="s">
        <v>11</v>
      </c>
      <c r="I148" s="144"/>
      <c r="J148" s="14" t="s">
        <v>677</v>
      </c>
      <c r="K148" s="14" t="s">
        <v>1127</v>
      </c>
      <c r="L148" s="14" t="s">
        <v>676</v>
      </c>
      <c r="M148" s="38">
        <v>8119174017</v>
      </c>
      <c r="N148" s="38">
        <v>359857084515345</v>
      </c>
      <c r="O148" s="38"/>
      <c r="P148" s="14" t="s">
        <v>675</v>
      </c>
      <c r="Q148" s="39" t="s">
        <v>2559</v>
      </c>
      <c r="R148" s="40">
        <v>1999.84</v>
      </c>
      <c r="S148" s="41" t="s">
        <v>1539</v>
      </c>
      <c r="T148" s="42">
        <v>44438</v>
      </c>
      <c r="U148" s="43">
        <v>44438</v>
      </c>
      <c r="V148" s="44"/>
      <c r="W148" s="15"/>
    </row>
    <row r="149" spans="1:23" s="34" customFormat="1" ht="29" x14ac:dyDescent="0.35">
      <c r="A149" s="15"/>
      <c r="B149" s="35">
        <v>44429</v>
      </c>
      <c r="C149" s="14">
        <v>143</v>
      </c>
      <c r="D149" s="74" t="s">
        <v>2763</v>
      </c>
      <c r="E149" s="14" t="s">
        <v>2764</v>
      </c>
      <c r="F149" s="74" t="s">
        <v>13</v>
      </c>
      <c r="G149" s="14"/>
      <c r="H149" s="14" t="s">
        <v>527</v>
      </c>
      <c r="I149" s="144"/>
      <c r="J149" s="14" t="s">
        <v>674</v>
      </c>
      <c r="K149" s="14" t="s">
        <v>1128</v>
      </c>
      <c r="L149" s="14" t="s">
        <v>229</v>
      </c>
      <c r="M149" s="38">
        <v>8119086283</v>
      </c>
      <c r="N149" s="38">
        <v>359857084507953</v>
      </c>
      <c r="O149" s="38"/>
      <c r="P149" s="14" t="s">
        <v>673</v>
      </c>
      <c r="Q149" s="39" t="s">
        <v>2559</v>
      </c>
      <c r="R149" s="40">
        <v>1999.84</v>
      </c>
      <c r="S149" s="41" t="s">
        <v>1539</v>
      </c>
      <c r="T149" s="42">
        <v>44438</v>
      </c>
      <c r="U149" s="43">
        <v>44438</v>
      </c>
      <c r="V149" s="44"/>
      <c r="W149" s="15"/>
    </row>
    <row r="150" spans="1:23" s="34" customFormat="1" ht="29" x14ac:dyDescent="0.35">
      <c r="A150" s="15"/>
      <c r="B150" s="35">
        <v>44434</v>
      </c>
      <c r="C150" s="14">
        <v>144</v>
      </c>
      <c r="D150" s="85" t="s">
        <v>2982</v>
      </c>
      <c r="E150" s="14" t="s">
        <v>627</v>
      </c>
      <c r="F150" s="74" t="s">
        <v>13</v>
      </c>
      <c r="G150" s="14" t="s">
        <v>39</v>
      </c>
      <c r="H150" s="14" t="s">
        <v>1793</v>
      </c>
      <c r="I150" s="145" t="s">
        <v>39</v>
      </c>
      <c r="J150" s="17" t="s">
        <v>2983</v>
      </c>
      <c r="K150" s="14" t="s">
        <v>1129</v>
      </c>
      <c r="L150" s="14" t="s">
        <v>2</v>
      </c>
      <c r="M150" s="38">
        <v>8123554929</v>
      </c>
      <c r="N150" s="38">
        <v>359857084510304</v>
      </c>
      <c r="O150" s="38" t="s">
        <v>39</v>
      </c>
      <c r="P150" s="14" t="s">
        <v>2931</v>
      </c>
      <c r="Q150" s="17" t="s">
        <v>2559</v>
      </c>
      <c r="R150" s="40">
        <v>1999.84</v>
      </c>
      <c r="S150" s="19" t="s">
        <v>2977</v>
      </c>
      <c r="T150" s="42">
        <v>44420</v>
      </c>
      <c r="U150" s="43">
        <v>44421</v>
      </c>
      <c r="V150" s="15"/>
      <c r="W150" s="15"/>
    </row>
    <row r="151" spans="1:23" s="34" customFormat="1" ht="29" x14ac:dyDescent="0.35">
      <c r="A151" s="15"/>
      <c r="B151" s="35">
        <v>44435</v>
      </c>
      <c r="C151" s="14">
        <v>145</v>
      </c>
      <c r="D151" s="85" t="s">
        <v>3715</v>
      </c>
      <c r="E151" s="14" t="s">
        <v>627</v>
      </c>
      <c r="F151" s="74" t="s">
        <v>13</v>
      </c>
      <c r="G151" s="17" t="s">
        <v>39</v>
      </c>
      <c r="H151" s="14" t="s">
        <v>672</v>
      </c>
      <c r="I151" s="145" t="s">
        <v>39</v>
      </c>
      <c r="J151" s="17" t="s">
        <v>24</v>
      </c>
      <c r="K151" s="14" t="s">
        <v>1130</v>
      </c>
      <c r="L151" s="14" t="s">
        <v>2</v>
      </c>
      <c r="M151" s="38">
        <v>8123554944</v>
      </c>
      <c r="N151" s="38">
        <v>359857084510346</v>
      </c>
      <c r="O151" s="16" t="s">
        <v>671</v>
      </c>
      <c r="P151" s="17" t="s">
        <v>39</v>
      </c>
      <c r="Q151" s="17" t="s">
        <v>4174</v>
      </c>
      <c r="R151" s="40">
        <v>1999.84</v>
      </c>
      <c r="S151" s="19" t="s">
        <v>3584</v>
      </c>
      <c r="T151" s="42">
        <v>44420</v>
      </c>
      <c r="U151" s="43">
        <v>44421</v>
      </c>
      <c r="V151" s="15"/>
      <c r="W151" s="15"/>
    </row>
    <row r="152" spans="1:23" s="34" customFormat="1" ht="29" x14ac:dyDescent="0.35">
      <c r="A152" s="15"/>
      <c r="B152" s="35">
        <v>44438</v>
      </c>
      <c r="C152" s="14">
        <v>146</v>
      </c>
      <c r="D152" s="36" t="s">
        <v>1961</v>
      </c>
      <c r="E152" s="85" t="s">
        <v>2767</v>
      </c>
      <c r="F152" s="74" t="s">
        <v>13</v>
      </c>
      <c r="G152" s="14"/>
      <c r="H152" s="14" t="s">
        <v>473</v>
      </c>
      <c r="I152" s="144"/>
      <c r="J152" s="14" t="s">
        <v>670</v>
      </c>
      <c r="K152" s="14" t="s">
        <v>1131</v>
      </c>
      <c r="L152" s="14" t="s">
        <v>2</v>
      </c>
      <c r="M152" s="38">
        <v>8115777975</v>
      </c>
      <c r="N152" s="38">
        <v>359857084642479</v>
      </c>
      <c r="O152" s="38"/>
      <c r="P152" s="14" t="s">
        <v>668</v>
      </c>
      <c r="Q152" s="14" t="s">
        <v>8</v>
      </c>
      <c r="R152" s="40">
        <v>1999.84</v>
      </c>
      <c r="S152" s="41" t="s">
        <v>1931</v>
      </c>
      <c r="T152" s="42">
        <v>44420</v>
      </c>
      <c r="U152" s="43">
        <v>44421</v>
      </c>
      <c r="V152" s="15"/>
      <c r="W152" s="15"/>
    </row>
    <row r="153" spans="1:23" s="34" customFormat="1" ht="29" x14ac:dyDescent="0.35">
      <c r="A153" s="15"/>
      <c r="B153" s="35">
        <v>44439</v>
      </c>
      <c r="C153" s="14">
        <v>147</v>
      </c>
      <c r="D153" s="85" t="s">
        <v>2568</v>
      </c>
      <c r="E153" s="14" t="s">
        <v>627</v>
      </c>
      <c r="F153" s="74" t="s">
        <v>13</v>
      </c>
      <c r="G153" s="14" t="s">
        <v>39</v>
      </c>
      <c r="H153" s="14" t="s">
        <v>1793</v>
      </c>
      <c r="I153" s="144" t="s">
        <v>39</v>
      </c>
      <c r="J153" s="14" t="s">
        <v>2571</v>
      </c>
      <c r="K153" s="14" t="s">
        <v>1132</v>
      </c>
      <c r="L153" s="14" t="s">
        <v>2</v>
      </c>
      <c r="M153" s="38">
        <v>8118227422</v>
      </c>
      <c r="N153" s="38">
        <v>359857084515360</v>
      </c>
      <c r="O153" s="38" t="s">
        <v>39</v>
      </c>
      <c r="P153" s="14" t="s">
        <v>667</v>
      </c>
      <c r="Q153" s="17" t="s">
        <v>2559</v>
      </c>
      <c r="R153" s="40">
        <v>1999.84</v>
      </c>
      <c r="S153" s="19" t="s">
        <v>2560</v>
      </c>
      <c r="T153" s="42">
        <v>44420</v>
      </c>
      <c r="U153" s="43">
        <v>44421</v>
      </c>
      <c r="V153" s="15"/>
      <c r="W153" s="15"/>
    </row>
    <row r="154" spans="1:23" s="34" customFormat="1" ht="29" x14ac:dyDescent="0.35">
      <c r="A154" s="15"/>
      <c r="B154" s="35">
        <v>44441</v>
      </c>
      <c r="C154" s="14">
        <v>148</v>
      </c>
      <c r="D154" s="85" t="s">
        <v>2572</v>
      </c>
      <c r="E154" s="14" t="s">
        <v>666</v>
      </c>
      <c r="F154" s="74" t="s">
        <v>13</v>
      </c>
      <c r="G154" s="14" t="s">
        <v>39</v>
      </c>
      <c r="H154" s="14" t="s">
        <v>527</v>
      </c>
      <c r="I154" s="144" t="s">
        <v>39</v>
      </c>
      <c r="J154" s="17" t="s">
        <v>2574</v>
      </c>
      <c r="K154" s="14" t="s">
        <v>1133</v>
      </c>
      <c r="L154" s="14" t="s">
        <v>2</v>
      </c>
      <c r="M154" s="38">
        <v>8116007051</v>
      </c>
      <c r="N154" s="38">
        <v>359857084510270</v>
      </c>
      <c r="O154" s="38" t="s">
        <v>3280</v>
      </c>
      <c r="P154" s="14" t="s">
        <v>3279</v>
      </c>
      <c r="Q154" s="17" t="s">
        <v>2559</v>
      </c>
      <c r="R154" s="40">
        <v>1999.84</v>
      </c>
      <c r="S154" s="19" t="s">
        <v>2560</v>
      </c>
      <c r="T154" s="42">
        <v>44420</v>
      </c>
      <c r="U154" s="43">
        <v>44421</v>
      </c>
      <c r="V154" s="15"/>
      <c r="W154" s="15"/>
    </row>
    <row r="155" spans="1:23" s="34" customFormat="1" ht="29" x14ac:dyDescent="0.35">
      <c r="A155" s="15"/>
      <c r="B155" s="35">
        <v>44443</v>
      </c>
      <c r="C155" s="14">
        <v>149</v>
      </c>
      <c r="D155" s="85" t="s">
        <v>2575</v>
      </c>
      <c r="E155" s="14" t="s">
        <v>627</v>
      </c>
      <c r="F155" s="74" t="s">
        <v>13</v>
      </c>
      <c r="G155" s="14" t="s">
        <v>39</v>
      </c>
      <c r="H155" s="14" t="s">
        <v>473</v>
      </c>
      <c r="I155" s="145" t="s">
        <v>39</v>
      </c>
      <c r="J155" s="17" t="s">
        <v>2576</v>
      </c>
      <c r="K155" s="14" t="s">
        <v>1134</v>
      </c>
      <c r="L155" s="14" t="s">
        <v>2</v>
      </c>
      <c r="M155" s="38">
        <v>8116007027</v>
      </c>
      <c r="N155" s="38">
        <v>359857084509710</v>
      </c>
      <c r="O155" s="14" t="s">
        <v>665</v>
      </c>
      <c r="P155" s="14" t="s">
        <v>39</v>
      </c>
      <c r="Q155" s="17" t="s">
        <v>2559</v>
      </c>
      <c r="R155" s="40">
        <v>1999.84</v>
      </c>
      <c r="S155" s="19" t="s">
        <v>2560</v>
      </c>
      <c r="T155" s="42">
        <v>44420</v>
      </c>
      <c r="U155" s="43">
        <v>44421</v>
      </c>
      <c r="V155" s="15"/>
      <c r="W155" s="15"/>
    </row>
    <row r="156" spans="1:23" s="34" customFormat="1" ht="29" x14ac:dyDescent="0.35">
      <c r="A156" s="15"/>
      <c r="B156" s="35">
        <v>44447</v>
      </c>
      <c r="C156" s="14">
        <v>150</v>
      </c>
      <c r="D156" s="36" t="s">
        <v>1955</v>
      </c>
      <c r="E156" s="85" t="s">
        <v>2768</v>
      </c>
      <c r="F156" s="74" t="s">
        <v>13</v>
      </c>
      <c r="G156" s="14"/>
      <c r="H156" s="14" t="s">
        <v>11</v>
      </c>
      <c r="I156" s="145"/>
      <c r="J156" s="17" t="s">
        <v>1956</v>
      </c>
      <c r="K156" s="17" t="s">
        <v>1958</v>
      </c>
      <c r="L156" s="14" t="s">
        <v>2</v>
      </c>
      <c r="M156" s="38">
        <v>8134058874</v>
      </c>
      <c r="N156" s="38">
        <v>359857084616978</v>
      </c>
      <c r="O156" s="38"/>
      <c r="P156" s="14" t="s">
        <v>664</v>
      </c>
      <c r="Q156" s="14" t="s">
        <v>8</v>
      </c>
      <c r="R156" s="40">
        <v>1999.84</v>
      </c>
      <c r="S156" s="41" t="s">
        <v>1931</v>
      </c>
      <c r="T156" s="42">
        <v>44453</v>
      </c>
      <c r="U156" s="43">
        <v>44454</v>
      </c>
      <c r="V156" s="44"/>
      <c r="W156" s="15"/>
    </row>
    <row r="157" spans="1:23" s="34" customFormat="1" ht="29" x14ac:dyDescent="0.35">
      <c r="A157" s="15"/>
      <c r="B157" s="35">
        <v>44449</v>
      </c>
      <c r="C157" s="14">
        <v>151</v>
      </c>
      <c r="D157" s="85" t="s">
        <v>3716</v>
      </c>
      <c r="E157" s="14" t="s">
        <v>663</v>
      </c>
      <c r="F157" s="74" t="s">
        <v>13</v>
      </c>
      <c r="G157" s="17" t="s">
        <v>39</v>
      </c>
      <c r="H157" s="14" t="s">
        <v>11</v>
      </c>
      <c r="I157" s="145" t="s">
        <v>39</v>
      </c>
      <c r="J157" s="17" t="s">
        <v>3717</v>
      </c>
      <c r="K157" s="14" t="s">
        <v>1135</v>
      </c>
      <c r="L157" s="14" t="s">
        <v>2</v>
      </c>
      <c r="M157" s="38">
        <v>8110388135</v>
      </c>
      <c r="N157" s="38">
        <v>359857084616317</v>
      </c>
      <c r="O157" s="16" t="s">
        <v>662</v>
      </c>
      <c r="P157" s="17" t="s">
        <v>39</v>
      </c>
      <c r="Q157" s="17" t="s">
        <v>4174</v>
      </c>
      <c r="R157" s="40">
        <v>1999.84</v>
      </c>
      <c r="S157" s="19" t="s">
        <v>3584</v>
      </c>
      <c r="T157" s="42">
        <v>44453</v>
      </c>
      <c r="U157" s="43">
        <v>44454</v>
      </c>
      <c r="V157" s="44"/>
      <c r="W157" s="15"/>
    </row>
    <row r="158" spans="1:23" s="34" customFormat="1" ht="29" x14ac:dyDescent="0.35">
      <c r="A158" s="15"/>
      <c r="B158" s="35">
        <v>44450</v>
      </c>
      <c r="C158" s="14">
        <v>152</v>
      </c>
      <c r="D158" s="36" t="s">
        <v>2225</v>
      </c>
      <c r="E158" s="47" t="s">
        <v>661</v>
      </c>
      <c r="F158" s="74" t="s">
        <v>13</v>
      </c>
      <c r="G158" s="14"/>
      <c r="H158" s="14" t="s">
        <v>11</v>
      </c>
      <c r="I158" s="144"/>
      <c r="J158" s="14" t="s">
        <v>660</v>
      </c>
      <c r="K158" s="14" t="s">
        <v>1136</v>
      </c>
      <c r="L158" s="14" t="s">
        <v>2</v>
      </c>
      <c r="M158" s="38">
        <v>8134058902</v>
      </c>
      <c r="N158" s="38">
        <v>359857084617232</v>
      </c>
      <c r="O158" s="38"/>
      <c r="P158" s="14" t="s">
        <v>659</v>
      </c>
      <c r="Q158" s="14" t="s">
        <v>8</v>
      </c>
      <c r="R158" s="40">
        <v>1999.84</v>
      </c>
      <c r="S158" s="19" t="s">
        <v>2200</v>
      </c>
      <c r="T158" s="42">
        <v>44453</v>
      </c>
      <c r="U158" s="43">
        <v>44454</v>
      </c>
      <c r="V158" s="44"/>
      <c r="W158" s="15"/>
    </row>
    <row r="159" spans="1:23" s="34" customFormat="1" ht="29" x14ac:dyDescent="0.35">
      <c r="A159" s="15"/>
      <c r="B159" s="35">
        <v>44452</v>
      </c>
      <c r="C159" s="14">
        <v>153</v>
      </c>
      <c r="D159" s="74" t="s">
        <v>2769</v>
      </c>
      <c r="E159" s="14" t="s">
        <v>2770</v>
      </c>
      <c r="F159" s="74" t="s">
        <v>13</v>
      </c>
      <c r="G159" s="14"/>
      <c r="H159" s="14" t="s">
        <v>11</v>
      </c>
      <c r="I159" s="144"/>
      <c r="J159" s="14" t="s">
        <v>658</v>
      </c>
      <c r="K159" s="17" t="s">
        <v>1543</v>
      </c>
      <c r="L159" s="14" t="s">
        <v>2</v>
      </c>
      <c r="M159" s="38">
        <v>8128616957</v>
      </c>
      <c r="N159" s="38">
        <v>359857084616366</v>
      </c>
      <c r="O159" s="38"/>
      <c r="P159" s="14" t="s">
        <v>657</v>
      </c>
      <c r="Q159" s="39" t="s">
        <v>2559</v>
      </c>
      <c r="R159" s="40">
        <v>1999.84</v>
      </c>
      <c r="S159" s="41" t="s">
        <v>1539</v>
      </c>
      <c r="T159" s="42">
        <v>44453</v>
      </c>
      <c r="U159" s="43">
        <v>44454</v>
      </c>
      <c r="V159" s="44"/>
      <c r="W159" s="15"/>
    </row>
    <row r="160" spans="1:23" s="34" customFormat="1" ht="29" x14ac:dyDescent="0.35">
      <c r="A160" s="15"/>
      <c r="B160" s="35">
        <v>44453</v>
      </c>
      <c r="C160" s="14">
        <v>154</v>
      </c>
      <c r="D160" s="74" t="s">
        <v>2771</v>
      </c>
      <c r="E160" s="14" t="s">
        <v>2772</v>
      </c>
      <c r="F160" s="74" t="s">
        <v>13</v>
      </c>
      <c r="G160" s="14"/>
      <c r="H160" s="14" t="s">
        <v>17</v>
      </c>
      <c r="I160" s="144"/>
      <c r="J160" s="14" t="s">
        <v>656</v>
      </c>
      <c r="K160" s="14" t="s">
        <v>1137</v>
      </c>
      <c r="L160" s="14" t="s">
        <v>2</v>
      </c>
      <c r="M160" s="38">
        <v>8120013078</v>
      </c>
      <c r="N160" s="38">
        <v>865011032921448</v>
      </c>
      <c r="O160" s="38"/>
      <c r="P160" s="14" t="s">
        <v>655</v>
      </c>
      <c r="Q160" s="39" t="s">
        <v>2559</v>
      </c>
      <c r="R160" s="40">
        <v>1999.84</v>
      </c>
      <c r="S160" s="41" t="s">
        <v>1607</v>
      </c>
      <c r="T160" s="42">
        <v>44453</v>
      </c>
      <c r="U160" s="43">
        <v>44454</v>
      </c>
      <c r="V160" s="15" t="s">
        <v>1608</v>
      </c>
      <c r="W160" s="15"/>
    </row>
    <row r="161" spans="1:23" s="34" customFormat="1" ht="29" x14ac:dyDescent="0.35">
      <c r="A161" s="15"/>
      <c r="B161" s="35">
        <v>44456</v>
      </c>
      <c r="C161" s="14">
        <v>155</v>
      </c>
      <c r="D161" s="85" t="s">
        <v>3718</v>
      </c>
      <c r="E161" s="14" t="s">
        <v>627</v>
      </c>
      <c r="F161" s="74" t="s">
        <v>13</v>
      </c>
      <c r="G161" s="17" t="s">
        <v>39</v>
      </c>
      <c r="H161" s="14" t="s">
        <v>473</v>
      </c>
      <c r="I161" s="145" t="s">
        <v>39</v>
      </c>
      <c r="J161" s="17" t="s">
        <v>3719</v>
      </c>
      <c r="K161" s="14" t="s">
        <v>1138</v>
      </c>
      <c r="L161" s="14" t="s">
        <v>2</v>
      </c>
      <c r="M161" s="38">
        <v>8128755023</v>
      </c>
      <c r="N161" s="38">
        <v>865011032921521</v>
      </c>
      <c r="O161" s="16" t="s">
        <v>4188</v>
      </c>
      <c r="P161" s="17" t="s">
        <v>39</v>
      </c>
      <c r="Q161" s="17" t="s">
        <v>4174</v>
      </c>
      <c r="R161" s="40">
        <v>1999.84</v>
      </c>
      <c r="S161" s="19" t="s">
        <v>3584</v>
      </c>
      <c r="T161" s="42">
        <v>44469</v>
      </c>
      <c r="U161" s="43">
        <v>44469</v>
      </c>
      <c r="V161" s="15" t="s">
        <v>1004</v>
      </c>
      <c r="W161" s="15"/>
    </row>
    <row r="162" spans="1:23" s="34" customFormat="1" ht="29" x14ac:dyDescent="0.35">
      <c r="A162" s="15"/>
      <c r="B162" s="35">
        <v>44468</v>
      </c>
      <c r="C162" s="14">
        <v>156</v>
      </c>
      <c r="D162" s="74" t="s">
        <v>2773</v>
      </c>
      <c r="E162" s="14" t="s">
        <v>2774</v>
      </c>
      <c r="F162" s="74" t="s">
        <v>13</v>
      </c>
      <c r="G162" s="14"/>
      <c r="H162" s="14" t="s">
        <v>467</v>
      </c>
      <c r="I162" s="144"/>
      <c r="J162" s="14" t="s">
        <v>466</v>
      </c>
      <c r="K162" s="14" t="s">
        <v>1139</v>
      </c>
      <c r="L162" s="14" t="s">
        <v>2</v>
      </c>
      <c r="M162" s="38">
        <v>8128617702</v>
      </c>
      <c r="N162" s="38">
        <v>865011034235847</v>
      </c>
      <c r="O162" s="38"/>
      <c r="P162" s="14" t="s">
        <v>465</v>
      </c>
      <c r="Q162" s="14" t="s">
        <v>8</v>
      </c>
      <c r="R162" s="40">
        <v>1999.84</v>
      </c>
      <c r="S162" s="41" t="s">
        <v>462</v>
      </c>
      <c r="T162" s="42">
        <v>44469</v>
      </c>
      <c r="U162" s="43">
        <v>44469</v>
      </c>
      <c r="V162" s="15"/>
      <c r="W162" s="15"/>
    </row>
    <row r="163" spans="1:23" s="34" customFormat="1" ht="29" x14ac:dyDescent="0.35">
      <c r="A163" s="15"/>
      <c r="B163" s="35">
        <v>44482</v>
      </c>
      <c r="C163" s="14">
        <v>157</v>
      </c>
      <c r="D163" s="36" t="s">
        <v>1962</v>
      </c>
      <c r="E163" s="17" t="s">
        <v>1505</v>
      </c>
      <c r="F163" s="74" t="s">
        <v>13</v>
      </c>
      <c r="G163" s="14"/>
      <c r="H163" s="14" t="s">
        <v>1793</v>
      </c>
      <c r="I163" s="145"/>
      <c r="J163" s="17" t="s">
        <v>1499</v>
      </c>
      <c r="K163" s="14" t="s">
        <v>1461</v>
      </c>
      <c r="L163" s="14" t="s">
        <v>2</v>
      </c>
      <c r="M163" s="38">
        <v>8134058857</v>
      </c>
      <c r="N163" s="38">
        <v>359857084511641</v>
      </c>
      <c r="O163" s="38"/>
      <c r="P163" s="14" t="s">
        <v>654</v>
      </c>
      <c r="Q163" s="39" t="s">
        <v>2559</v>
      </c>
      <c r="R163" s="40">
        <v>1999.84</v>
      </c>
      <c r="S163" s="41" t="s">
        <v>1504</v>
      </c>
      <c r="T163" s="42">
        <v>44484</v>
      </c>
      <c r="U163" s="43">
        <v>44484</v>
      </c>
      <c r="V163" s="44"/>
      <c r="W163" s="15"/>
    </row>
    <row r="164" spans="1:23" s="34" customFormat="1" ht="29" x14ac:dyDescent="0.35">
      <c r="A164" s="15"/>
      <c r="B164" s="35">
        <v>44483</v>
      </c>
      <c r="C164" s="14">
        <v>158</v>
      </c>
      <c r="D164" s="85" t="s">
        <v>3720</v>
      </c>
      <c r="E164" s="14" t="s">
        <v>627</v>
      </c>
      <c r="F164" s="74" t="s">
        <v>13</v>
      </c>
      <c r="G164" s="17" t="s">
        <v>39</v>
      </c>
      <c r="H164" s="14" t="s">
        <v>226</v>
      </c>
      <c r="I164" s="145" t="s">
        <v>39</v>
      </c>
      <c r="J164" s="17" t="s">
        <v>3721</v>
      </c>
      <c r="K164" s="14" t="s">
        <v>1140</v>
      </c>
      <c r="L164" s="14" t="s">
        <v>2</v>
      </c>
      <c r="M164" s="38">
        <v>8118003972</v>
      </c>
      <c r="N164" s="38">
        <v>865011033544496</v>
      </c>
      <c r="O164" s="16" t="s">
        <v>39</v>
      </c>
      <c r="P164" s="17" t="s">
        <v>653</v>
      </c>
      <c r="Q164" s="17" t="s">
        <v>4174</v>
      </c>
      <c r="R164" s="40">
        <v>1999.84</v>
      </c>
      <c r="S164" s="19" t="s">
        <v>3584</v>
      </c>
      <c r="T164" s="42">
        <v>44484</v>
      </c>
      <c r="U164" s="43">
        <v>44484</v>
      </c>
      <c r="V164" s="44">
        <v>45004.938171296293</v>
      </c>
      <c r="W164" s="15"/>
    </row>
    <row r="165" spans="1:23" s="34" customFormat="1" ht="29" x14ac:dyDescent="0.35">
      <c r="A165" s="15"/>
      <c r="B165" s="35">
        <v>44495</v>
      </c>
      <c r="C165" s="14">
        <v>159</v>
      </c>
      <c r="D165" s="36" t="s">
        <v>1963</v>
      </c>
      <c r="E165" s="85" t="s">
        <v>1929</v>
      </c>
      <c r="F165" s="74" t="s">
        <v>13</v>
      </c>
      <c r="G165" s="14"/>
      <c r="H165" s="14" t="s">
        <v>473</v>
      </c>
      <c r="I165" s="144"/>
      <c r="J165" s="14" t="s">
        <v>652</v>
      </c>
      <c r="K165" s="14" t="s">
        <v>1141</v>
      </c>
      <c r="L165" s="14" t="s">
        <v>2</v>
      </c>
      <c r="M165" s="38">
        <v>8123545675</v>
      </c>
      <c r="N165" s="38">
        <v>865011033065252</v>
      </c>
      <c r="O165" s="38"/>
      <c r="P165" s="14" t="s">
        <v>651</v>
      </c>
      <c r="Q165" s="14" t="s">
        <v>8</v>
      </c>
      <c r="R165" s="40">
        <v>1999.84</v>
      </c>
      <c r="S165" s="41" t="s">
        <v>1931</v>
      </c>
      <c r="T165" s="42">
        <v>44498</v>
      </c>
      <c r="U165" s="43">
        <v>44499</v>
      </c>
      <c r="V165" s="44"/>
      <c r="W165" s="15"/>
    </row>
    <row r="166" spans="1:23" s="34" customFormat="1" ht="29" x14ac:dyDescent="0.35">
      <c r="A166" s="15"/>
      <c r="B166" s="35">
        <v>44495</v>
      </c>
      <c r="C166" s="14">
        <v>160</v>
      </c>
      <c r="D166" s="74" t="s">
        <v>2775</v>
      </c>
      <c r="E166" s="14" t="s">
        <v>2776</v>
      </c>
      <c r="F166" s="74" t="s">
        <v>13</v>
      </c>
      <c r="G166" s="14"/>
      <c r="H166" s="14" t="s">
        <v>1793</v>
      </c>
      <c r="I166" s="144"/>
      <c r="J166" s="14" t="s">
        <v>650</v>
      </c>
      <c r="K166" s="14" t="s">
        <v>1142</v>
      </c>
      <c r="L166" s="14" t="s">
        <v>2</v>
      </c>
      <c r="M166" s="38">
        <v>8184662893</v>
      </c>
      <c r="N166" s="38">
        <v>865011034235268</v>
      </c>
      <c r="O166" s="38"/>
      <c r="P166" s="14" t="s">
        <v>649</v>
      </c>
      <c r="Q166" s="39" t="s">
        <v>2559</v>
      </c>
      <c r="R166" s="40">
        <v>1999.84</v>
      </c>
      <c r="S166" s="41" t="s">
        <v>1539</v>
      </c>
      <c r="T166" s="42">
        <v>44498</v>
      </c>
      <c r="U166" s="43">
        <v>44499</v>
      </c>
      <c r="V166" s="44"/>
      <c r="W166" s="15"/>
    </row>
    <row r="167" spans="1:23" s="34" customFormat="1" ht="29" x14ac:dyDescent="0.35">
      <c r="A167" s="15"/>
      <c r="B167" s="35">
        <v>44496</v>
      </c>
      <c r="C167" s="14">
        <v>161</v>
      </c>
      <c r="D167" s="85" t="s">
        <v>3722</v>
      </c>
      <c r="E167" s="14" t="s">
        <v>627</v>
      </c>
      <c r="F167" s="74" t="s">
        <v>13</v>
      </c>
      <c r="G167" s="17" t="s">
        <v>39</v>
      </c>
      <c r="H167" s="14" t="s">
        <v>648</v>
      </c>
      <c r="I167" s="145" t="s">
        <v>39</v>
      </c>
      <c r="J167" s="17" t="s">
        <v>3723</v>
      </c>
      <c r="K167" s="14" t="s">
        <v>1143</v>
      </c>
      <c r="L167" s="14" t="s">
        <v>2</v>
      </c>
      <c r="M167" s="38">
        <v>8118247470</v>
      </c>
      <c r="N167" s="38">
        <v>865011034235680</v>
      </c>
      <c r="O167" s="16" t="s">
        <v>647</v>
      </c>
      <c r="P167" s="17" t="s">
        <v>39</v>
      </c>
      <c r="Q167" s="17" t="s">
        <v>4174</v>
      </c>
      <c r="R167" s="40">
        <v>1999.84</v>
      </c>
      <c r="S167" s="19" t="s">
        <v>3584</v>
      </c>
      <c r="T167" s="42">
        <v>44498</v>
      </c>
      <c r="U167" s="43">
        <v>44499</v>
      </c>
      <c r="V167" s="15" t="s">
        <v>1004</v>
      </c>
      <c r="W167" s="15"/>
    </row>
    <row r="168" spans="1:23" s="34" customFormat="1" ht="29" x14ac:dyDescent="0.35">
      <c r="A168" s="15"/>
      <c r="B168" s="35">
        <v>44497</v>
      </c>
      <c r="C168" s="14">
        <v>162</v>
      </c>
      <c r="D168" s="85" t="s">
        <v>3724</v>
      </c>
      <c r="E168" s="14" t="s">
        <v>627</v>
      </c>
      <c r="F168" s="74" t="s">
        <v>13</v>
      </c>
      <c r="G168" s="17" t="s">
        <v>39</v>
      </c>
      <c r="H168" s="14" t="s">
        <v>11</v>
      </c>
      <c r="I168" s="145" t="s">
        <v>39</v>
      </c>
      <c r="J168" s="17" t="s">
        <v>3726</v>
      </c>
      <c r="K168" s="14" t="s">
        <v>1144</v>
      </c>
      <c r="L168" s="14" t="s">
        <v>2</v>
      </c>
      <c r="M168" s="38">
        <v>8118247497</v>
      </c>
      <c r="N168" s="38">
        <v>865011034235144</v>
      </c>
      <c r="O168" s="16" t="s">
        <v>3725</v>
      </c>
      <c r="P168" s="17" t="s">
        <v>4189</v>
      </c>
      <c r="Q168" s="17" t="s">
        <v>4174</v>
      </c>
      <c r="R168" s="40">
        <v>1999.84</v>
      </c>
      <c r="S168" s="19" t="s">
        <v>3584</v>
      </c>
      <c r="T168" s="42">
        <v>44498</v>
      </c>
      <c r="U168" s="43">
        <v>44499</v>
      </c>
      <c r="V168" s="15" t="s">
        <v>1004</v>
      </c>
      <c r="W168" s="15"/>
    </row>
    <row r="169" spans="1:23" s="34" customFormat="1" ht="29" x14ac:dyDescent="0.35">
      <c r="A169" s="15"/>
      <c r="B169" s="35">
        <v>44497</v>
      </c>
      <c r="C169" s="14">
        <v>163</v>
      </c>
      <c r="D169" s="74" t="s">
        <v>2777</v>
      </c>
      <c r="E169" s="14" t="s">
        <v>2778</v>
      </c>
      <c r="F169" s="74" t="s">
        <v>13</v>
      </c>
      <c r="G169" s="14"/>
      <c r="H169" s="14" t="s">
        <v>1793</v>
      </c>
      <c r="I169" s="144"/>
      <c r="J169" s="14" t="s">
        <v>646</v>
      </c>
      <c r="K169" s="14" t="s">
        <v>1145</v>
      </c>
      <c r="L169" s="14" t="s">
        <v>2</v>
      </c>
      <c r="M169" s="38">
        <v>8118247475</v>
      </c>
      <c r="N169" s="38">
        <v>865011034235235</v>
      </c>
      <c r="O169" s="38"/>
      <c r="P169" s="14" t="s">
        <v>645</v>
      </c>
      <c r="Q169" s="39" t="s">
        <v>2559</v>
      </c>
      <c r="R169" s="40">
        <v>1999.84</v>
      </c>
      <c r="S169" s="41" t="s">
        <v>1539</v>
      </c>
      <c r="T169" s="42">
        <v>44498</v>
      </c>
      <c r="U169" s="43">
        <v>44499</v>
      </c>
      <c r="V169" s="15" t="s">
        <v>1004</v>
      </c>
      <c r="W169" s="15"/>
    </row>
    <row r="170" spans="1:23" s="34" customFormat="1" ht="29" x14ac:dyDescent="0.35">
      <c r="A170" s="15"/>
      <c r="B170" s="35">
        <v>44498</v>
      </c>
      <c r="C170" s="14">
        <v>164</v>
      </c>
      <c r="D170" s="85" t="s">
        <v>3727</v>
      </c>
      <c r="E170" s="14" t="s">
        <v>627</v>
      </c>
      <c r="F170" s="74" t="s">
        <v>13</v>
      </c>
      <c r="G170" s="17" t="s">
        <v>39</v>
      </c>
      <c r="H170" s="14" t="s">
        <v>1789</v>
      </c>
      <c r="I170" s="145" t="s">
        <v>39</v>
      </c>
      <c r="J170" s="17" t="s">
        <v>3730</v>
      </c>
      <c r="K170" s="14" t="s">
        <v>1146</v>
      </c>
      <c r="L170" s="14" t="s">
        <v>2</v>
      </c>
      <c r="M170" s="38">
        <v>8128610114</v>
      </c>
      <c r="N170" s="38">
        <v>865011034234709</v>
      </c>
      <c r="O170" s="16" t="s">
        <v>3729</v>
      </c>
      <c r="P170" s="17" t="s">
        <v>3728</v>
      </c>
      <c r="Q170" s="17" t="s">
        <v>4174</v>
      </c>
      <c r="R170" s="40">
        <v>1999.84</v>
      </c>
      <c r="S170" s="19" t="s">
        <v>3584</v>
      </c>
      <c r="T170" s="42">
        <v>44498</v>
      </c>
      <c r="U170" s="43">
        <v>44499</v>
      </c>
      <c r="V170" s="15" t="s">
        <v>1004</v>
      </c>
      <c r="W170" s="15"/>
    </row>
    <row r="171" spans="1:23" s="34" customFormat="1" ht="14.5" x14ac:dyDescent="0.35">
      <c r="A171" s="15"/>
      <c r="B171" s="35">
        <v>44502</v>
      </c>
      <c r="C171" s="14">
        <v>165</v>
      </c>
      <c r="D171" s="39">
        <v>234</v>
      </c>
      <c r="E171" s="46" t="s">
        <v>39</v>
      </c>
      <c r="F171" s="74" t="s">
        <v>40</v>
      </c>
      <c r="G171" s="14" t="s">
        <v>39</v>
      </c>
      <c r="H171" s="14" t="s">
        <v>640</v>
      </c>
      <c r="I171" s="144"/>
      <c r="J171" s="14" t="s">
        <v>644</v>
      </c>
      <c r="K171" s="14" t="s">
        <v>1147</v>
      </c>
      <c r="L171" s="14" t="s">
        <v>2</v>
      </c>
      <c r="M171" s="38" t="s">
        <v>39</v>
      </c>
      <c r="N171" s="38" t="s">
        <v>39</v>
      </c>
      <c r="O171" s="38"/>
      <c r="P171" s="14" t="s">
        <v>39</v>
      </c>
      <c r="Q171" s="14" t="s">
        <v>39</v>
      </c>
      <c r="R171" s="40">
        <v>290</v>
      </c>
      <c r="S171" s="41" t="s">
        <v>40</v>
      </c>
      <c r="T171" s="42">
        <v>44513</v>
      </c>
      <c r="U171" s="43">
        <v>44516</v>
      </c>
      <c r="V171" s="15"/>
      <c r="W171" s="15"/>
    </row>
    <row r="172" spans="1:23" s="34" customFormat="1" ht="29" x14ac:dyDescent="0.35">
      <c r="A172" s="15"/>
      <c r="B172" s="35">
        <v>44503</v>
      </c>
      <c r="C172" s="14">
        <v>166</v>
      </c>
      <c r="D172" s="74" t="s">
        <v>2779</v>
      </c>
      <c r="E172" s="14" t="s">
        <v>1537</v>
      </c>
      <c r="F172" s="74" t="s">
        <v>13</v>
      </c>
      <c r="G172" s="14"/>
      <c r="H172" s="14" t="s">
        <v>473</v>
      </c>
      <c r="I172" s="144"/>
      <c r="J172" s="14" t="s">
        <v>643</v>
      </c>
      <c r="K172" s="14" t="s">
        <v>1148</v>
      </c>
      <c r="L172" s="14" t="s">
        <v>2</v>
      </c>
      <c r="M172" s="38">
        <v>8115777571</v>
      </c>
      <c r="N172" s="38">
        <v>865011034234824</v>
      </c>
      <c r="O172" s="38"/>
      <c r="P172" s="14" t="s">
        <v>642</v>
      </c>
      <c r="Q172" s="39" t="s">
        <v>2559</v>
      </c>
      <c r="R172" s="40">
        <v>1999.84</v>
      </c>
      <c r="S172" s="41" t="s">
        <v>1539</v>
      </c>
      <c r="T172" s="42">
        <v>44498</v>
      </c>
      <c r="U172" s="43">
        <v>44499</v>
      </c>
      <c r="V172" s="15" t="s">
        <v>1004</v>
      </c>
      <c r="W172" s="15"/>
    </row>
    <row r="173" spans="1:23" s="34" customFormat="1" ht="29" x14ac:dyDescent="0.35">
      <c r="A173" s="15"/>
      <c r="B173" s="35">
        <v>44504</v>
      </c>
      <c r="C173" s="14">
        <v>167</v>
      </c>
      <c r="D173" s="74" t="s">
        <v>2780</v>
      </c>
      <c r="E173" s="14" t="s">
        <v>2781</v>
      </c>
      <c r="F173" s="74" t="s">
        <v>13</v>
      </c>
      <c r="G173" s="17" t="s">
        <v>39</v>
      </c>
      <c r="H173" s="14" t="s">
        <v>1793</v>
      </c>
      <c r="I173" s="145" t="s">
        <v>39</v>
      </c>
      <c r="J173" s="14" t="s">
        <v>4190</v>
      </c>
      <c r="K173" s="14" t="s">
        <v>1149</v>
      </c>
      <c r="L173" s="14" t="s">
        <v>2</v>
      </c>
      <c r="M173" s="38">
        <v>8120013075</v>
      </c>
      <c r="N173" s="38">
        <v>863844053084544</v>
      </c>
      <c r="O173" s="17" t="s">
        <v>39</v>
      </c>
      <c r="P173" s="14" t="s">
        <v>608</v>
      </c>
      <c r="Q173" s="14" t="s">
        <v>2782</v>
      </c>
      <c r="R173" s="40">
        <v>1999.84</v>
      </c>
      <c r="S173" s="41" t="s">
        <v>2784</v>
      </c>
      <c r="T173" s="42" t="s">
        <v>2785</v>
      </c>
      <c r="U173" s="117">
        <v>246</v>
      </c>
      <c r="V173" s="15"/>
      <c r="W173" s="15"/>
    </row>
    <row r="174" spans="1:23" s="34" customFormat="1" ht="29" x14ac:dyDescent="0.35">
      <c r="A174" s="15"/>
      <c r="B174" s="35">
        <v>44505</v>
      </c>
      <c r="C174" s="14">
        <v>168</v>
      </c>
      <c r="D174" s="85" t="s">
        <v>3731</v>
      </c>
      <c r="E174" s="14" t="s">
        <v>627</v>
      </c>
      <c r="F174" s="74" t="s">
        <v>13</v>
      </c>
      <c r="G174" s="17" t="s">
        <v>21</v>
      </c>
      <c r="H174" s="14" t="s">
        <v>39</v>
      </c>
      <c r="I174" s="145" t="s">
        <v>39</v>
      </c>
      <c r="J174" s="17" t="s">
        <v>24</v>
      </c>
      <c r="K174" s="14" t="s">
        <v>1150</v>
      </c>
      <c r="L174" s="14" t="s">
        <v>2</v>
      </c>
      <c r="M174" s="38">
        <v>8118003974</v>
      </c>
      <c r="N174" s="38">
        <v>863844053083967</v>
      </c>
      <c r="O174" s="16" t="s">
        <v>641</v>
      </c>
      <c r="P174" s="17" t="s">
        <v>39</v>
      </c>
      <c r="Q174" s="17" t="s">
        <v>4174</v>
      </c>
      <c r="R174" s="40">
        <v>1999.84</v>
      </c>
      <c r="S174" s="19" t="s">
        <v>3584</v>
      </c>
      <c r="T174" s="42">
        <v>44498</v>
      </c>
      <c r="U174" s="43">
        <v>44499</v>
      </c>
      <c r="V174" s="15"/>
      <c r="W174" s="15"/>
    </row>
    <row r="175" spans="1:23" s="34" customFormat="1" ht="29" x14ac:dyDescent="0.35">
      <c r="A175" s="15"/>
      <c r="B175" s="35">
        <v>44505</v>
      </c>
      <c r="C175" s="14">
        <v>169</v>
      </c>
      <c r="D175" s="74" t="s">
        <v>2786</v>
      </c>
      <c r="E175" s="14" t="s">
        <v>2787</v>
      </c>
      <c r="F175" s="74" t="s">
        <v>13</v>
      </c>
      <c r="G175" s="14"/>
      <c r="H175" s="14" t="s">
        <v>640</v>
      </c>
      <c r="I175" s="144"/>
      <c r="J175" s="14" t="s">
        <v>615</v>
      </c>
      <c r="K175" s="14" t="s">
        <v>1151</v>
      </c>
      <c r="L175" s="14" t="s">
        <v>2</v>
      </c>
      <c r="M175" s="38">
        <v>8126201750</v>
      </c>
      <c r="N175" s="38">
        <v>863844053083637</v>
      </c>
      <c r="O175" s="38"/>
      <c r="P175" s="14" t="s">
        <v>614</v>
      </c>
      <c r="Q175" s="14" t="s">
        <v>8</v>
      </c>
      <c r="R175" s="40">
        <v>1999.84</v>
      </c>
      <c r="S175" s="41" t="s">
        <v>616</v>
      </c>
      <c r="T175" s="42">
        <v>44513</v>
      </c>
      <c r="U175" s="43">
        <v>44516</v>
      </c>
      <c r="V175" s="15"/>
      <c r="W175" s="15"/>
    </row>
    <row r="176" spans="1:23" s="34" customFormat="1" ht="29" x14ac:dyDescent="0.35">
      <c r="A176" s="15"/>
      <c r="B176" s="35">
        <v>44510</v>
      </c>
      <c r="C176" s="14">
        <v>170</v>
      </c>
      <c r="D176" s="85" t="s">
        <v>3732</v>
      </c>
      <c r="E176" s="14" t="s">
        <v>627</v>
      </c>
      <c r="F176" s="74" t="s">
        <v>13</v>
      </c>
      <c r="G176" s="14" t="s">
        <v>21</v>
      </c>
      <c r="H176" s="14" t="s">
        <v>39</v>
      </c>
      <c r="I176" s="145" t="s">
        <v>39</v>
      </c>
      <c r="J176" s="17" t="s">
        <v>3735</v>
      </c>
      <c r="K176" s="14" t="s">
        <v>1152</v>
      </c>
      <c r="L176" s="14" t="s">
        <v>2</v>
      </c>
      <c r="M176" s="38">
        <v>8126201676</v>
      </c>
      <c r="N176" s="38">
        <v>863844053081581</v>
      </c>
      <c r="O176" s="16" t="s">
        <v>3734</v>
      </c>
      <c r="P176" s="17" t="s">
        <v>3733</v>
      </c>
      <c r="Q176" s="17" t="s">
        <v>4174</v>
      </c>
      <c r="R176" s="40">
        <v>1999.84</v>
      </c>
      <c r="S176" s="19" t="s">
        <v>3584</v>
      </c>
      <c r="T176" s="42">
        <v>44498</v>
      </c>
      <c r="U176" s="43">
        <v>44499</v>
      </c>
      <c r="V176" s="15" t="s">
        <v>1004</v>
      </c>
      <c r="W176" s="15"/>
    </row>
    <row r="177" spans="1:23" s="34" customFormat="1" ht="29" x14ac:dyDescent="0.35">
      <c r="A177" s="15"/>
      <c r="B177" s="35">
        <v>44512</v>
      </c>
      <c r="C177" s="14">
        <v>171</v>
      </c>
      <c r="D177" s="85" t="s">
        <v>3736</v>
      </c>
      <c r="E177" s="14" t="s">
        <v>639</v>
      </c>
      <c r="F177" s="74" t="s">
        <v>13</v>
      </c>
      <c r="G177" s="17" t="s">
        <v>39</v>
      </c>
      <c r="H177" s="14" t="s">
        <v>1767</v>
      </c>
      <c r="I177" s="145" t="s">
        <v>39</v>
      </c>
      <c r="J177" s="17" t="s">
        <v>3737</v>
      </c>
      <c r="K177" s="14" t="s">
        <v>1153</v>
      </c>
      <c r="L177" s="14" t="s">
        <v>50</v>
      </c>
      <c r="M177" s="38">
        <v>8119824274</v>
      </c>
      <c r="N177" s="38">
        <v>865284040172953</v>
      </c>
      <c r="O177" s="16" t="s">
        <v>638</v>
      </c>
      <c r="P177" s="17" t="s">
        <v>39</v>
      </c>
      <c r="Q177" s="17" t="s">
        <v>4174</v>
      </c>
      <c r="R177" s="40">
        <v>1999.84</v>
      </c>
      <c r="S177" s="19" t="s">
        <v>3584</v>
      </c>
      <c r="T177" s="42">
        <v>44530</v>
      </c>
      <c r="U177" s="43">
        <v>44530</v>
      </c>
      <c r="V177" s="46" t="s">
        <v>710</v>
      </c>
      <c r="W177" s="15"/>
    </row>
    <row r="178" spans="1:23" s="34" customFormat="1" ht="29" x14ac:dyDescent="0.35">
      <c r="A178" s="15"/>
      <c r="B178" s="35">
        <v>44517</v>
      </c>
      <c r="C178" s="14">
        <v>172</v>
      </c>
      <c r="D178" s="36" t="s">
        <v>1964</v>
      </c>
      <c r="E178" s="85" t="s">
        <v>2788</v>
      </c>
      <c r="F178" s="74" t="s">
        <v>13</v>
      </c>
      <c r="G178" s="14"/>
      <c r="H178" s="14" t="s">
        <v>17</v>
      </c>
      <c r="I178" s="144"/>
      <c r="J178" s="14" t="s">
        <v>637</v>
      </c>
      <c r="K178" s="14" t="s">
        <v>1154</v>
      </c>
      <c r="L178" s="14" t="s">
        <v>2</v>
      </c>
      <c r="M178" s="38">
        <v>8120013079</v>
      </c>
      <c r="N178" s="38">
        <v>863844050547113</v>
      </c>
      <c r="O178" s="38"/>
      <c r="P178" s="14" t="s">
        <v>636</v>
      </c>
      <c r="Q178" s="14" t="s">
        <v>8</v>
      </c>
      <c r="R178" s="40">
        <v>1999.84</v>
      </c>
      <c r="S178" s="41" t="s">
        <v>1931</v>
      </c>
      <c r="T178" s="42">
        <v>44530</v>
      </c>
      <c r="U178" s="43">
        <v>44530</v>
      </c>
      <c r="V178" s="15"/>
      <c r="W178" s="15"/>
    </row>
    <row r="179" spans="1:23" s="34" customFormat="1" ht="29" x14ac:dyDescent="0.35">
      <c r="A179" s="15"/>
      <c r="B179" s="35">
        <v>44519</v>
      </c>
      <c r="C179" s="14">
        <v>174</v>
      </c>
      <c r="D179" s="39" t="s">
        <v>2624</v>
      </c>
      <c r="E179" s="14" t="s">
        <v>624</v>
      </c>
      <c r="F179" s="74" t="s">
        <v>7</v>
      </c>
      <c r="G179" s="14" t="s">
        <v>5</v>
      </c>
      <c r="H179" s="47" t="s">
        <v>1930</v>
      </c>
      <c r="I179" s="144" t="s">
        <v>39</v>
      </c>
      <c r="J179" s="14" t="s">
        <v>635</v>
      </c>
      <c r="K179" s="14" t="s">
        <v>1040</v>
      </c>
      <c r="L179" s="14" t="s">
        <v>39</v>
      </c>
      <c r="M179" s="38">
        <v>345901012163836</v>
      </c>
      <c r="N179" s="38">
        <v>864403043556076</v>
      </c>
      <c r="O179" s="38" t="s">
        <v>3575</v>
      </c>
      <c r="P179" s="14" t="s">
        <v>3574</v>
      </c>
      <c r="Q179" s="39" t="s">
        <v>2559</v>
      </c>
      <c r="R179" s="40">
        <v>0</v>
      </c>
      <c r="S179" s="41" t="s">
        <v>624</v>
      </c>
      <c r="T179" s="42">
        <v>44530</v>
      </c>
      <c r="U179" s="43">
        <v>44530</v>
      </c>
      <c r="V179" s="15"/>
      <c r="W179" s="15"/>
    </row>
    <row r="180" spans="1:23" s="34" customFormat="1" ht="29" x14ac:dyDescent="0.35">
      <c r="A180" s="15"/>
      <c r="B180" s="35">
        <v>44519</v>
      </c>
      <c r="C180" s="14">
        <v>175</v>
      </c>
      <c r="D180" s="39" t="s">
        <v>2662</v>
      </c>
      <c r="E180" s="14" t="s">
        <v>624</v>
      </c>
      <c r="F180" s="74" t="s">
        <v>7</v>
      </c>
      <c r="G180" s="14" t="s">
        <v>5</v>
      </c>
      <c r="H180" s="47" t="s">
        <v>1930</v>
      </c>
      <c r="I180" s="144"/>
      <c r="J180" s="14" t="s">
        <v>634</v>
      </c>
      <c r="K180" s="14" t="s">
        <v>1155</v>
      </c>
      <c r="L180" s="14" t="s">
        <v>39</v>
      </c>
      <c r="M180" s="38">
        <v>345901012471608</v>
      </c>
      <c r="N180" s="38">
        <v>865011032232416</v>
      </c>
      <c r="O180" s="38"/>
      <c r="P180" s="14" t="s">
        <v>633</v>
      </c>
      <c r="Q180" s="39" t="s">
        <v>2559</v>
      </c>
      <c r="R180" s="40">
        <v>0</v>
      </c>
      <c r="S180" s="41" t="s">
        <v>624</v>
      </c>
      <c r="T180" s="42">
        <v>44530</v>
      </c>
      <c r="U180" s="43">
        <v>44530</v>
      </c>
      <c r="V180" s="15"/>
      <c r="W180" s="15"/>
    </row>
    <row r="181" spans="1:23" s="34" customFormat="1" ht="29" x14ac:dyDescent="0.35">
      <c r="A181" s="15"/>
      <c r="B181" s="35">
        <v>44519</v>
      </c>
      <c r="C181" s="14">
        <v>176</v>
      </c>
      <c r="D181" s="74" t="s">
        <v>2700</v>
      </c>
      <c r="E181" s="14" t="s">
        <v>624</v>
      </c>
      <c r="F181" s="74" t="s">
        <v>7</v>
      </c>
      <c r="G181" s="14" t="s">
        <v>5</v>
      </c>
      <c r="H181" s="47" t="s">
        <v>1930</v>
      </c>
      <c r="I181" s="144"/>
      <c r="J181" s="14" t="s">
        <v>632</v>
      </c>
      <c r="K181" s="14" t="s">
        <v>1088</v>
      </c>
      <c r="L181" s="14" t="s">
        <v>39</v>
      </c>
      <c r="M181" s="38" t="s">
        <v>631</v>
      </c>
      <c r="N181" s="38">
        <v>865011031930929</v>
      </c>
      <c r="O181" s="38"/>
      <c r="P181" s="14" t="s">
        <v>630</v>
      </c>
      <c r="Q181" s="39" t="s">
        <v>2559</v>
      </c>
      <c r="R181" s="40">
        <v>0</v>
      </c>
      <c r="S181" s="41" t="s">
        <v>624</v>
      </c>
      <c r="T181" s="42">
        <v>44530</v>
      </c>
      <c r="U181" s="43">
        <v>44530</v>
      </c>
      <c r="V181" s="15"/>
      <c r="W181" s="15"/>
    </row>
    <row r="182" spans="1:23" s="34" customFormat="1" ht="29" x14ac:dyDescent="0.35">
      <c r="A182" s="15"/>
      <c r="B182" s="35">
        <v>44519</v>
      </c>
      <c r="C182" s="14">
        <v>177</v>
      </c>
      <c r="D182" s="74" t="s">
        <v>2757</v>
      </c>
      <c r="E182" s="14" t="s">
        <v>624</v>
      </c>
      <c r="F182" s="74" t="s">
        <v>7</v>
      </c>
      <c r="G182" s="14" t="s">
        <v>5</v>
      </c>
      <c r="H182" s="47" t="s">
        <v>544</v>
      </c>
      <c r="I182" s="144"/>
      <c r="J182" s="14" t="s">
        <v>629</v>
      </c>
      <c r="K182" s="14" t="s">
        <v>1123</v>
      </c>
      <c r="L182" s="14" t="s">
        <v>39</v>
      </c>
      <c r="M182" s="38">
        <v>8261715044</v>
      </c>
      <c r="N182" s="38">
        <v>359857084511807</v>
      </c>
      <c r="O182" s="38"/>
      <c r="P182" s="14" t="s">
        <v>628</v>
      </c>
      <c r="Q182" s="39" t="s">
        <v>2559</v>
      </c>
      <c r="R182" s="40">
        <v>0</v>
      </c>
      <c r="S182" s="41" t="s">
        <v>624</v>
      </c>
      <c r="T182" s="42">
        <v>44530</v>
      </c>
      <c r="U182" s="43">
        <v>44530</v>
      </c>
      <c r="V182" s="15"/>
      <c r="W182" s="15"/>
    </row>
    <row r="183" spans="1:23" s="34" customFormat="1" ht="29" x14ac:dyDescent="0.35">
      <c r="A183" s="15"/>
      <c r="B183" s="35">
        <v>44519</v>
      </c>
      <c r="C183" s="14">
        <v>178</v>
      </c>
      <c r="D183" s="74" t="s">
        <v>2789</v>
      </c>
      <c r="E183" s="14" t="s">
        <v>2790</v>
      </c>
      <c r="F183" s="74" t="s">
        <v>13</v>
      </c>
      <c r="G183" s="17" t="s">
        <v>1805</v>
      </c>
      <c r="H183" s="14" t="s">
        <v>11</v>
      </c>
      <c r="I183" s="144"/>
      <c r="J183" s="14" t="s">
        <v>626</v>
      </c>
      <c r="K183" s="17" t="s">
        <v>1545</v>
      </c>
      <c r="L183" s="14" t="s">
        <v>2</v>
      </c>
      <c r="M183" s="38">
        <v>8120010096</v>
      </c>
      <c r="N183" s="38">
        <v>865011033830226</v>
      </c>
      <c r="O183" s="38"/>
      <c r="P183" s="14" t="s">
        <v>625</v>
      </c>
      <c r="Q183" s="39" t="s">
        <v>2559</v>
      </c>
      <c r="R183" s="40">
        <v>1999.84</v>
      </c>
      <c r="S183" s="41" t="s">
        <v>1539</v>
      </c>
      <c r="T183" s="42">
        <v>44530</v>
      </c>
      <c r="U183" s="43">
        <v>44530</v>
      </c>
      <c r="V183" s="15"/>
      <c r="W183" s="15"/>
    </row>
    <row r="184" spans="1:23" s="34" customFormat="1" ht="29" x14ac:dyDescent="0.35">
      <c r="A184" s="15"/>
      <c r="B184" s="35">
        <v>44519</v>
      </c>
      <c r="C184" s="14">
        <v>173</v>
      </c>
      <c r="D184" s="39" t="s">
        <v>2625</v>
      </c>
      <c r="E184" s="14" t="s">
        <v>624</v>
      </c>
      <c r="F184" s="74" t="s">
        <v>7</v>
      </c>
      <c r="G184" s="14" t="s">
        <v>5</v>
      </c>
      <c r="H184" s="47" t="s">
        <v>1930</v>
      </c>
      <c r="I184" s="144"/>
      <c r="J184" s="14" t="s">
        <v>623</v>
      </c>
      <c r="K184" s="14" t="s">
        <v>1011</v>
      </c>
      <c r="L184" s="14" t="s">
        <v>622</v>
      </c>
      <c r="M184" s="38">
        <v>8181619733</v>
      </c>
      <c r="N184" s="38">
        <v>864895032919639</v>
      </c>
      <c r="O184" s="38"/>
      <c r="P184" s="14" t="s">
        <v>621</v>
      </c>
      <c r="Q184" s="39" t="s">
        <v>2559</v>
      </c>
      <c r="R184" s="40">
        <v>0</v>
      </c>
      <c r="S184" s="41" t="s">
        <v>624</v>
      </c>
      <c r="T184" s="42">
        <v>44530</v>
      </c>
      <c r="U184" s="43">
        <v>44530</v>
      </c>
      <c r="V184" s="15"/>
      <c r="W184" s="15"/>
    </row>
    <row r="185" spans="1:23" s="34" customFormat="1" ht="29" x14ac:dyDescent="0.35">
      <c r="A185" s="15"/>
      <c r="B185" s="35">
        <v>44523</v>
      </c>
      <c r="C185" s="14">
        <v>179</v>
      </c>
      <c r="D185" s="36" t="s">
        <v>1944</v>
      </c>
      <c r="E185" s="14" t="s">
        <v>1156</v>
      </c>
      <c r="F185" s="74" t="s">
        <v>36</v>
      </c>
      <c r="G185" s="14" t="s">
        <v>5</v>
      </c>
      <c r="H185" s="14" t="s">
        <v>17</v>
      </c>
      <c r="I185" s="145" t="s">
        <v>39</v>
      </c>
      <c r="J185" s="17" t="s">
        <v>3520</v>
      </c>
      <c r="K185" s="14" t="s">
        <v>1091</v>
      </c>
      <c r="L185" s="14" t="s">
        <v>2</v>
      </c>
      <c r="M185" s="38">
        <v>8120010508</v>
      </c>
      <c r="N185" s="38">
        <v>865011031937544</v>
      </c>
      <c r="O185" s="38" t="s">
        <v>620</v>
      </c>
      <c r="P185" s="14" t="s">
        <v>3522</v>
      </c>
      <c r="Q185" s="74" t="s">
        <v>2843</v>
      </c>
      <c r="R185" s="40">
        <v>522</v>
      </c>
      <c r="S185" s="41" t="s">
        <v>2792</v>
      </c>
      <c r="T185" s="17" t="s">
        <v>2793</v>
      </c>
      <c r="U185" s="43">
        <v>44530</v>
      </c>
      <c r="V185" s="15"/>
      <c r="W185" s="15"/>
    </row>
    <row r="186" spans="1:23" s="34" customFormat="1" ht="29" x14ac:dyDescent="0.35">
      <c r="A186" s="15"/>
      <c r="B186" s="35">
        <v>44524</v>
      </c>
      <c r="C186" s="14">
        <v>180</v>
      </c>
      <c r="D186" s="74">
        <v>244</v>
      </c>
      <c r="E186" s="14" t="s">
        <v>619</v>
      </c>
      <c r="F186" s="74" t="s">
        <v>13</v>
      </c>
      <c r="G186" s="14" t="s">
        <v>21</v>
      </c>
      <c r="H186" s="14" t="s">
        <v>1786</v>
      </c>
      <c r="I186" s="144"/>
      <c r="J186" s="14" t="s">
        <v>618</v>
      </c>
      <c r="K186" s="14" t="s">
        <v>1157</v>
      </c>
      <c r="L186" s="14" t="s">
        <v>2</v>
      </c>
      <c r="M186" s="38">
        <v>8120010345</v>
      </c>
      <c r="N186" s="38">
        <v>865011033832123</v>
      </c>
      <c r="O186" s="38"/>
      <c r="P186" s="14" t="s">
        <v>617</v>
      </c>
      <c r="Q186" s="14" t="s">
        <v>8</v>
      </c>
      <c r="R186" s="40">
        <v>1999.84</v>
      </c>
      <c r="S186" s="113">
        <v>174</v>
      </c>
      <c r="T186" s="42">
        <v>44530</v>
      </c>
      <c r="U186" s="43">
        <v>44530</v>
      </c>
      <c r="V186" s="44">
        <v>44541.778912037036</v>
      </c>
      <c r="W186" s="15"/>
    </row>
    <row r="187" spans="1:23" s="34" customFormat="1" ht="29" x14ac:dyDescent="0.35">
      <c r="A187" s="15"/>
      <c r="B187" s="35">
        <v>44525</v>
      </c>
      <c r="C187" s="14">
        <v>182</v>
      </c>
      <c r="D187" s="74" t="s">
        <v>2786</v>
      </c>
      <c r="E187" s="14" t="s">
        <v>616</v>
      </c>
      <c r="F187" s="74" t="s">
        <v>6</v>
      </c>
      <c r="G187" s="14" t="s">
        <v>5</v>
      </c>
      <c r="H187" s="14" t="s">
        <v>17</v>
      </c>
      <c r="I187" s="144"/>
      <c r="J187" s="14" t="s">
        <v>615</v>
      </c>
      <c r="K187" s="14" t="s">
        <v>1151</v>
      </c>
      <c r="L187" s="14" t="s">
        <v>2</v>
      </c>
      <c r="M187" s="38">
        <v>8126201750</v>
      </c>
      <c r="N187" s="38">
        <v>863844053083637</v>
      </c>
      <c r="O187" s="38"/>
      <c r="P187" s="14" t="s">
        <v>614</v>
      </c>
      <c r="Q187" s="14" t="s">
        <v>516</v>
      </c>
      <c r="R187" s="40">
        <v>754</v>
      </c>
      <c r="S187" s="41" t="s">
        <v>616</v>
      </c>
      <c r="T187" s="42">
        <v>44530</v>
      </c>
      <c r="U187" s="43">
        <v>44530</v>
      </c>
      <c r="V187" s="15" t="s">
        <v>613</v>
      </c>
      <c r="W187" s="15"/>
    </row>
    <row r="188" spans="1:23" s="34" customFormat="1" ht="29" x14ac:dyDescent="0.35">
      <c r="A188" s="15"/>
      <c r="B188" s="35">
        <v>44525</v>
      </c>
      <c r="C188" s="14">
        <v>181</v>
      </c>
      <c r="D188" s="74" t="s">
        <v>2794</v>
      </c>
      <c r="E188" s="14" t="s">
        <v>2795</v>
      </c>
      <c r="F188" s="74" t="s">
        <v>13</v>
      </c>
      <c r="G188" s="14"/>
      <c r="H188" s="14" t="s">
        <v>1767</v>
      </c>
      <c r="I188" s="144"/>
      <c r="J188" s="14" t="s">
        <v>611</v>
      </c>
      <c r="K188" s="17" t="s">
        <v>1547</v>
      </c>
      <c r="L188" s="14" t="s">
        <v>2</v>
      </c>
      <c r="M188" s="38">
        <v>8119174128</v>
      </c>
      <c r="N188" s="38">
        <v>865011031968119</v>
      </c>
      <c r="O188" s="38"/>
      <c r="P188" s="14" t="s">
        <v>610</v>
      </c>
      <c r="Q188" s="39" t="s">
        <v>2559</v>
      </c>
      <c r="R188" s="40">
        <v>1999.84</v>
      </c>
      <c r="S188" s="41" t="s">
        <v>1539</v>
      </c>
      <c r="T188" s="42">
        <v>44530</v>
      </c>
      <c r="U188" s="43">
        <v>44530</v>
      </c>
      <c r="V188" s="46" t="s">
        <v>710</v>
      </c>
      <c r="W188" s="15"/>
    </row>
    <row r="189" spans="1:23" s="34" customFormat="1" ht="29" x14ac:dyDescent="0.35">
      <c r="A189" s="15"/>
      <c r="B189" s="35">
        <v>44530</v>
      </c>
      <c r="C189" s="14">
        <v>183</v>
      </c>
      <c r="D189" s="74" t="s">
        <v>2780</v>
      </c>
      <c r="E189" s="14" t="s">
        <v>609</v>
      </c>
      <c r="F189" s="74" t="s">
        <v>6</v>
      </c>
      <c r="G189" s="14" t="s">
        <v>5</v>
      </c>
      <c r="H189" s="14" t="s">
        <v>1793</v>
      </c>
      <c r="I189" s="145" t="s">
        <v>39</v>
      </c>
      <c r="J189" s="14" t="s">
        <v>4190</v>
      </c>
      <c r="K189" s="14" t="s">
        <v>1149</v>
      </c>
      <c r="L189" s="14" t="s">
        <v>2</v>
      </c>
      <c r="M189" s="38">
        <v>8120013075</v>
      </c>
      <c r="N189" s="38">
        <v>863844053084544</v>
      </c>
      <c r="O189" s="17" t="s">
        <v>39</v>
      </c>
      <c r="P189" s="14" t="s">
        <v>608</v>
      </c>
      <c r="Q189" s="14" t="s">
        <v>2782</v>
      </c>
      <c r="R189" s="40">
        <v>754</v>
      </c>
      <c r="S189" s="41" t="s">
        <v>2784</v>
      </c>
      <c r="T189" s="42" t="s">
        <v>2785</v>
      </c>
      <c r="U189" s="43"/>
      <c r="V189" s="15"/>
      <c r="W189" s="15"/>
    </row>
    <row r="190" spans="1:23" s="34" customFormat="1" ht="29" x14ac:dyDescent="0.35">
      <c r="A190" s="15"/>
      <c r="B190" s="35">
        <v>44530</v>
      </c>
      <c r="C190" s="14">
        <v>184</v>
      </c>
      <c r="D190" s="85" t="s">
        <v>3740</v>
      </c>
      <c r="E190" s="14" t="s">
        <v>606</v>
      </c>
      <c r="F190" s="74" t="s">
        <v>138</v>
      </c>
      <c r="G190" s="17" t="s">
        <v>39</v>
      </c>
      <c r="H190" s="14" t="s">
        <v>1793</v>
      </c>
      <c r="I190" s="145" t="s">
        <v>39</v>
      </c>
      <c r="J190" s="17" t="s">
        <v>3741</v>
      </c>
      <c r="K190" s="14" t="s">
        <v>1158</v>
      </c>
      <c r="L190" s="14" t="s">
        <v>2</v>
      </c>
      <c r="M190" s="38">
        <v>8120013075</v>
      </c>
      <c r="N190" s="38">
        <v>863844053084544</v>
      </c>
      <c r="O190" s="16" t="s">
        <v>607</v>
      </c>
      <c r="P190" s="17" t="s">
        <v>39</v>
      </c>
      <c r="Q190" s="17" t="s">
        <v>4174</v>
      </c>
      <c r="R190" s="40">
        <v>696</v>
      </c>
      <c r="S190" s="14" t="s">
        <v>2783</v>
      </c>
      <c r="T190" s="19" t="s">
        <v>3584</v>
      </c>
      <c r="U190" s="43"/>
      <c r="V190" s="15"/>
      <c r="W190" s="15"/>
    </row>
    <row r="191" spans="1:23" s="34" customFormat="1" ht="29" x14ac:dyDescent="0.35">
      <c r="A191" s="15"/>
      <c r="B191" s="35">
        <v>44530</v>
      </c>
      <c r="C191" s="14">
        <v>185</v>
      </c>
      <c r="D191" s="74" t="s">
        <v>2810</v>
      </c>
      <c r="E191" s="14" t="s">
        <v>606</v>
      </c>
      <c r="F191" s="74" t="s">
        <v>138</v>
      </c>
      <c r="G191" s="17" t="s">
        <v>1805</v>
      </c>
      <c r="H191" s="14" t="s">
        <v>11</v>
      </c>
      <c r="I191" s="144"/>
      <c r="J191" s="14" t="s">
        <v>605</v>
      </c>
      <c r="K191" s="14" t="s">
        <v>1159</v>
      </c>
      <c r="L191" s="14" t="s">
        <v>2</v>
      </c>
      <c r="M191" s="38">
        <v>8126201719</v>
      </c>
      <c r="N191" s="38">
        <v>865011032921729</v>
      </c>
      <c r="O191" s="38"/>
      <c r="P191" s="14" t="s">
        <v>604</v>
      </c>
      <c r="Q191" s="14" t="s">
        <v>8</v>
      </c>
      <c r="R191" s="40">
        <v>696</v>
      </c>
      <c r="S191" s="41" t="s">
        <v>1607</v>
      </c>
      <c r="T191" s="42">
        <v>44530</v>
      </c>
      <c r="U191" s="43">
        <v>44530</v>
      </c>
      <c r="V191" s="15" t="s">
        <v>1608</v>
      </c>
      <c r="W191" s="15"/>
    </row>
    <row r="192" spans="1:23" s="34" customFormat="1" ht="29" x14ac:dyDescent="0.35">
      <c r="A192" s="15"/>
      <c r="B192" s="35">
        <v>44532</v>
      </c>
      <c r="C192" s="14">
        <v>85</v>
      </c>
      <c r="D192" s="74" t="s">
        <v>2693</v>
      </c>
      <c r="E192" s="14" t="s">
        <v>603</v>
      </c>
      <c r="F192" s="74" t="s">
        <v>6</v>
      </c>
      <c r="G192" s="14" t="s">
        <v>5</v>
      </c>
      <c r="H192" s="14"/>
      <c r="I192" s="144"/>
      <c r="J192" s="14" t="s">
        <v>602</v>
      </c>
      <c r="K192" s="14" t="s">
        <v>1083</v>
      </c>
      <c r="L192" s="14" t="s">
        <v>2</v>
      </c>
      <c r="M192" s="38">
        <v>8122011380</v>
      </c>
      <c r="N192" s="38">
        <v>865011033049058</v>
      </c>
      <c r="O192" s="38"/>
      <c r="P192" s="14" t="s">
        <v>601</v>
      </c>
      <c r="Q192" s="14" t="s">
        <v>516</v>
      </c>
      <c r="R192" s="40">
        <v>754</v>
      </c>
      <c r="S192" s="41" t="s">
        <v>2695</v>
      </c>
      <c r="T192" s="42">
        <v>44545</v>
      </c>
      <c r="U192" s="43">
        <v>44545</v>
      </c>
      <c r="V192" s="15"/>
      <c r="W192" s="15"/>
    </row>
    <row r="193" spans="1:23" s="34" customFormat="1" ht="29" x14ac:dyDescent="0.35">
      <c r="A193" s="15"/>
      <c r="B193" s="35">
        <v>44533</v>
      </c>
      <c r="C193" s="14">
        <v>34</v>
      </c>
      <c r="D193" s="39" t="s">
        <v>2631</v>
      </c>
      <c r="E193" s="14" t="s">
        <v>596</v>
      </c>
      <c r="F193" s="74" t="s">
        <v>6</v>
      </c>
      <c r="G193" s="14" t="s">
        <v>5</v>
      </c>
      <c r="H193" s="14" t="s">
        <v>11</v>
      </c>
      <c r="I193" s="144"/>
      <c r="J193" s="14" t="s">
        <v>600</v>
      </c>
      <c r="K193" s="14" t="s">
        <v>1043</v>
      </c>
      <c r="L193" s="14" t="s">
        <v>2</v>
      </c>
      <c r="M193" s="38">
        <v>345901012158833</v>
      </c>
      <c r="N193" s="38">
        <v>864352043846526</v>
      </c>
      <c r="O193" s="38"/>
      <c r="P193" s="14" t="s">
        <v>599</v>
      </c>
      <c r="Q193" s="14" t="s">
        <v>516</v>
      </c>
      <c r="R193" s="40">
        <v>754</v>
      </c>
      <c r="S193" s="41" t="s">
        <v>596</v>
      </c>
      <c r="T193" s="42">
        <v>44545</v>
      </c>
      <c r="U193" s="43">
        <v>44545</v>
      </c>
      <c r="V193" s="15"/>
      <c r="W193" s="15"/>
    </row>
    <row r="194" spans="1:23" s="34" customFormat="1" ht="29" x14ac:dyDescent="0.35">
      <c r="A194" s="15"/>
      <c r="B194" s="35">
        <v>44533</v>
      </c>
      <c r="C194" s="14">
        <v>52</v>
      </c>
      <c r="D194" s="39" t="s">
        <v>2656</v>
      </c>
      <c r="E194" s="14" t="s">
        <v>596</v>
      </c>
      <c r="F194" s="74" t="s">
        <v>6</v>
      </c>
      <c r="G194" s="14" t="s">
        <v>5</v>
      </c>
      <c r="H194" s="14"/>
      <c r="I194" s="144"/>
      <c r="J194" s="14" t="s">
        <v>598</v>
      </c>
      <c r="K194" s="14" t="s">
        <v>1058</v>
      </c>
      <c r="L194" s="14" t="s">
        <v>2</v>
      </c>
      <c r="M194" s="38">
        <v>345901012478194</v>
      </c>
      <c r="N194" s="38">
        <v>869530048398602</v>
      </c>
      <c r="O194" s="38"/>
      <c r="P194" s="14" t="s">
        <v>597</v>
      </c>
      <c r="Q194" s="14" t="s">
        <v>516</v>
      </c>
      <c r="R194" s="40">
        <v>754</v>
      </c>
      <c r="S194" s="41" t="s">
        <v>596</v>
      </c>
      <c r="T194" s="42">
        <v>44545</v>
      </c>
      <c r="U194" s="43">
        <v>44545</v>
      </c>
      <c r="V194" s="15"/>
      <c r="W194" s="15"/>
    </row>
    <row r="195" spans="1:23" s="34" customFormat="1" ht="29" x14ac:dyDescent="0.35">
      <c r="A195" s="15"/>
      <c r="B195" s="35">
        <v>44533</v>
      </c>
      <c r="C195" s="14">
        <v>98</v>
      </c>
      <c r="D195" s="74" t="s">
        <v>2704</v>
      </c>
      <c r="E195" s="14" t="s">
        <v>596</v>
      </c>
      <c r="F195" s="74" t="s">
        <v>6</v>
      </c>
      <c r="G195" s="14" t="s">
        <v>5</v>
      </c>
      <c r="H195" s="14"/>
      <c r="I195" s="144"/>
      <c r="J195" s="14" t="s">
        <v>2815</v>
      </c>
      <c r="K195" s="14" t="s">
        <v>1094</v>
      </c>
      <c r="L195" s="14" t="s">
        <v>2</v>
      </c>
      <c r="M195" s="38" t="s">
        <v>595</v>
      </c>
      <c r="N195" s="38">
        <v>865011031932297</v>
      </c>
      <c r="O195" s="38"/>
      <c r="P195" s="14" t="s">
        <v>594</v>
      </c>
      <c r="Q195" s="14" t="s">
        <v>2706</v>
      </c>
      <c r="R195" s="40">
        <v>754</v>
      </c>
      <c r="S195" s="41" t="s">
        <v>596</v>
      </c>
      <c r="T195" s="14" t="s">
        <v>2811</v>
      </c>
      <c r="U195" s="45">
        <v>251</v>
      </c>
      <c r="V195" s="15"/>
      <c r="W195" s="15"/>
    </row>
    <row r="196" spans="1:23" s="34" customFormat="1" ht="29" x14ac:dyDescent="0.35">
      <c r="A196" s="15"/>
      <c r="B196" s="35">
        <v>44536</v>
      </c>
      <c r="C196" s="14">
        <v>186</v>
      </c>
      <c r="D196" s="85" t="s">
        <v>3742</v>
      </c>
      <c r="E196" s="14" t="s">
        <v>593</v>
      </c>
      <c r="F196" s="74" t="s">
        <v>138</v>
      </c>
      <c r="G196" s="17" t="s">
        <v>39</v>
      </c>
      <c r="H196" s="14" t="s">
        <v>17</v>
      </c>
      <c r="I196" s="145" t="s">
        <v>39</v>
      </c>
      <c r="J196" s="17" t="s">
        <v>3744</v>
      </c>
      <c r="K196" s="14" t="s">
        <v>1160</v>
      </c>
      <c r="L196" s="14" t="s">
        <v>2</v>
      </c>
      <c r="M196" s="38">
        <v>8128616948</v>
      </c>
      <c r="N196" s="38">
        <v>865011033829517</v>
      </c>
      <c r="O196" s="16" t="s">
        <v>3743</v>
      </c>
      <c r="P196" s="17" t="s">
        <v>39</v>
      </c>
      <c r="Q196" s="17" t="s">
        <v>4174</v>
      </c>
      <c r="R196" s="40">
        <v>696</v>
      </c>
      <c r="S196" s="19" t="s">
        <v>3584</v>
      </c>
      <c r="T196" s="42">
        <v>44530</v>
      </c>
      <c r="U196" s="43">
        <v>44530</v>
      </c>
      <c r="V196" s="15"/>
      <c r="W196" s="15"/>
    </row>
    <row r="197" spans="1:23" s="34" customFormat="1" ht="29" x14ac:dyDescent="0.35">
      <c r="A197" s="15"/>
      <c r="B197" s="35">
        <v>44537</v>
      </c>
      <c r="C197" s="14">
        <v>187</v>
      </c>
      <c r="D197" s="74" t="s">
        <v>2812</v>
      </c>
      <c r="E197" s="14" t="s">
        <v>2813</v>
      </c>
      <c r="F197" s="74" t="s">
        <v>138</v>
      </c>
      <c r="G197" s="14"/>
      <c r="H197" s="14" t="s">
        <v>473</v>
      </c>
      <c r="I197" s="145"/>
      <c r="J197" s="17" t="s">
        <v>1548</v>
      </c>
      <c r="K197" s="17" t="s">
        <v>1549</v>
      </c>
      <c r="L197" s="14" t="s">
        <v>2</v>
      </c>
      <c r="M197" s="38">
        <v>8135514811</v>
      </c>
      <c r="N197" s="38">
        <v>865011033829152</v>
      </c>
      <c r="O197" s="38"/>
      <c r="P197" s="14" t="s">
        <v>592</v>
      </c>
      <c r="Q197" s="39" t="s">
        <v>2559</v>
      </c>
      <c r="R197" s="40">
        <v>696</v>
      </c>
      <c r="S197" s="41" t="s">
        <v>1539</v>
      </c>
      <c r="T197" s="42">
        <v>44530</v>
      </c>
      <c r="U197" s="43">
        <v>44530</v>
      </c>
      <c r="V197" s="15"/>
      <c r="W197" s="15"/>
    </row>
    <row r="198" spans="1:23" s="34" customFormat="1" ht="29" x14ac:dyDescent="0.35">
      <c r="A198" s="15"/>
      <c r="B198" s="35">
        <v>44539</v>
      </c>
      <c r="C198" s="14">
        <v>188</v>
      </c>
      <c r="D198" s="36" t="s">
        <v>2226</v>
      </c>
      <c r="E198" s="14" t="s">
        <v>591</v>
      </c>
      <c r="F198" s="74" t="s">
        <v>138</v>
      </c>
      <c r="G198" s="14" t="s">
        <v>21</v>
      </c>
      <c r="H198" s="14" t="s">
        <v>1793</v>
      </c>
      <c r="I198" s="144"/>
      <c r="J198" s="14" t="s">
        <v>590</v>
      </c>
      <c r="K198" s="14" t="s">
        <v>1161</v>
      </c>
      <c r="L198" s="14" t="s">
        <v>2</v>
      </c>
      <c r="M198" s="38">
        <v>8135514815</v>
      </c>
      <c r="N198" s="38">
        <v>865011033832099</v>
      </c>
      <c r="O198" s="38"/>
      <c r="P198" s="14" t="s">
        <v>589</v>
      </c>
      <c r="Q198" s="14" t="s">
        <v>8</v>
      </c>
      <c r="R198" s="40">
        <v>696</v>
      </c>
      <c r="S198" s="41" t="s">
        <v>2200</v>
      </c>
      <c r="T198" s="42">
        <v>44530</v>
      </c>
      <c r="U198" s="43">
        <v>44530</v>
      </c>
      <c r="V198" s="15"/>
      <c r="W198" s="15"/>
    </row>
    <row r="199" spans="1:23" s="34" customFormat="1" ht="29" x14ac:dyDescent="0.35">
      <c r="A199" s="15"/>
      <c r="B199" s="35">
        <v>44540</v>
      </c>
      <c r="C199" s="14">
        <v>189</v>
      </c>
      <c r="D199" s="74">
        <v>251</v>
      </c>
      <c r="E199" s="14" t="s">
        <v>588</v>
      </c>
      <c r="F199" s="74" t="s">
        <v>138</v>
      </c>
      <c r="G199" s="14" t="s">
        <v>21</v>
      </c>
      <c r="H199" s="14" t="s">
        <v>11</v>
      </c>
      <c r="I199" s="144"/>
      <c r="J199" s="14" t="s">
        <v>2814</v>
      </c>
      <c r="K199" s="14" t="s">
        <v>1162</v>
      </c>
      <c r="L199" s="14" t="s">
        <v>2</v>
      </c>
      <c r="M199" s="38">
        <v>8135514809</v>
      </c>
      <c r="N199" s="38">
        <v>865011031932297</v>
      </c>
      <c r="O199" s="38"/>
      <c r="P199" s="14" t="s">
        <v>587</v>
      </c>
      <c r="Q199" s="14" t="s">
        <v>2707</v>
      </c>
      <c r="R199" s="40">
        <v>696</v>
      </c>
      <c r="S199" s="114">
        <v>174</v>
      </c>
      <c r="T199" s="42">
        <v>44530</v>
      </c>
      <c r="U199" s="43"/>
      <c r="V199" s="15"/>
      <c r="W199" s="15"/>
    </row>
    <row r="200" spans="1:23" s="34" customFormat="1" ht="29" x14ac:dyDescent="0.35">
      <c r="A200" s="15"/>
      <c r="B200" s="35">
        <v>44540</v>
      </c>
      <c r="C200" s="14">
        <v>190</v>
      </c>
      <c r="D200" s="85" t="s">
        <v>3745</v>
      </c>
      <c r="E200" s="14" t="s">
        <v>586</v>
      </c>
      <c r="F200" s="74" t="s">
        <v>13</v>
      </c>
      <c r="G200" s="17" t="s">
        <v>1805</v>
      </c>
      <c r="H200" s="14" t="s">
        <v>473</v>
      </c>
      <c r="I200" s="145" t="s">
        <v>39</v>
      </c>
      <c r="J200" s="17" t="s">
        <v>4191</v>
      </c>
      <c r="K200" s="14" t="s">
        <v>1163</v>
      </c>
      <c r="L200" s="14" t="s">
        <v>2</v>
      </c>
      <c r="M200" s="38">
        <v>8135514808</v>
      </c>
      <c r="N200" s="38">
        <v>865011033829954</v>
      </c>
      <c r="O200" s="16" t="s">
        <v>4193</v>
      </c>
      <c r="P200" s="17" t="s">
        <v>4192</v>
      </c>
      <c r="Q200" s="17" t="s">
        <v>4174</v>
      </c>
      <c r="R200" s="40">
        <v>1999.84</v>
      </c>
      <c r="S200" s="19" t="s">
        <v>3584</v>
      </c>
      <c r="T200" s="42">
        <v>44530</v>
      </c>
      <c r="U200" s="43">
        <v>44530</v>
      </c>
      <c r="V200" s="15"/>
      <c r="W200" s="15"/>
    </row>
    <row r="201" spans="1:23" s="34" customFormat="1" ht="29" x14ac:dyDescent="0.35">
      <c r="A201" s="15"/>
      <c r="B201" s="35">
        <v>44543</v>
      </c>
      <c r="C201" s="14">
        <v>191</v>
      </c>
      <c r="D201" s="85" t="s">
        <v>3747</v>
      </c>
      <c r="E201" s="14" t="s">
        <v>585</v>
      </c>
      <c r="F201" s="74" t="s">
        <v>13</v>
      </c>
      <c r="G201" s="14" t="s">
        <v>21</v>
      </c>
      <c r="H201" s="14" t="s">
        <v>11</v>
      </c>
      <c r="I201" s="144" t="s">
        <v>39</v>
      </c>
      <c r="J201" s="17" t="s">
        <v>4194</v>
      </c>
      <c r="K201" s="14" t="s">
        <v>1164</v>
      </c>
      <c r="L201" s="14" t="s">
        <v>2</v>
      </c>
      <c r="M201" s="38">
        <v>8123451858</v>
      </c>
      <c r="N201" s="38">
        <v>865011033829939</v>
      </c>
      <c r="O201" s="16" t="s">
        <v>39</v>
      </c>
      <c r="P201" s="17" t="s">
        <v>39</v>
      </c>
      <c r="Q201" s="17" t="s">
        <v>4174</v>
      </c>
      <c r="R201" s="40">
        <v>1999.84</v>
      </c>
      <c r="S201" s="19" t="s">
        <v>3584</v>
      </c>
      <c r="T201" s="42">
        <v>44530</v>
      </c>
      <c r="U201" s="43">
        <v>44530</v>
      </c>
      <c r="V201" s="15"/>
      <c r="W201" s="15"/>
    </row>
    <row r="202" spans="1:23" s="34" customFormat="1" ht="29" x14ac:dyDescent="0.35">
      <c r="A202" s="15"/>
      <c r="B202" s="35">
        <v>44546</v>
      </c>
      <c r="C202" s="14">
        <v>192</v>
      </c>
      <c r="D202" s="85" t="s">
        <v>3749</v>
      </c>
      <c r="E202" s="14" t="s">
        <v>584</v>
      </c>
      <c r="F202" s="74" t="s">
        <v>13</v>
      </c>
      <c r="G202" s="17" t="s">
        <v>39</v>
      </c>
      <c r="H202" s="14" t="s">
        <v>473</v>
      </c>
      <c r="I202" s="145" t="s">
        <v>39</v>
      </c>
      <c r="J202" s="17" t="s">
        <v>3750</v>
      </c>
      <c r="K202" s="14" t="s">
        <v>1168</v>
      </c>
      <c r="L202" s="14" t="s">
        <v>2</v>
      </c>
      <c r="M202" s="38">
        <v>8126201797</v>
      </c>
      <c r="N202" s="38">
        <v>863844053083934</v>
      </c>
      <c r="O202" s="16" t="s">
        <v>583</v>
      </c>
      <c r="P202" s="17" t="s">
        <v>39</v>
      </c>
      <c r="Q202" s="17" t="s">
        <v>4174</v>
      </c>
      <c r="R202" s="40">
        <v>1999.84</v>
      </c>
      <c r="S202" s="19" t="s">
        <v>3584</v>
      </c>
      <c r="T202" s="42">
        <v>44530</v>
      </c>
      <c r="U202" s="43">
        <v>44530</v>
      </c>
      <c r="V202" s="15"/>
      <c r="W202" s="15"/>
    </row>
    <row r="203" spans="1:23" s="34" customFormat="1" ht="29" x14ac:dyDescent="0.35">
      <c r="A203" s="15"/>
      <c r="B203" s="35">
        <v>44547</v>
      </c>
      <c r="C203" s="14">
        <v>193</v>
      </c>
      <c r="D203" s="36" t="s">
        <v>1965</v>
      </c>
      <c r="E203" s="85" t="s">
        <v>1929</v>
      </c>
      <c r="F203" s="74" t="s">
        <v>13</v>
      </c>
      <c r="G203" s="17" t="s">
        <v>1805</v>
      </c>
      <c r="H203" s="14" t="s">
        <v>473</v>
      </c>
      <c r="I203" s="144"/>
      <c r="J203" s="14" t="s">
        <v>337</v>
      </c>
      <c r="K203" s="14" t="s">
        <v>1165</v>
      </c>
      <c r="L203" s="14" t="s">
        <v>50</v>
      </c>
      <c r="M203" s="38">
        <v>8135516739</v>
      </c>
      <c r="N203" s="38">
        <v>86501103382881</v>
      </c>
      <c r="O203" s="38"/>
      <c r="P203" s="14" t="s">
        <v>582</v>
      </c>
      <c r="Q203" s="14" t="s">
        <v>8</v>
      </c>
      <c r="R203" s="40">
        <v>1999.84</v>
      </c>
      <c r="S203" s="41" t="s">
        <v>1931</v>
      </c>
      <c r="T203" s="42">
        <v>44559</v>
      </c>
      <c r="U203" s="43">
        <v>44559</v>
      </c>
      <c r="V203" s="44"/>
      <c r="W203" s="15"/>
    </row>
    <row r="204" spans="1:23" s="34" customFormat="1" ht="29" x14ac:dyDescent="0.35">
      <c r="A204" s="15"/>
      <c r="B204" s="35">
        <v>44547</v>
      </c>
      <c r="C204" s="14">
        <v>194</v>
      </c>
      <c r="D204" s="85" t="s">
        <v>3751</v>
      </c>
      <c r="E204" s="14" t="s">
        <v>581</v>
      </c>
      <c r="F204" s="74" t="s">
        <v>13</v>
      </c>
      <c r="G204" s="17" t="s">
        <v>1805</v>
      </c>
      <c r="H204" s="14" t="s">
        <v>473</v>
      </c>
      <c r="I204" s="145" t="s">
        <v>39</v>
      </c>
      <c r="J204" s="17" t="s">
        <v>3752</v>
      </c>
      <c r="K204" s="14" t="s">
        <v>1166</v>
      </c>
      <c r="L204" s="14" t="s">
        <v>50</v>
      </c>
      <c r="M204" s="38">
        <v>8135516740</v>
      </c>
      <c r="N204" s="38">
        <v>865011033832404</v>
      </c>
      <c r="O204" s="16" t="s">
        <v>39</v>
      </c>
      <c r="P204" s="17" t="s">
        <v>580</v>
      </c>
      <c r="Q204" s="17" t="s">
        <v>4174</v>
      </c>
      <c r="R204" s="40">
        <v>1999.84</v>
      </c>
      <c r="S204" s="19" t="s">
        <v>3584</v>
      </c>
      <c r="T204" s="42">
        <v>44530</v>
      </c>
      <c r="U204" s="43">
        <v>44530</v>
      </c>
      <c r="V204" s="15"/>
      <c r="W204" s="15"/>
    </row>
    <row r="205" spans="1:23" s="34" customFormat="1" ht="65" x14ac:dyDescent="0.35">
      <c r="A205" s="15"/>
      <c r="B205" s="35">
        <v>44550</v>
      </c>
      <c r="C205" s="14">
        <v>195</v>
      </c>
      <c r="D205" s="74">
        <v>257</v>
      </c>
      <c r="E205" s="14" t="s">
        <v>1167</v>
      </c>
      <c r="F205" s="74" t="s">
        <v>36</v>
      </c>
      <c r="G205" s="14" t="s">
        <v>5</v>
      </c>
      <c r="H205" s="14" t="s">
        <v>11</v>
      </c>
      <c r="I205" s="144"/>
      <c r="J205" s="14" t="s">
        <v>579</v>
      </c>
      <c r="K205" s="14" t="s">
        <v>1169</v>
      </c>
      <c r="L205" s="14" t="s">
        <v>50</v>
      </c>
      <c r="M205" s="38" t="s">
        <v>39</v>
      </c>
      <c r="N205" s="38" t="s">
        <v>39</v>
      </c>
      <c r="O205" s="38"/>
      <c r="P205" s="14" t="s">
        <v>578</v>
      </c>
      <c r="Q205" s="94" t="s">
        <v>1564</v>
      </c>
      <c r="R205" s="40">
        <v>522</v>
      </c>
      <c r="S205" s="41">
        <v>0</v>
      </c>
      <c r="T205" s="42">
        <v>44559</v>
      </c>
      <c r="U205" s="43">
        <v>44559</v>
      </c>
      <c r="V205" s="15"/>
      <c r="W205" s="15"/>
    </row>
    <row r="206" spans="1:23" s="34" customFormat="1" ht="29" x14ac:dyDescent="0.35">
      <c r="A206" s="15"/>
      <c r="B206" s="35">
        <v>44551</v>
      </c>
      <c r="C206" s="14">
        <v>196</v>
      </c>
      <c r="D206" s="74" t="s">
        <v>2816</v>
      </c>
      <c r="E206" s="14" t="s">
        <v>2817</v>
      </c>
      <c r="F206" s="74" t="s">
        <v>13</v>
      </c>
      <c r="G206" s="14"/>
      <c r="H206" s="14" t="s">
        <v>527</v>
      </c>
      <c r="I206" s="144"/>
      <c r="J206" s="14" t="s">
        <v>531</v>
      </c>
      <c r="K206" s="14" t="s">
        <v>1170</v>
      </c>
      <c r="L206" s="14" t="s">
        <v>2</v>
      </c>
      <c r="M206" s="38">
        <v>8119174203</v>
      </c>
      <c r="N206" s="38">
        <v>865011033829848</v>
      </c>
      <c r="O206" s="38"/>
      <c r="P206" s="14" t="s">
        <v>530</v>
      </c>
      <c r="Q206" s="14" t="s">
        <v>8</v>
      </c>
      <c r="R206" s="40">
        <v>1999.84</v>
      </c>
      <c r="S206" s="41" t="s">
        <v>2819</v>
      </c>
      <c r="T206" s="42" t="s">
        <v>2820</v>
      </c>
      <c r="U206" s="43">
        <v>44559</v>
      </c>
      <c r="V206" s="15"/>
      <c r="W206" s="15"/>
    </row>
    <row r="207" spans="1:23" s="34" customFormat="1" ht="29" x14ac:dyDescent="0.35">
      <c r="A207" s="15"/>
      <c r="B207" s="35">
        <v>44552</v>
      </c>
      <c r="C207" s="14">
        <v>197</v>
      </c>
      <c r="D207" s="85" t="s">
        <v>3753</v>
      </c>
      <c r="E207" s="14" t="s">
        <v>577</v>
      </c>
      <c r="F207" s="74" t="s">
        <v>13</v>
      </c>
      <c r="G207" s="17" t="s">
        <v>39</v>
      </c>
      <c r="H207" s="14" t="s">
        <v>527</v>
      </c>
      <c r="I207" s="145" t="s">
        <v>39</v>
      </c>
      <c r="J207" s="14" t="s">
        <v>2822</v>
      </c>
      <c r="K207" s="14" t="s">
        <v>1171</v>
      </c>
      <c r="L207" s="14" t="s">
        <v>2</v>
      </c>
      <c r="M207" s="38">
        <v>8135514804</v>
      </c>
      <c r="N207" s="38">
        <v>865011033830929</v>
      </c>
      <c r="O207" s="16" t="s">
        <v>576</v>
      </c>
      <c r="P207" s="17" t="s">
        <v>39</v>
      </c>
      <c r="Q207" s="17" t="s">
        <v>4174</v>
      </c>
      <c r="R207" s="40">
        <v>1999.84</v>
      </c>
      <c r="S207" s="19" t="s">
        <v>3584</v>
      </c>
      <c r="T207" s="42">
        <v>44530</v>
      </c>
      <c r="U207" s="43">
        <v>44530</v>
      </c>
      <c r="V207" s="15"/>
      <c r="W207" s="15"/>
    </row>
    <row r="208" spans="1:23" s="34" customFormat="1" ht="29" x14ac:dyDescent="0.35">
      <c r="A208" s="15"/>
      <c r="B208" s="35">
        <v>44553</v>
      </c>
      <c r="C208" s="14">
        <v>198</v>
      </c>
      <c r="D208" s="101" t="s">
        <v>2227</v>
      </c>
      <c r="E208" s="14" t="s">
        <v>575</v>
      </c>
      <c r="F208" s="74" t="s">
        <v>13</v>
      </c>
      <c r="G208" s="17" t="s">
        <v>39</v>
      </c>
      <c r="H208" s="14" t="s">
        <v>527</v>
      </c>
      <c r="I208" s="145" t="s">
        <v>39</v>
      </c>
      <c r="J208" s="17" t="s">
        <v>3758</v>
      </c>
      <c r="K208" s="14" t="s">
        <v>1172</v>
      </c>
      <c r="L208" s="14" t="s">
        <v>2</v>
      </c>
      <c r="M208" s="38">
        <v>8261715038</v>
      </c>
      <c r="N208" s="38">
        <v>359857084508431</v>
      </c>
      <c r="O208" s="16" t="s">
        <v>3757</v>
      </c>
      <c r="P208" s="17" t="s">
        <v>3756</v>
      </c>
      <c r="Q208" s="17" t="s">
        <v>4174</v>
      </c>
      <c r="R208" s="40">
        <v>1999.84</v>
      </c>
      <c r="S208" s="19" t="s">
        <v>3584</v>
      </c>
      <c r="T208" s="42">
        <v>44559</v>
      </c>
      <c r="U208" s="43">
        <v>44559</v>
      </c>
      <c r="V208" s="72" t="s">
        <v>2823</v>
      </c>
      <c r="W208" s="15"/>
    </row>
    <row r="209" spans="1:23" s="34" customFormat="1" ht="29" x14ac:dyDescent="0.35">
      <c r="A209" s="15"/>
      <c r="B209" s="35">
        <v>44553</v>
      </c>
      <c r="C209" s="14">
        <v>199</v>
      </c>
      <c r="D209" s="85" t="s">
        <v>3759</v>
      </c>
      <c r="E209" s="14" t="s">
        <v>575</v>
      </c>
      <c r="F209" s="74" t="s">
        <v>13</v>
      </c>
      <c r="G209" s="17" t="s">
        <v>39</v>
      </c>
      <c r="H209" s="14" t="s">
        <v>527</v>
      </c>
      <c r="I209" s="145" t="s">
        <v>39</v>
      </c>
      <c r="J209" s="14" t="s">
        <v>2824</v>
      </c>
      <c r="K209" s="14" t="s">
        <v>1173</v>
      </c>
      <c r="L209" s="14" t="s">
        <v>2</v>
      </c>
      <c r="M209" s="38">
        <v>8130722728</v>
      </c>
      <c r="N209" s="38">
        <v>864893030920303</v>
      </c>
      <c r="O209" s="16" t="s">
        <v>574</v>
      </c>
      <c r="P209" s="17" t="s">
        <v>39</v>
      </c>
      <c r="Q209" s="17" t="s">
        <v>4174</v>
      </c>
      <c r="R209" s="40">
        <v>1999.84</v>
      </c>
      <c r="S209" s="19" t="s">
        <v>3584</v>
      </c>
      <c r="T209" s="42">
        <v>44559</v>
      </c>
      <c r="U209" s="43">
        <v>44559</v>
      </c>
      <c r="V209" s="44"/>
      <c r="W209" s="15"/>
    </row>
    <row r="210" spans="1:23" s="34" customFormat="1" ht="29" x14ac:dyDescent="0.35">
      <c r="A210" s="15"/>
      <c r="B210" s="35">
        <v>44553</v>
      </c>
      <c r="C210" s="14">
        <v>200</v>
      </c>
      <c r="D210" s="74" t="s">
        <v>2825</v>
      </c>
      <c r="E210" s="14" t="s">
        <v>2826</v>
      </c>
      <c r="F210" s="74" t="s">
        <v>13</v>
      </c>
      <c r="G210" s="14"/>
      <c r="H210" s="14" t="s">
        <v>17</v>
      </c>
      <c r="I210" s="144"/>
      <c r="J210" s="14" t="s">
        <v>464</v>
      </c>
      <c r="K210" s="14" t="s">
        <v>1174</v>
      </c>
      <c r="L210" s="14" t="s">
        <v>2</v>
      </c>
      <c r="M210" s="38">
        <v>8135518602</v>
      </c>
      <c r="N210" s="38">
        <v>865011033829012</v>
      </c>
      <c r="O210" s="38"/>
      <c r="P210" s="14" t="s">
        <v>463</v>
      </c>
      <c r="Q210" s="39" t="s">
        <v>2559</v>
      </c>
      <c r="R210" s="40">
        <v>1999.84</v>
      </c>
      <c r="S210" s="41" t="s">
        <v>462</v>
      </c>
      <c r="T210" s="42">
        <v>44559</v>
      </c>
      <c r="U210" s="43">
        <v>44559</v>
      </c>
      <c r="V210" s="15"/>
      <c r="W210" s="15"/>
    </row>
    <row r="211" spans="1:23" s="34" customFormat="1" ht="29" x14ac:dyDescent="0.35">
      <c r="A211" s="15"/>
      <c r="B211" s="35">
        <v>44557</v>
      </c>
      <c r="C211" s="14">
        <v>201</v>
      </c>
      <c r="D211" s="74" t="s">
        <v>2827</v>
      </c>
      <c r="E211" s="14" t="s">
        <v>2828</v>
      </c>
      <c r="F211" s="74" t="s">
        <v>13</v>
      </c>
      <c r="G211" s="14"/>
      <c r="H211" s="14" t="s">
        <v>17</v>
      </c>
      <c r="I211" s="144"/>
      <c r="J211" s="14" t="s">
        <v>573</v>
      </c>
      <c r="K211" s="14" t="s">
        <v>1175</v>
      </c>
      <c r="L211" s="14" t="s">
        <v>229</v>
      </c>
      <c r="M211" s="38">
        <v>8135518610</v>
      </c>
      <c r="N211" s="38">
        <v>865011033830275</v>
      </c>
      <c r="O211" s="38"/>
      <c r="P211" s="14" t="s">
        <v>2829</v>
      </c>
      <c r="Q211" s="14" t="s">
        <v>8</v>
      </c>
      <c r="R211" s="40">
        <v>1999.84</v>
      </c>
      <c r="S211" s="41" t="s">
        <v>2831</v>
      </c>
      <c r="T211" s="42">
        <v>44559</v>
      </c>
      <c r="U211" s="43">
        <v>44559</v>
      </c>
      <c r="V211" s="15"/>
      <c r="W211" s="15"/>
    </row>
    <row r="212" spans="1:23" s="34" customFormat="1" ht="29" x14ac:dyDescent="0.35">
      <c r="A212" s="15"/>
      <c r="B212" s="35">
        <v>44558</v>
      </c>
      <c r="C212" s="14">
        <v>202</v>
      </c>
      <c r="D212" s="85" t="s">
        <v>2577</v>
      </c>
      <c r="E212" s="14" t="s">
        <v>570</v>
      </c>
      <c r="F212" s="74" t="s">
        <v>13</v>
      </c>
      <c r="G212" s="14" t="s">
        <v>1805</v>
      </c>
      <c r="H212" s="14" t="s">
        <v>1767</v>
      </c>
      <c r="I212" s="144" t="s">
        <v>39</v>
      </c>
      <c r="J212" s="17" t="s">
        <v>2578</v>
      </c>
      <c r="K212" s="14" t="s">
        <v>1176</v>
      </c>
      <c r="L212" s="14" t="s">
        <v>50</v>
      </c>
      <c r="M212" s="38">
        <v>8135518611</v>
      </c>
      <c r="N212" s="38">
        <v>865011033829749</v>
      </c>
      <c r="O212" s="38" t="s">
        <v>3281</v>
      </c>
      <c r="P212" s="14" t="s">
        <v>3282</v>
      </c>
      <c r="Q212" s="17" t="s">
        <v>2559</v>
      </c>
      <c r="R212" s="40">
        <v>1999.84</v>
      </c>
      <c r="S212" s="19" t="s">
        <v>2560</v>
      </c>
      <c r="T212" s="42">
        <v>44559</v>
      </c>
      <c r="U212" s="43">
        <v>44559</v>
      </c>
      <c r="V212" s="15" t="s">
        <v>1004</v>
      </c>
      <c r="W212" s="15"/>
    </row>
    <row r="213" spans="1:23" s="34" customFormat="1" ht="29" x14ac:dyDescent="0.35">
      <c r="A213" s="15"/>
      <c r="B213" s="35">
        <v>44558</v>
      </c>
      <c r="C213" s="14">
        <v>203</v>
      </c>
      <c r="D213" s="85" t="s">
        <v>3761</v>
      </c>
      <c r="E213" s="14" t="s">
        <v>572</v>
      </c>
      <c r="F213" s="74" t="s">
        <v>13</v>
      </c>
      <c r="G213" s="17" t="s">
        <v>39</v>
      </c>
      <c r="H213" s="14" t="s">
        <v>4195</v>
      </c>
      <c r="I213" s="145" t="s">
        <v>39</v>
      </c>
      <c r="J213" s="17" t="s">
        <v>3763</v>
      </c>
      <c r="K213" s="14" t="s">
        <v>1177</v>
      </c>
      <c r="L213" s="14" t="s">
        <v>50</v>
      </c>
      <c r="M213" s="38">
        <v>8135516713</v>
      </c>
      <c r="N213" s="38">
        <v>865011033828402</v>
      </c>
      <c r="O213" s="16" t="s">
        <v>39</v>
      </c>
      <c r="P213" s="17" t="s">
        <v>571</v>
      </c>
      <c r="Q213" s="17" t="s">
        <v>4174</v>
      </c>
      <c r="R213" s="40">
        <v>1999.84</v>
      </c>
      <c r="S213" s="19" t="s">
        <v>3584</v>
      </c>
      <c r="T213" s="42">
        <v>44559</v>
      </c>
      <c r="U213" s="43">
        <v>44559</v>
      </c>
      <c r="V213" s="44">
        <v>44560.791516203702</v>
      </c>
      <c r="W213" s="15"/>
    </row>
    <row r="214" spans="1:23" s="34" customFormat="1" ht="29" x14ac:dyDescent="0.35">
      <c r="A214" s="15"/>
      <c r="B214" s="35">
        <v>44558</v>
      </c>
      <c r="C214" s="14">
        <v>204</v>
      </c>
      <c r="D214" s="85" t="s">
        <v>2832</v>
      </c>
      <c r="E214" s="17" t="s">
        <v>2833</v>
      </c>
      <c r="F214" s="74" t="s">
        <v>13</v>
      </c>
      <c r="G214" s="14" t="s">
        <v>560</v>
      </c>
      <c r="H214" s="14" t="s">
        <v>473</v>
      </c>
      <c r="I214" s="145"/>
      <c r="J214" s="17" t="s">
        <v>1500</v>
      </c>
      <c r="K214" s="17" t="s">
        <v>1501</v>
      </c>
      <c r="L214" s="14" t="s">
        <v>50</v>
      </c>
      <c r="M214" s="38">
        <v>8134058889</v>
      </c>
      <c r="N214" s="38">
        <v>359857084507813</v>
      </c>
      <c r="O214" s="38"/>
      <c r="P214" s="14" t="s">
        <v>569</v>
      </c>
      <c r="Q214" s="39" t="s">
        <v>2559</v>
      </c>
      <c r="R214" s="40">
        <v>1999.84</v>
      </c>
      <c r="S214" s="41" t="s">
        <v>1504</v>
      </c>
      <c r="T214" s="42">
        <v>44559</v>
      </c>
      <c r="U214" s="43">
        <v>44559</v>
      </c>
      <c r="V214" s="15"/>
      <c r="W214" s="15"/>
    </row>
    <row r="215" spans="1:23" s="34" customFormat="1" ht="29" x14ac:dyDescent="0.35">
      <c r="A215" s="15"/>
      <c r="B215" s="35">
        <v>44559</v>
      </c>
      <c r="C215" s="14">
        <v>205</v>
      </c>
      <c r="D215" s="74" t="s">
        <v>2834</v>
      </c>
      <c r="E215" s="46" t="s">
        <v>2838</v>
      </c>
      <c r="F215" s="74" t="s">
        <v>13</v>
      </c>
      <c r="G215" s="14" t="s">
        <v>5</v>
      </c>
      <c r="H215" s="14" t="s">
        <v>11</v>
      </c>
      <c r="I215" s="145" t="s">
        <v>39</v>
      </c>
      <c r="J215" s="17" t="s">
        <v>2905</v>
      </c>
      <c r="K215" s="14" t="s">
        <v>1178</v>
      </c>
      <c r="L215" s="14" t="s">
        <v>2</v>
      </c>
      <c r="M215" s="38">
        <v>8135518618</v>
      </c>
      <c r="N215" s="38">
        <v>865011031939672</v>
      </c>
      <c r="O215" s="14" t="s">
        <v>457</v>
      </c>
      <c r="P215" s="14" t="s">
        <v>39</v>
      </c>
      <c r="Q215" s="14" t="s">
        <v>8</v>
      </c>
      <c r="R215" s="40">
        <v>1999.84</v>
      </c>
      <c r="S215" s="41" t="s">
        <v>2837</v>
      </c>
      <c r="T215" s="42" t="s">
        <v>2836</v>
      </c>
      <c r="U215" s="117">
        <v>315</v>
      </c>
      <c r="V215" s="15"/>
      <c r="W215" s="15"/>
    </row>
    <row r="216" spans="1:23" s="34" customFormat="1" ht="29" x14ac:dyDescent="0.35">
      <c r="A216" s="15"/>
      <c r="B216" s="35">
        <v>44560</v>
      </c>
      <c r="C216" s="14">
        <v>206</v>
      </c>
      <c r="D216" s="36" t="s">
        <v>2609</v>
      </c>
      <c r="E216" s="85" t="s">
        <v>2839</v>
      </c>
      <c r="F216" s="74" t="s">
        <v>13</v>
      </c>
      <c r="G216" s="17" t="s">
        <v>1805</v>
      </c>
      <c r="H216" s="14" t="s">
        <v>473</v>
      </c>
      <c r="I216" s="144"/>
      <c r="J216" s="17" t="s">
        <v>4653</v>
      </c>
      <c r="K216" s="14" t="s">
        <v>1179</v>
      </c>
      <c r="L216" s="14" t="s">
        <v>2</v>
      </c>
      <c r="M216" s="38">
        <v>8135518625</v>
      </c>
      <c r="N216" s="38">
        <v>865011031932693</v>
      </c>
      <c r="O216" s="38" t="s">
        <v>39</v>
      </c>
      <c r="P216" s="14" t="s">
        <v>568</v>
      </c>
      <c r="Q216" s="14" t="s">
        <v>8</v>
      </c>
      <c r="R216" s="40">
        <v>1999.84</v>
      </c>
      <c r="S216" s="19" t="s">
        <v>2479</v>
      </c>
      <c r="T216" s="42" t="s">
        <v>2840</v>
      </c>
      <c r="U216" s="117">
        <v>795</v>
      </c>
      <c r="V216" s="15"/>
      <c r="W216" s="15"/>
    </row>
    <row r="217" spans="1:23" s="34" customFormat="1" ht="29" x14ac:dyDescent="0.35">
      <c r="A217" s="15"/>
      <c r="B217" s="35">
        <v>44560</v>
      </c>
      <c r="C217" s="14">
        <v>207</v>
      </c>
      <c r="D217" s="85" t="s">
        <v>3764</v>
      </c>
      <c r="E217" s="14" t="s">
        <v>563</v>
      </c>
      <c r="F217" s="74" t="s">
        <v>13</v>
      </c>
      <c r="G217" s="17" t="s">
        <v>1805</v>
      </c>
      <c r="H217" s="14" t="s">
        <v>473</v>
      </c>
      <c r="I217" s="145" t="s">
        <v>39</v>
      </c>
      <c r="J217" s="17" t="s">
        <v>3765</v>
      </c>
      <c r="K217" s="14" t="s">
        <v>1180</v>
      </c>
      <c r="L217" s="14" t="s">
        <v>2</v>
      </c>
      <c r="M217" s="38">
        <v>8135518626</v>
      </c>
      <c r="N217" s="38">
        <v>865011033832388</v>
      </c>
      <c r="O217" s="16" t="s">
        <v>567</v>
      </c>
      <c r="P217" s="17" t="s">
        <v>39</v>
      </c>
      <c r="Q217" s="17" t="s">
        <v>4174</v>
      </c>
      <c r="R217" s="40">
        <v>1999.84</v>
      </c>
      <c r="S217" s="19" t="s">
        <v>3584</v>
      </c>
      <c r="T217" s="42">
        <v>44559</v>
      </c>
      <c r="U217" s="43">
        <v>44559</v>
      </c>
      <c r="V217" s="15" t="s">
        <v>1004</v>
      </c>
      <c r="W217" s="15"/>
    </row>
    <row r="218" spans="1:23" s="34" customFormat="1" ht="29" x14ac:dyDescent="0.35">
      <c r="A218" s="15"/>
      <c r="B218" s="35">
        <v>44560</v>
      </c>
      <c r="C218" s="14">
        <v>208</v>
      </c>
      <c r="D218" s="85" t="s">
        <v>3373</v>
      </c>
      <c r="E218" s="14" t="s">
        <v>563</v>
      </c>
      <c r="F218" s="74" t="s">
        <v>13</v>
      </c>
      <c r="G218" s="14" t="s">
        <v>39</v>
      </c>
      <c r="H218" s="14" t="s">
        <v>17</v>
      </c>
      <c r="I218" s="144" t="s">
        <v>39</v>
      </c>
      <c r="J218" s="14" t="s">
        <v>3485</v>
      </c>
      <c r="K218" s="14" t="s">
        <v>1181</v>
      </c>
      <c r="L218" s="14" t="s">
        <v>2</v>
      </c>
      <c r="M218" s="38">
        <v>8134058864</v>
      </c>
      <c r="N218" s="38" t="s">
        <v>2845</v>
      </c>
      <c r="O218" s="16" t="s">
        <v>566</v>
      </c>
      <c r="P218" s="55" t="s">
        <v>3425</v>
      </c>
      <c r="Q218" s="17" t="s">
        <v>2559</v>
      </c>
      <c r="R218" s="40">
        <v>1999.84</v>
      </c>
      <c r="S218" s="19" t="s">
        <v>3329</v>
      </c>
      <c r="T218" s="42">
        <v>44559</v>
      </c>
      <c r="U218" s="43">
        <v>44559</v>
      </c>
      <c r="V218" s="15" t="s">
        <v>1004</v>
      </c>
      <c r="W218" s="15"/>
    </row>
    <row r="219" spans="1:23" s="34" customFormat="1" ht="29" x14ac:dyDescent="0.35">
      <c r="A219" s="15"/>
      <c r="B219" s="35">
        <v>44566</v>
      </c>
      <c r="C219" s="14">
        <v>209</v>
      </c>
      <c r="D219" s="36" t="s">
        <v>1966</v>
      </c>
      <c r="E219" s="85" t="s">
        <v>2846</v>
      </c>
      <c r="F219" s="74" t="s">
        <v>13</v>
      </c>
      <c r="G219" s="14" t="s">
        <v>21</v>
      </c>
      <c r="H219" s="14" t="s">
        <v>1793</v>
      </c>
      <c r="I219" s="144"/>
      <c r="J219" s="14" t="s">
        <v>565</v>
      </c>
      <c r="K219" s="14" t="s">
        <v>1182</v>
      </c>
      <c r="L219" s="14" t="s">
        <v>2</v>
      </c>
      <c r="M219" s="38">
        <v>8118220664</v>
      </c>
      <c r="N219" s="37">
        <v>865011033828766</v>
      </c>
      <c r="O219" s="37"/>
      <c r="P219" s="14" t="s">
        <v>564</v>
      </c>
      <c r="Q219" s="14" t="s">
        <v>8</v>
      </c>
      <c r="R219" s="40">
        <v>1999.84</v>
      </c>
      <c r="S219" s="41" t="s">
        <v>1931</v>
      </c>
      <c r="T219" s="42">
        <v>44559</v>
      </c>
      <c r="U219" s="43">
        <v>44559</v>
      </c>
      <c r="V219" s="15" t="s">
        <v>1004</v>
      </c>
      <c r="W219" s="15"/>
    </row>
    <row r="220" spans="1:23" s="34" customFormat="1" ht="29" x14ac:dyDescent="0.35">
      <c r="A220" s="15"/>
      <c r="B220" s="35">
        <v>44566</v>
      </c>
      <c r="C220" s="14">
        <v>210</v>
      </c>
      <c r="D220" s="85" t="s">
        <v>3766</v>
      </c>
      <c r="E220" s="14" t="s">
        <v>563</v>
      </c>
      <c r="F220" s="74" t="s">
        <v>13</v>
      </c>
      <c r="G220" s="17" t="s">
        <v>39</v>
      </c>
      <c r="H220" s="17" t="s">
        <v>1787</v>
      </c>
      <c r="I220" s="145" t="s">
        <v>39</v>
      </c>
      <c r="J220" s="17" t="s">
        <v>3769</v>
      </c>
      <c r="K220" s="14" t="s">
        <v>4196</v>
      </c>
      <c r="L220" s="14" t="s">
        <v>2</v>
      </c>
      <c r="M220" s="38">
        <v>8184664711</v>
      </c>
      <c r="N220" s="38">
        <v>865011031935431</v>
      </c>
      <c r="O220" s="16" t="s">
        <v>3768</v>
      </c>
      <c r="P220" s="17" t="s">
        <v>3767</v>
      </c>
      <c r="Q220" s="17" t="s">
        <v>4174</v>
      </c>
      <c r="R220" s="40">
        <v>1999.84</v>
      </c>
      <c r="S220" s="19" t="s">
        <v>3584</v>
      </c>
      <c r="T220" s="42">
        <v>44575</v>
      </c>
      <c r="U220" s="43">
        <v>44575</v>
      </c>
      <c r="V220" s="44">
        <v>44708.806041666663</v>
      </c>
      <c r="W220" s="15"/>
    </row>
    <row r="221" spans="1:23" s="34" customFormat="1" ht="29" x14ac:dyDescent="0.35">
      <c r="A221" s="15"/>
      <c r="B221" s="35">
        <v>44568</v>
      </c>
      <c r="C221" s="14">
        <v>211</v>
      </c>
      <c r="D221" s="74" t="s">
        <v>2847</v>
      </c>
      <c r="E221" s="14" t="s">
        <v>4199</v>
      </c>
      <c r="F221" s="74" t="s">
        <v>13</v>
      </c>
      <c r="G221" s="17" t="s">
        <v>1805</v>
      </c>
      <c r="H221" s="14" t="s">
        <v>473</v>
      </c>
      <c r="I221" s="145" t="s">
        <v>39</v>
      </c>
      <c r="J221" s="17" t="s">
        <v>3771</v>
      </c>
      <c r="K221" s="14" t="s">
        <v>1183</v>
      </c>
      <c r="L221" s="14" t="s">
        <v>2</v>
      </c>
      <c r="M221" s="38">
        <v>8112814639</v>
      </c>
      <c r="N221" s="38">
        <v>863844052820880</v>
      </c>
      <c r="O221" s="16" t="s">
        <v>39</v>
      </c>
      <c r="P221" s="14" t="s">
        <v>558</v>
      </c>
      <c r="Q221" s="14" t="s">
        <v>4197</v>
      </c>
      <c r="R221" s="40">
        <v>1999.84</v>
      </c>
      <c r="S221" s="41" t="s">
        <v>2850</v>
      </c>
      <c r="T221" s="42" t="s">
        <v>2849</v>
      </c>
      <c r="U221" s="117">
        <v>273</v>
      </c>
      <c r="V221" s="15"/>
      <c r="W221" s="15"/>
    </row>
    <row r="222" spans="1:23" s="34" customFormat="1" ht="29" x14ac:dyDescent="0.35">
      <c r="A222" s="15"/>
      <c r="B222" s="35">
        <v>44569</v>
      </c>
      <c r="C222" s="14">
        <v>212</v>
      </c>
      <c r="D222" s="74" t="s">
        <v>2851</v>
      </c>
      <c r="E222" s="14" t="s">
        <v>2852</v>
      </c>
      <c r="F222" s="74" t="s">
        <v>13</v>
      </c>
      <c r="G222" s="14" t="s">
        <v>21</v>
      </c>
      <c r="H222" s="14" t="s">
        <v>1793</v>
      </c>
      <c r="I222" s="145" t="s">
        <v>39</v>
      </c>
      <c r="J222" s="14" t="s">
        <v>555</v>
      </c>
      <c r="K222" s="14" t="s">
        <v>1184</v>
      </c>
      <c r="L222" s="14" t="s">
        <v>2</v>
      </c>
      <c r="M222" s="38">
        <v>8118241454</v>
      </c>
      <c r="N222" s="38" t="s">
        <v>2855</v>
      </c>
      <c r="O222" s="16" t="s">
        <v>554</v>
      </c>
      <c r="P222" s="17" t="s">
        <v>39</v>
      </c>
      <c r="Q222" s="17" t="s">
        <v>4174</v>
      </c>
      <c r="R222" s="40">
        <v>1999.84</v>
      </c>
      <c r="S222" s="41" t="s">
        <v>1188</v>
      </c>
      <c r="T222" s="42">
        <v>44575</v>
      </c>
      <c r="U222" s="43">
        <v>44575</v>
      </c>
      <c r="V222" s="44"/>
      <c r="W222" s="15"/>
    </row>
    <row r="223" spans="1:23" s="34" customFormat="1" ht="29" x14ac:dyDescent="0.35">
      <c r="A223" s="15"/>
      <c r="B223" s="35">
        <v>44571</v>
      </c>
      <c r="C223" s="14">
        <v>213</v>
      </c>
      <c r="D223" s="85" t="s">
        <v>2579</v>
      </c>
      <c r="E223" s="14" t="s">
        <v>561</v>
      </c>
      <c r="F223" s="74" t="s">
        <v>13</v>
      </c>
      <c r="G223" s="14" t="s">
        <v>39</v>
      </c>
      <c r="H223" s="17" t="s">
        <v>1787</v>
      </c>
      <c r="I223" s="144" t="s">
        <v>39</v>
      </c>
      <c r="J223" s="17" t="s">
        <v>2580</v>
      </c>
      <c r="K223" s="14" t="s">
        <v>1189</v>
      </c>
      <c r="L223" s="14" t="s">
        <v>2</v>
      </c>
      <c r="M223" s="38">
        <v>8123554950</v>
      </c>
      <c r="N223" s="38">
        <v>865011033831737</v>
      </c>
      <c r="O223" s="14" t="s">
        <v>559</v>
      </c>
      <c r="P223" s="14" t="s">
        <v>39</v>
      </c>
      <c r="Q223" s="17" t="s">
        <v>2559</v>
      </c>
      <c r="R223" s="40">
        <v>1999.84</v>
      </c>
      <c r="S223" s="19" t="s">
        <v>2560</v>
      </c>
      <c r="T223" s="42">
        <v>44575</v>
      </c>
      <c r="U223" s="43">
        <v>44575</v>
      </c>
      <c r="V223" s="15"/>
      <c r="W223" s="15"/>
    </row>
    <row r="224" spans="1:23" s="34" customFormat="1" ht="29" x14ac:dyDescent="0.35">
      <c r="A224" s="15"/>
      <c r="B224" s="35">
        <v>44574</v>
      </c>
      <c r="C224" s="14">
        <v>214</v>
      </c>
      <c r="D224" s="74" t="s">
        <v>2847</v>
      </c>
      <c r="E224" s="46" t="s">
        <v>562</v>
      </c>
      <c r="F224" s="74" t="s">
        <v>6</v>
      </c>
      <c r="G224" s="17" t="s">
        <v>1805</v>
      </c>
      <c r="H224" s="14" t="s">
        <v>473</v>
      </c>
      <c r="I224" s="145" t="s">
        <v>39</v>
      </c>
      <c r="J224" s="17" t="s">
        <v>3771</v>
      </c>
      <c r="K224" s="14" t="s">
        <v>1183</v>
      </c>
      <c r="L224" s="14" t="s">
        <v>2</v>
      </c>
      <c r="M224" s="38">
        <v>8112814639</v>
      </c>
      <c r="N224" s="38">
        <v>863844052820880</v>
      </c>
      <c r="O224" s="16" t="s">
        <v>39</v>
      </c>
      <c r="P224" s="14" t="s">
        <v>558</v>
      </c>
      <c r="Q224" s="14" t="s">
        <v>4197</v>
      </c>
      <c r="R224" s="40">
        <v>754</v>
      </c>
      <c r="S224" s="41" t="s">
        <v>2850</v>
      </c>
      <c r="T224" s="42" t="s">
        <v>2849</v>
      </c>
      <c r="U224" s="117">
        <v>273</v>
      </c>
      <c r="V224" s="15"/>
      <c r="W224" s="15"/>
    </row>
    <row r="225" spans="1:23" s="34" customFormat="1" ht="29" x14ac:dyDescent="0.35">
      <c r="A225" s="15"/>
      <c r="B225" s="35">
        <v>44574</v>
      </c>
      <c r="C225" s="14">
        <v>214</v>
      </c>
      <c r="D225" s="74" t="s">
        <v>2847</v>
      </c>
      <c r="E225" s="14" t="s">
        <v>1617</v>
      </c>
      <c r="F225" s="74" t="s">
        <v>138</v>
      </c>
      <c r="G225" s="17" t="s">
        <v>1805</v>
      </c>
      <c r="H225" s="14" t="s">
        <v>473</v>
      </c>
      <c r="I225" s="145" t="s">
        <v>39</v>
      </c>
      <c r="J225" s="17" t="s">
        <v>3771</v>
      </c>
      <c r="K225" s="14" t="s">
        <v>1185</v>
      </c>
      <c r="L225" s="14" t="s">
        <v>2</v>
      </c>
      <c r="M225" s="38">
        <v>8112814639</v>
      </c>
      <c r="N225" s="38">
        <v>863844052820880</v>
      </c>
      <c r="O225" s="14" t="s">
        <v>557</v>
      </c>
      <c r="P225" s="16" t="s">
        <v>39</v>
      </c>
      <c r="Q225" s="17" t="s">
        <v>4174</v>
      </c>
      <c r="R225" s="40">
        <v>696</v>
      </c>
      <c r="S225" s="41" t="s">
        <v>4198</v>
      </c>
      <c r="T225" s="19" t="s">
        <v>3584</v>
      </c>
      <c r="U225" s="43">
        <v>44575</v>
      </c>
      <c r="V225" s="44"/>
      <c r="W225" s="15"/>
    </row>
    <row r="226" spans="1:23" s="34" customFormat="1" ht="29" x14ac:dyDescent="0.35">
      <c r="A226" s="15"/>
      <c r="B226" s="35">
        <v>44580</v>
      </c>
      <c r="C226" s="14">
        <v>212</v>
      </c>
      <c r="D226" s="74" t="s">
        <v>2851</v>
      </c>
      <c r="E226" s="14" t="s">
        <v>1188</v>
      </c>
      <c r="F226" s="74" t="s">
        <v>36</v>
      </c>
      <c r="G226" s="14" t="s">
        <v>21</v>
      </c>
      <c r="H226" s="14" t="s">
        <v>1793</v>
      </c>
      <c r="I226" s="145" t="s">
        <v>39</v>
      </c>
      <c r="J226" s="14" t="s">
        <v>555</v>
      </c>
      <c r="K226" s="14" t="s">
        <v>1184</v>
      </c>
      <c r="L226" s="14" t="s">
        <v>2</v>
      </c>
      <c r="M226" s="38">
        <v>8118241454</v>
      </c>
      <c r="N226" s="38" t="s">
        <v>2855</v>
      </c>
      <c r="O226" s="16" t="s">
        <v>554</v>
      </c>
      <c r="P226" s="17" t="s">
        <v>39</v>
      </c>
      <c r="Q226" s="17" t="s">
        <v>4174</v>
      </c>
      <c r="R226" s="40">
        <v>0</v>
      </c>
      <c r="S226" s="41" t="s">
        <v>1188</v>
      </c>
      <c r="T226" s="42" t="s">
        <v>2854</v>
      </c>
      <c r="U226" s="43">
        <v>44592</v>
      </c>
      <c r="V226" s="15"/>
      <c r="W226" s="15"/>
    </row>
    <row r="227" spans="1:23" s="34" customFormat="1" ht="29" x14ac:dyDescent="0.35">
      <c r="A227" s="15"/>
      <c r="B227" s="35">
        <v>44580</v>
      </c>
      <c r="C227" s="14">
        <v>212</v>
      </c>
      <c r="D227" s="85" t="s">
        <v>2851</v>
      </c>
      <c r="E227" s="14" t="s">
        <v>556</v>
      </c>
      <c r="F227" s="54" t="s">
        <v>138</v>
      </c>
      <c r="G227" s="14" t="s">
        <v>21</v>
      </c>
      <c r="H227" s="14" t="s">
        <v>1793</v>
      </c>
      <c r="I227" s="145" t="s">
        <v>39</v>
      </c>
      <c r="J227" s="14" t="s">
        <v>555</v>
      </c>
      <c r="K227" s="14" t="s">
        <v>1184</v>
      </c>
      <c r="L227" s="14" t="s">
        <v>2</v>
      </c>
      <c r="M227" s="38">
        <v>8120010213</v>
      </c>
      <c r="N227" s="38" t="s">
        <v>2855</v>
      </c>
      <c r="O227" s="16" t="s">
        <v>554</v>
      </c>
      <c r="P227" s="17" t="s">
        <v>39</v>
      </c>
      <c r="Q227" s="17" t="s">
        <v>4174</v>
      </c>
      <c r="R227" s="40">
        <v>0</v>
      </c>
      <c r="S227" s="19" t="s">
        <v>3584</v>
      </c>
      <c r="T227" s="42">
        <v>44589</v>
      </c>
      <c r="U227" s="43">
        <v>44592</v>
      </c>
      <c r="V227" s="44"/>
      <c r="W227" s="15"/>
    </row>
    <row r="228" spans="1:23" s="34" customFormat="1" ht="29" x14ac:dyDescent="0.35">
      <c r="A228" s="15"/>
      <c r="B228" s="35">
        <v>44581</v>
      </c>
      <c r="C228" s="14">
        <v>213</v>
      </c>
      <c r="D228" s="74" t="s">
        <v>2856</v>
      </c>
      <c r="E228" s="14" t="s">
        <v>2857</v>
      </c>
      <c r="F228" s="74" t="s">
        <v>13</v>
      </c>
      <c r="G228" s="14" t="s">
        <v>21</v>
      </c>
      <c r="H228" s="14" t="s">
        <v>1793</v>
      </c>
      <c r="I228" s="144"/>
      <c r="J228" s="14" t="s">
        <v>461</v>
      </c>
      <c r="K228" s="14" t="s">
        <v>1186</v>
      </c>
      <c r="L228" s="14" t="s">
        <v>50</v>
      </c>
      <c r="M228" s="38">
        <v>8118227425</v>
      </c>
      <c r="N228" s="38">
        <v>865011030369293</v>
      </c>
      <c r="O228" s="38"/>
      <c r="P228" s="14" t="s">
        <v>460</v>
      </c>
      <c r="Q228" s="39" t="s">
        <v>2559</v>
      </c>
      <c r="R228" s="40">
        <v>1999.84</v>
      </c>
      <c r="S228" s="41" t="s">
        <v>462</v>
      </c>
      <c r="T228" s="42">
        <v>44589</v>
      </c>
      <c r="U228" s="43">
        <v>44592</v>
      </c>
      <c r="V228" s="15"/>
      <c r="W228" s="15"/>
    </row>
    <row r="229" spans="1:23" s="34" customFormat="1" ht="29" x14ac:dyDescent="0.35">
      <c r="A229" s="15"/>
      <c r="B229" s="35">
        <v>44582</v>
      </c>
      <c r="C229" s="14">
        <v>214</v>
      </c>
      <c r="D229" s="74" t="s">
        <v>2858</v>
      </c>
      <c r="E229" s="14" t="s">
        <v>2859</v>
      </c>
      <c r="F229" s="74" t="s">
        <v>13</v>
      </c>
      <c r="G229" s="14" t="s">
        <v>21</v>
      </c>
      <c r="H229" s="14" t="s">
        <v>1786</v>
      </c>
      <c r="I229" s="145"/>
      <c r="J229" s="17" t="s">
        <v>1552</v>
      </c>
      <c r="K229" s="14" t="s">
        <v>1187</v>
      </c>
      <c r="L229" s="14" t="s">
        <v>2</v>
      </c>
      <c r="M229" s="38">
        <v>8182596240</v>
      </c>
      <c r="N229" s="38">
        <v>863844055233891</v>
      </c>
      <c r="O229" s="38"/>
      <c r="P229" s="14" t="s">
        <v>553</v>
      </c>
      <c r="Q229" s="39" t="s">
        <v>2559</v>
      </c>
      <c r="R229" s="40">
        <v>1999.84</v>
      </c>
      <c r="S229" s="41" t="s">
        <v>1539</v>
      </c>
      <c r="T229" s="42">
        <v>44575</v>
      </c>
      <c r="U229" s="43">
        <v>44575</v>
      </c>
      <c r="V229" s="15" t="s">
        <v>1004</v>
      </c>
      <c r="W229" s="15"/>
    </row>
    <row r="230" spans="1:23" s="34" customFormat="1" ht="29" x14ac:dyDescent="0.35">
      <c r="A230" s="15"/>
      <c r="B230" s="35">
        <v>44582</v>
      </c>
      <c r="C230" s="14">
        <v>215</v>
      </c>
      <c r="D230" s="85" t="s">
        <v>3774</v>
      </c>
      <c r="E230" s="14" t="s">
        <v>552</v>
      </c>
      <c r="F230" s="74" t="s">
        <v>13</v>
      </c>
      <c r="G230" s="14" t="s">
        <v>21</v>
      </c>
      <c r="H230" s="14" t="s">
        <v>1786</v>
      </c>
      <c r="I230" s="145" t="s">
        <v>39</v>
      </c>
      <c r="J230" s="17" t="s">
        <v>3775</v>
      </c>
      <c r="K230" s="14" t="s">
        <v>1190</v>
      </c>
      <c r="L230" s="14" t="s">
        <v>2</v>
      </c>
      <c r="M230" s="38">
        <v>8182596321</v>
      </c>
      <c r="N230" s="38">
        <v>863844055238692</v>
      </c>
      <c r="O230" s="16" t="s">
        <v>551</v>
      </c>
      <c r="P230" s="17" t="s">
        <v>39</v>
      </c>
      <c r="Q230" s="17" t="s">
        <v>4174</v>
      </c>
      <c r="R230" s="40">
        <v>1999.84</v>
      </c>
      <c r="S230" s="19" t="s">
        <v>3584</v>
      </c>
      <c r="T230" s="42">
        <v>44575</v>
      </c>
      <c r="U230" s="43">
        <v>44575</v>
      </c>
      <c r="V230" s="15" t="s">
        <v>1004</v>
      </c>
      <c r="W230" s="15"/>
    </row>
    <row r="231" spans="1:23" s="34" customFormat="1" ht="29" x14ac:dyDescent="0.35">
      <c r="A231" s="15"/>
      <c r="B231" s="35">
        <v>44595</v>
      </c>
      <c r="C231" s="14">
        <v>216</v>
      </c>
      <c r="D231" s="85" t="s">
        <v>2581</v>
      </c>
      <c r="E231" s="14" t="s">
        <v>549</v>
      </c>
      <c r="F231" s="74" t="s">
        <v>13</v>
      </c>
      <c r="G231" s="14" t="s">
        <v>21</v>
      </c>
      <c r="H231" s="14" t="s">
        <v>1793</v>
      </c>
      <c r="I231" s="144" t="s">
        <v>39</v>
      </c>
      <c r="J231" s="14" t="s">
        <v>2582</v>
      </c>
      <c r="K231" s="14" t="s">
        <v>1191</v>
      </c>
      <c r="L231" s="14" t="s">
        <v>2</v>
      </c>
      <c r="M231" s="38">
        <v>8182597380</v>
      </c>
      <c r="N231" s="38">
        <v>863844055230749</v>
      </c>
      <c r="O231" s="38" t="s">
        <v>550</v>
      </c>
      <c r="P231" s="14" t="s">
        <v>39</v>
      </c>
      <c r="Q231" s="17" t="s">
        <v>2559</v>
      </c>
      <c r="R231" s="40">
        <v>1999.84</v>
      </c>
      <c r="S231" s="19" t="s">
        <v>2560</v>
      </c>
      <c r="T231" s="42">
        <v>44575</v>
      </c>
      <c r="U231" s="43">
        <v>44575</v>
      </c>
      <c r="V231" s="15" t="s">
        <v>1004</v>
      </c>
      <c r="W231" s="15"/>
    </row>
    <row r="232" spans="1:23" s="34" customFormat="1" ht="29" x14ac:dyDescent="0.35">
      <c r="A232" s="15"/>
      <c r="B232" s="35">
        <v>44595</v>
      </c>
      <c r="C232" s="14">
        <v>217</v>
      </c>
      <c r="D232" s="74" t="s">
        <v>2860</v>
      </c>
      <c r="E232" s="14" t="s">
        <v>2861</v>
      </c>
      <c r="F232" s="74" t="s">
        <v>13</v>
      </c>
      <c r="G232" s="14" t="s">
        <v>21</v>
      </c>
      <c r="H232" s="14" t="s">
        <v>1793</v>
      </c>
      <c r="I232" s="144"/>
      <c r="J232" s="14" t="s">
        <v>548</v>
      </c>
      <c r="K232" s="14" t="s">
        <v>1192</v>
      </c>
      <c r="L232" s="14" t="s">
        <v>2</v>
      </c>
      <c r="M232" s="38">
        <v>8183963032</v>
      </c>
      <c r="N232" s="38">
        <v>863844055230624</v>
      </c>
      <c r="O232" s="38"/>
      <c r="P232" s="14" t="s">
        <v>547</v>
      </c>
      <c r="Q232" s="14" t="s">
        <v>8</v>
      </c>
      <c r="R232" s="40">
        <v>1999.84</v>
      </c>
      <c r="S232" s="41" t="s">
        <v>1607</v>
      </c>
      <c r="T232" s="42">
        <v>44575</v>
      </c>
      <c r="U232" s="43">
        <v>44575</v>
      </c>
      <c r="V232" s="15"/>
      <c r="W232" s="15"/>
    </row>
    <row r="233" spans="1:23" s="34" customFormat="1" ht="29" x14ac:dyDescent="0.35">
      <c r="A233" s="15"/>
      <c r="B233" s="35">
        <v>44596</v>
      </c>
      <c r="C233" s="14">
        <v>218</v>
      </c>
      <c r="D233" s="36" t="s">
        <v>1967</v>
      </c>
      <c r="E233" s="85" t="s">
        <v>2898</v>
      </c>
      <c r="F233" s="74" t="s">
        <v>13</v>
      </c>
      <c r="G233" s="14" t="s">
        <v>21</v>
      </c>
      <c r="H233" s="14" t="s">
        <v>1786</v>
      </c>
      <c r="I233" s="145"/>
      <c r="J233" s="17" t="s">
        <v>1968</v>
      </c>
      <c r="K233" s="17" t="s">
        <v>1969</v>
      </c>
      <c r="L233" s="14" t="s">
        <v>2</v>
      </c>
      <c r="M233" s="38">
        <v>8184663187</v>
      </c>
      <c r="N233" s="38">
        <v>863844055230178</v>
      </c>
      <c r="O233" s="38"/>
      <c r="P233" s="14" t="s">
        <v>546</v>
      </c>
      <c r="Q233" s="14" t="s">
        <v>8</v>
      </c>
      <c r="R233" s="40">
        <v>1999.84</v>
      </c>
      <c r="S233" s="41" t="s">
        <v>1931</v>
      </c>
      <c r="T233" s="42">
        <v>44606</v>
      </c>
      <c r="U233" s="43">
        <v>44607</v>
      </c>
      <c r="V233" s="44"/>
      <c r="W233" s="15"/>
    </row>
    <row r="234" spans="1:23" s="34" customFormat="1" ht="29" x14ac:dyDescent="0.35">
      <c r="A234" s="15"/>
      <c r="B234" s="35">
        <v>44597</v>
      </c>
      <c r="C234" s="14">
        <v>219</v>
      </c>
      <c r="D234" s="74" t="s">
        <v>2862</v>
      </c>
      <c r="E234" s="14" t="s">
        <v>2863</v>
      </c>
      <c r="F234" s="74" t="s">
        <v>13</v>
      </c>
      <c r="G234" s="14" t="s">
        <v>21</v>
      </c>
      <c r="H234" s="14" t="s">
        <v>1793</v>
      </c>
      <c r="I234" s="144" t="s">
        <v>39</v>
      </c>
      <c r="J234" s="14" t="s">
        <v>344</v>
      </c>
      <c r="K234" s="14" t="s">
        <v>1193</v>
      </c>
      <c r="L234" s="14" t="s">
        <v>2</v>
      </c>
      <c r="M234" s="38">
        <v>8183963084</v>
      </c>
      <c r="N234" s="38">
        <v>863844050552089</v>
      </c>
      <c r="O234" s="38" t="s">
        <v>541</v>
      </c>
      <c r="P234" s="14" t="s">
        <v>3150</v>
      </c>
      <c r="Q234" s="14" t="s">
        <v>8</v>
      </c>
      <c r="R234" s="40">
        <v>1999.84</v>
      </c>
      <c r="S234" s="41" t="s">
        <v>2864</v>
      </c>
      <c r="T234" s="42" t="s">
        <v>2867</v>
      </c>
      <c r="U234" s="117">
        <v>381</v>
      </c>
      <c r="V234" s="15"/>
      <c r="W234" s="15"/>
    </row>
    <row r="235" spans="1:23" s="34" customFormat="1" ht="29" x14ac:dyDescent="0.35">
      <c r="A235" s="15"/>
      <c r="B235" s="35">
        <v>44597</v>
      </c>
      <c r="C235" s="14">
        <v>220</v>
      </c>
      <c r="D235" s="39" t="s">
        <v>2632</v>
      </c>
      <c r="E235" s="14" t="s">
        <v>545</v>
      </c>
      <c r="F235" s="74" t="s">
        <v>7</v>
      </c>
      <c r="G235" s="14" t="s">
        <v>5</v>
      </c>
      <c r="H235" s="14" t="s">
        <v>1930</v>
      </c>
      <c r="I235" s="144"/>
      <c r="J235" s="14" t="s">
        <v>543</v>
      </c>
      <c r="K235" s="14" t="s">
        <v>1045</v>
      </c>
      <c r="L235" s="14" t="s">
        <v>2</v>
      </c>
      <c r="M235" s="38">
        <v>345901012164889</v>
      </c>
      <c r="N235" s="38">
        <v>864352043825132</v>
      </c>
      <c r="O235" s="38"/>
      <c r="P235" s="14" t="s">
        <v>542</v>
      </c>
      <c r="Q235" s="39" t="s">
        <v>2559</v>
      </c>
      <c r="R235" s="40">
        <v>0</v>
      </c>
      <c r="S235" s="41" t="s">
        <v>545</v>
      </c>
      <c r="T235" s="42">
        <v>44606</v>
      </c>
      <c r="U235" s="43">
        <v>44607</v>
      </c>
      <c r="V235" s="15"/>
      <c r="W235" s="15"/>
    </row>
    <row r="236" spans="1:23" s="34" customFormat="1" ht="29" x14ac:dyDescent="0.35">
      <c r="A236" s="15"/>
      <c r="B236" s="35">
        <v>44601</v>
      </c>
      <c r="C236" s="14">
        <v>221</v>
      </c>
      <c r="D236" s="74" t="s">
        <v>2868</v>
      </c>
      <c r="E236" s="14" t="s">
        <v>2869</v>
      </c>
      <c r="F236" s="74" t="s">
        <v>13</v>
      </c>
      <c r="G236" s="17" t="s">
        <v>1805</v>
      </c>
      <c r="H236" s="14" t="s">
        <v>473</v>
      </c>
      <c r="I236" s="144"/>
      <c r="J236" s="14" t="s">
        <v>2901</v>
      </c>
      <c r="K236" s="14" t="s">
        <v>1194</v>
      </c>
      <c r="L236" s="14" t="s">
        <v>2</v>
      </c>
      <c r="M236" s="38">
        <v>8183963139</v>
      </c>
      <c r="N236" s="38">
        <v>865011034398355</v>
      </c>
      <c r="O236" s="38"/>
      <c r="P236" s="14" t="s">
        <v>871</v>
      </c>
      <c r="Q236" s="14" t="s">
        <v>8</v>
      </c>
      <c r="R236" s="40">
        <v>1999.84</v>
      </c>
      <c r="S236" s="41" t="s">
        <v>2872</v>
      </c>
      <c r="T236" s="14" t="s">
        <v>2873</v>
      </c>
      <c r="U236" s="117">
        <v>283</v>
      </c>
      <c r="V236" s="15"/>
      <c r="W236" s="15"/>
    </row>
    <row r="237" spans="1:23" s="34" customFormat="1" ht="29" x14ac:dyDescent="0.35">
      <c r="A237" s="15"/>
      <c r="B237" s="35">
        <v>44601</v>
      </c>
      <c r="C237" s="14">
        <v>222</v>
      </c>
      <c r="D237" s="74" t="s">
        <v>2874</v>
      </c>
      <c r="E237" s="14" t="s">
        <v>2869</v>
      </c>
      <c r="F237" s="74" t="s">
        <v>13</v>
      </c>
      <c r="G237" s="17" t="s">
        <v>1805</v>
      </c>
      <c r="H237" s="14" t="s">
        <v>473</v>
      </c>
      <c r="I237" s="145"/>
      <c r="J237" s="17" t="s">
        <v>1553</v>
      </c>
      <c r="K237" s="17" t="s">
        <v>1554</v>
      </c>
      <c r="L237" s="14" t="s">
        <v>2</v>
      </c>
      <c r="M237" s="38">
        <v>8183963141</v>
      </c>
      <c r="N237" s="38">
        <v>865011034399155</v>
      </c>
      <c r="O237" s="38"/>
      <c r="P237" s="14" t="s">
        <v>540</v>
      </c>
      <c r="Q237" s="39" t="s">
        <v>2559</v>
      </c>
      <c r="R237" s="40">
        <v>1999.84</v>
      </c>
      <c r="S237" s="41" t="s">
        <v>1539</v>
      </c>
      <c r="T237" s="42">
        <v>44606</v>
      </c>
      <c r="U237" s="43">
        <v>44607</v>
      </c>
      <c r="V237" s="44"/>
      <c r="W237" s="15"/>
    </row>
    <row r="238" spans="1:23" s="34" customFormat="1" ht="29" x14ac:dyDescent="0.35">
      <c r="A238" s="15"/>
      <c r="B238" s="35">
        <v>44601</v>
      </c>
      <c r="C238" s="14">
        <v>223</v>
      </c>
      <c r="D238" s="36" t="s">
        <v>2229</v>
      </c>
      <c r="E238" s="14" t="s">
        <v>537</v>
      </c>
      <c r="F238" s="74" t="s">
        <v>13</v>
      </c>
      <c r="G238" s="17" t="s">
        <v>1805</v>
      </c>
      <c r="H238" s="14" t="s">
        <v>473</v>
      </c>
      <c r="I238" s="144"/>
      <c r="J238" s="14" t="s">
        <v>539</v>
      </c>
      <c r="K238" s="14" t="s">
        <v>2230</v>
      </c>
      <c r="L238" s="14" t="s">
        <v>2</v>
      </c>
      <c r="M238" s="55">
        <v>8124307889</v>
      </c>
      <c r="N238" s="56">
        <v>865011030822002</v>
      </c>
      <c r="O238" s="56"/>
      <c r="P238" s="55" t="s">
        <v>538</v>
      </c>
      <c r="Q238" s="14" t="s">
        <v>8</v>
      </c>
      <c r="R238" s="40">
        <v>1999.84</v>
      </c>
      <c r="S238" s="19" t="s">
        <v>2200</v>
      </c>
      <c r="T238" s="42">
        <v>44575</v>
      </c>
      <c r="U238" s="43">
        <v>44575</v>
      </c>
      <c r="V238" s="15"/>
      <c r="W238" s="15"/>
    </row>
    <row r="239" spans="1:23" s="34" customFormat="1" ht="29" x14ac:dyDescent="0.35">
      <c r="A239" s="15"/>
      <c r="B239" s="35">
        <v>44601</v>
      </c>
      <c r="C239" s="14">
        <v>224</v>
      </c>
      <c r="D239" s="74" t="s">
        <v>2875</v>
      </c>
      <c r="E239" s="14" t="s">
        <v>537</v>
      </c>
      <c r="F239" s="74" t="s">
        <v>13</v>
      </c>
      <c r="G239" s="17" t="s">
        <v>1805</v>
      </c>
      <c r="H239" s="14" t="s">
        <v>473</v>
      </c>
      <c r="I239" s="145"/>
      <c r="J239" s="17" t="s">
        <v>1555</v>
      </c>
      <c r="K239" s="17" t="s">
        <v>1556</v>
      </c>
      <c r="L239" s="14" t="s">
        <v>2</v>
      </c>
      <c r="M239" s="55">
        <v>8182597393</v>
      </c>
      <c r="N239" s="56">
        <v>865011030370333</v>
      </c>
      <c r="O239" s="56"/>
      <c r="P239" s="55" t="s">
        <v>536</v>
      </c>
      <c r="Q239" s="39" t="s">
        <v>2559</v>
      </c>
      <c r="R239" s="40">
        <v>1999.84</v>
      </c>
      <c r="S239" s="41" t="s">
        <v>1539</v>
      </c>
      <c r="T239" s="42">
        <v>44575</v>
      </c>
      <c r="U239" s="43">
        <v>44575</v>
      </c>
      <c r="V239" s="15"/>
      <c r="W239" s="15"/>
    </row>
    <row r="240" spans="1:23" s="34" customFormat="1" ht="29" x14ac:dyDescent="0.35">
      <c r="A240" s="15"/>
      <c r="B240" s="35">
        <v>44608</v>
      </c>
      <c r="C240" s="14">
        <v>230</v>
      </c>
      <c r="D240" s="74" t="s">
        <v>2723</v>
      </c>
      <c r="E240" s="14" t="s">
        <v>532</v>
      </c>
      <c r="F240" s="74" t="s">
        <v>6</v>
      </c>
      <c r="G240" s="14" t="s">
        <v>5</v>
      </c>
      <c r="H240" s="14" t="s">
        <v>535</v>
      </c>
      <c r="I240" s="144"/>
      <c r="J240" s="14" t="s">
        <v>534</v>
      </c>
      <c r="K240" s="14" t="s">
        <v>1195</v>
      </c>
      <c r="L240" s="14" t="s">
        <v>2</v>
      </c>
      <c r="M240" s="38">
        <v>8115777580</v>
      </c>
      <c r="N240" s="38">
        <v>865011031938757</v>
      </c>
      <c r="O240" s="38"/>
      <c r="P240" s="14" t="s">
        <v>533</v>
      </c>
      <c r="Q240" s="14" t="s">
        <v>516</v>
      </c>
      <c r="R240" s="40">
        <v>754</v>
      </c>
      <c r="S240" s="41" t="s">
        <v>2819</v>
      </c>
      <c r="T240" s="42">
        <v>44617</v>
      </c>
      <c r="U240" s="43">
        <v>44620</v>
      </c>
      <c r="V240" s="15"/>
      <c r="W240" s="15"/>
    </row>
    <row r="241" spans="1:23" s="34" customFormat="1" ht="29" x14ac:dyDescent="0.35">
      <c r="A241" s="15"/>
      <c r="B241" s="35">
        <v>44608</v>
      </c>
      <c r="C241" s="14">
        <v>226</v>
      </c>
      <c r="D241" s="74" t="s">
        <v>2816</v>
      </c>
      <c r="E241" s="14" t="s">
        <v>532</v>
      </c>
      <c r="F241" s="74" t="s">
        <v>6</v>
      </c>
      <c r="G241" s="14" t="s">
        <v>21</v>
      </c>
      <c r="H241" s="14" t="s">
        <v>1786</v>
      </c>
      <c r="I241" s="144"/>
      <c r="J241" s="14" t="s">
        <v>531</v>
      </c>
      <c r="K241" s="14" t="s">
        <v>1170</v>
      </c>
      <c r="L241" s="14" t="s">
        <v>2</v>
      </c>
      <c r="M241" s="38">
        <v>8119174203</v>
      </c>
      <c r="N241" s="38">
        <v>865011033829848</v>
      </c>
      <c r="O241" s="38"/>
      <c r="P241" s="14" t="s">
        <v>530</v>
      </c>
      <c r="Q241" s="14" t="s">
        <v>2841</v>
      </c>
      <c r="R241" s="40">
        <v>754</v>
      </c>
      <c r="S241" s="41" t="s">
        <v>2819</v>
      </c>
      <c r="T241" s="42" t="s">
        <v>2820</v>
      </c>
      <c r="U241" s="117">
        <v>299</v>
      </c>
      <c r="V241" s="15"/>
      <c r="W241" s="15"/>
    </row>
    <row r="242" spans="1:23" s="34" customFormat="1" ht="29" x14ac:dyDescent="0.35">
      <c r="A242" s="15"/>
      <c r="B242" s="35">
        <v>44608</v>
      </c>
      <c r="C242" s="14">
        <v>225</v>
      </c>
      <c r="D242" s="39">
        <v>287</v>
      </c>
      <c r="E242" s="46" t="s">
        <v>39</v>
      </c>
      <c r="F242" s="74" t="s">
        <v>40</v>
      </c>
      <c r="G242" s="14" t="s">
        <v>21</v>
      </c>
      <c r="H242" s="14" t="s">
        <v>1786</v>
      </c>
      <c r="I242" s="144"/>
      <c r="J242" s="14" t="s">
        <v>528</v>
      </c>
      <c r="K242" s="14" t="s">
        <v>1196</v>
      </c>
      <c r="L242" s="14" t="s">
        <v>2</v>
      </c>
      <c r="M242" s="55" t="s">
        <v>39</v>
      </c>
      <c r="N242" s="56" t="s">
        <v>39</v>
      </c>
      <c r="O242" s="56"/>
      <c r="P242" s="55" t="s">
        <v>39</v>
      </c>
      <c r="Q242" s="14" t="s">
        <v>8</v>
      </c>
      <c r="R242" s="40">
        <v>290</v>
      </c>
      <c r="S242" s="41" t="s">
        <v>40</v>
      </c>
      <c r="T242" s="42">
        <v>44617</v>
      </c>
      <c r="U242" s="43">
        <v>44620</v>
      </c>
      <c r="V242" s="15"/>
      <c r="W242" s="15"/>
    </row>
    <row r="243" spans="1:23" s="34" customFormat="1" ht="29" x14ac:dyDescent="0.35">
      <c r="A243" s="15"/>
      <c r="B243" s="35">
        <v>44608</v>
      </c>
      <c r="C243" s="14">
        <v>225</v>
      </c>
      <c r="D243" s="85" t="s">
        <v>3776</v>
      </c>
      <c r="E243" s="14" t="s">
        <v>524</v>
      </c>
      <c r="F243" s="74" t="s">
        <v>13</v>
      </c>
      <c r="G243" s="14" t="s">
        <v>21</v>
      </c>
      <c r="H243" s="14" t="s">
        <v>1786</v>
      </c>
      <c r="I243" s="145" t="s">
        <v>39</v>
      </c>
      <c r="J243" s="17" t="s">
        <v>3778</v>
      </c>
      <c r="K243" s="14" t="s">
        <v>1196</v>
      </c>
      <c r="L243" s="14" t="s">
        <v>2</v>
      </c>
      <c r="M243" s="55">
        <v>8118220662</v>
      </c>
      <c r="N243" s="56">
        <v>865011034398660</v>
      </c>
      <c r="O243" s="16" t="s">
        <v>529</v>
      </c>
      <c r="P243" s="17" t="s">
        <v>39</v>
      </c>
      <c r="Q243" s="17" t="s">
        <v>4174</v>
      </c>
      <c r="R243" s="40">
        <v>1999.84</v>
      </c>
      <c r="S243" s="19" t="s">
        <v>3584</v>
      </c>
      <c r="T243" s="42">
        <v>44575</v>
      </c>
      <c r="U243" s="43">
        <v>44575</v>
      </c>
      <c r="V243" s="15" t="s">
        <v>1004</v>
      </c>
      <c r="W243" s="15"/>
    </row>
    <row r="244" spans="1:23" s="34" customFormat="1" ht="29" x14ac:dyDescent="0.35">
      <c r="A244" s="15"/>
      <c r="B244" s="35">
        <v>44608</v>
      </c>
      <c r="C244" s="14">
        <v>227</v>
      </c>
      <c r="D244" s="74" t="s">
        <v>2816</v>
      </c>
      <c r="E244" s="14" t="s">
        <v>2821</v>
      </c>
      <c r="F244" s="74" t="s">
        <v>138</v>
      </c>
      <c r="G244" s="14" t="s">
        <v>21</v>
      </c>
      <c r="H244" s="14" t="s">
        <v>1786</v>
      </c>
      <c r="I244" s="144"/>
      <c r="J244" s="14" t="s">
        <v>526</v>
      </c>
      <c r="K244" s="14" t="s">
        <v>1197</v>
      </c>
      <c r="L244" s="14" t="s">
        <v>2</v>
      </c>
      <c r="M244" s="38">
        <v>8119174203</v>
      </c>
      <c r="N244" s="38">
        <v>865011033829848</v>
      </c>
      <c r="O244" s="38"/>
      <c r="P244" s="14" t="s">
        <v>501</v>
      </c>
      <c r="Q244" s="14" t="s">
        <v>2818</v>
      </c>
      <c r="R244" s="40">
        <v>696</v>
      </c>
      <c r="S244" s="42" t="s">
        <v>2820</v>
      </c>
      <c r="T244" s="41" t="s">
        <v>2200</v>
      </c>
      <c r="U244" s="43">
        <v>44620</v>
      </c>
      <c r="V244" s="15"/>
      <c r="W244" s="15"/>
    </row>
    <row r="245" spans="1:23" s="34" customFormat="1" ht="29" x14ac:dyDescent="0.35">
      <c r="B245" s="35">
        <v>44608</v>
      </c>
      <c r="C245" s="14">
        <v>228</v>
      </c>
      <c r="D245" s="85" t="s">
        <v>3779</v>
      </c>
      <c r="E245" s="14" t="s">
        <v>524</v>
      </c>
      <c r="F245" s="74" t="s">
        <v>13</v>
      </c>
      <c r="G245" s="17" t="s">
        <v>1805</v>
      </c>
      <c r="H245" s="14" t="s">
        <v>11</v>
      </c>
      <c r="I245" s="144" t="s">
        <v>39</v>
      </c>
      <c r="J245" s="14" t="s">
        <v>2876</v>
      </c>
      <c r="K245" s="14" t="s">
        <v>1198</v>
      </c>
      <c r="L245" s="14" t="s">
        <v>2</v>
      </c>
      <c r="M245" s="55">
        <v>8126213320</v>
      </c>
      <c r="N245" s="56">
        <v>865011034399163</v>
      </c>
      <c r="O245" s="16" t="s">
        <v>525</v>
      </c>
      <c r="P245" s="17" t="s">
        <v>39</v>
      </c>
      <c r="Q245" s="17" t="s">
        <v>4174</v>
      </c>
      <c r="R245" s="40">
        <v>1999.84</v>
      </c>
      <c r="S245" s="19" t="s">
        <v>3584</v>
      </c>
      <c r="T245" s="42">
        <v>44575</v>
      </c>
      <c r="U245" s="43">
        <v>44575</v>
      </c>
      <c r="V245" s="53" t="s">
        <v>1107</v>
      </c>
      <c r="W245" s="15"/>
    </row>
    <row r="246" spans="1:23" s="34" customFormat="1" ht="29" x14ac:dyDescent="0.35">
      <c r="A246" s="15"/>
      <c r="B246" s="35">
        <v>44608</v>
      </c>
      <c r="C246" s="14">
        <v>229</v>
      </c>
      <c r="D246" s="85" t="s">
        <v>2984</v>
      </c>
      <c r="E246" s="14" t="s">
        <v>524</v>
      </c>
      <c r="F246" s="74" t="s">
        <v>13</v>
      </c>
      <c r="G246" s="17" t="s">
        <v>1805</v>
      </c>
      <c r="H246" s="14" t="s">
        <v>473</v>
      </c>
      <c r="I246" s="144" t="s">
        <v>39</v>
      </c>
      <c r="J246" s="14" t="s">
        <v>2985</v>
      </c>
      <c r="K246" s="14" t="s">
        <v>973</v>
      </c>
      <c r="L246" s="14" t="s">
        <v>2</v>
      </c>
      <c r="M246" s="55">
        <v>8183968460</v>
      </c>
      <c r="N246" s="56">
        <v>865011034400565</v>
      </c>
      <c r="O246" s="56" t="s">
        <v>523</v>
      </c>
      <c r="P246" s="55" t="s">
        <v>3101</v>
      </c>
      <c r="Q246" s="17" t="s">
        <v>2559</v>
      </c>
      <c r="R246" s="40">
        <v>1999.84</v>
      </c>
      <c r="S246" s="19" t="s">
        <v>2977</v>
      </c>
      <c r="T246" s="42">
        <v>44575</v>
      </c>
      <c r="U246" s="43">
        <v>44575</v>
      </c>
      <c r="V246" s="15" t="s">
        <v>1004</v>
      </c>
      <c r="W246" s="15"/>
    </row>
    <row r="247" spans="1:23" s="34" customFormat="1" ht="29" x14ac:dyDescent="0.35">
      <c r="A247" s="15"/>
      <c r="B247" s="35">
        <v>44610</v>
      </c>
      <c r="C247" s="14">
        <v>231</v>
      </c>
      <c r="D247" s="39" t="s">
        <v>2619</v>
      </c>
      <c r="E247" s="14" t="s">
        <v>522</v>
      </c>
      <c r="F247" s="74" t="s">
        <v>6</v>
      </c>
      <c r="G247" s="14" t="s">
        <v>5</v>
      </c>
      <c r="H247" s="14" t="s">
        <v>17</v>
      </c>
      <c r="I247" s="145">
        <v>0.375</v>
      </c>
      <c r="J247" s="17" t="s">
        <v>1474</v>
      </c>
      <c r="K247" s="14" t="s">
        <v>1034</v>
      </c>
      <c r="L247" s="14" t="s">
        <v>2</v>
      </c>
      <c r="M247" s="37">
        <v>345901012163828</v>
      </c>
      <c r="N247" s="37">
        <v>864893039429033</v>
      </c>
      <c r="O247" s="14" t="s">
        <v>521</v>
      </c>
      <c r="P247" s="14" t="s">
        <v>39</v>
      </c>
      <c r="Q247" s="14" t="s">
        <v>8</v>
      </c>
      <c r="R247" s="40">
        <v>754</v>
      </c>
      <c r="S247" s="41" t="s">
        <v>2877</v>
      </c>
      <c r="T247" s="41" t="s">
        <v>2878</v>
      </c>
      <c r="U247" s="43">
        <v>44620</v>
      </c>
      <c r="V247" s="15"/>
      <c r="W247" s="15"/>
    </row>
    <row r="248" spans="1:23" s="34" customFormat="1" ht="29" x14ac:dyDescent="0.35">
      <c r="A248" s="15"/>
      <c r="B248" s="35">
        <v>44611</v>
      </c>
      <c r="C248" s="14">
        <v>232</v>
      </c>
      <c r="D248" s="39" t="s">
        <v>2654</v>
      </c>
      <c r="E248" s="14" t="s">
        <v>520</v>
      </c>
      <c r="F248" s="74" t="s">
        <v>6</v>
      </c>
      <c r="G248" s="14" t="s">
        <v>5</v>
      </c>
      <c r="H248" s="14" t="s">
        <v>519</v>
      </c>
      <c r="I248" s="144"/>
      <c r="J248" s="14" t="s">
        <v>518</v>
      </c>
      <c r="K248" s="14" t="s">
        <v>1199</v>
      </c>
      <c r="L248" s="14" t="s">
        <v>2</v>
      </c>
      <c r="M248" s="38">
        <v>345901012257109</v>
      </c>
      <c r="N248" s="38">
        <v>867553051189983</v>
      </c>
      <c r="O248" s="38"/>
      <c r="P248" s="14" t="s">
        <v>517</v>
      </c>
      <c r="Q248" s="14" t="s">
        <v>516</v>
      </c>
      <c r="R248" s="40">
        <v>754</v>
      </c>
      <c r="S248" s="41" t="s">
        <v>2879</v>
      </c>
      <c r="T248" s="42">
        <v>44617</v>
      </c>
      <c r="U248" s="43">
        <v>44620</v>
      </c>
      <c r="V248" s="15"/>
      <c r="W248" s="15"/>
    </row>
    <row r="249" spans="1:23" s="34" customFormat="1" ht="29" x14ac:dyDescent="0.35">
      <c r="A249" s="15"/>
      <c r="B249" s="35">
        <v>44614</v>
      </c>
      <c r="C249" s="14">
        <v>233</v>
      </c>
      <c r="D249" s="74" t="s">
        <v>5003</v>
      </c>
      <c r="E249" s="14" t="s">
        <v>515</v>
      </c>
      <c r="F249" s="74" t="s">
        <v>138</v>
      </c>
      <c r="G249" s="17" t="s">
        <v>1805</v>
      </c>
      <c r="H249" s="17" t="s">
        <v>1787</v>
      </c>
      <c r="I249" s="145" t="s">
        <v>39</v>
      </c>
      <c r="J249" s="17" t="s">
        <v>24</v>
      </c>
      <c r="K249" s="14" t="s">
        <v>1200</v>
      </c>
      <c r="L249" s="14" t="s">
        <v>2</v>
      </c>
      <c r="M249" s="38">
        <v>8182597012</v>
      </c>
      <c r="N249" s="38">
        <v>865011034398256</v>
      </c>
      <c r="O249" s="14" t="s">
        <v>514</v>
      </c>
      <c r="P249" s="14" t="s">
        <v>39</v>
      </c>
      <c r="Q249" s="14" t="s">
        <v>8</v>
      </c>
      <c r="R249" s="40">
        <v>696</v>
      </c>
      <c r="S249" s="19" t="s">
        <v>5002</v>
      </c>
      <c r="T249" s="42">
        <v>44575</v>
      </c>
      <c r="U249" s="43">
        <v>44575</v>
      </c>
      <c r="V249" s="15" t="s">
        <v>1004</v>
      </c>
      <c r="W249" s="15"/>
    </row>
    <row r="250" spans="1:23" s="34" customFormat="1" ht="29" x14ac:dyDescent="0.35">
      <c r="A250" s="15"/>
      <c r="B250" s="35">
        <v>44617</v>
      </c>
      <c r="C250" s="14">
        <v>234</v>
      </c>
      <c r="D250" s="74" t="s">
        <v>2880</v>
      </c>
      <c r="E250" s="14" t="s">
        <v>2882</v>
      </c>
      <c r="F250" s="74" t="s">
        <v>138</v>
      </c>
      <c r="G250" s="17" t="s">
        <v>1805</v>
      </c>
      <c r="H250" s="14" t="s">
        <v>1767</v>
      </c>
      <c r="I250" s="144"/>
      <c r="J250" s="14" t="s">
        <v>141</v>
      </c>
      <c r="K250" s="14" t="s">
        <v>1201</v>
      </c>
      <c r="L250" s="14" t="s">
        <v>2</v>
      </c>
      <c r="M250" s="38">
        <v>8184662838</v>
      </c>
      <c r="N250" s="38">
        <v>860856040427647</v>
      </c>
      <c r="O250" s="38"/>
      <c r="P250" s="14" t="s">
        <v>512</v>
      </c>
      <c r="Q250" s="14" t="s">
        <v>8</v>
      </c>
      <c r="R250" s="40">
        <v>696</v>
      </c>
      <c r="S250" s="41" t="s">
        <v>2884</v>
      </c>
      <c r="T250" s="42" t="s">
        <v>2885</v>
      </c>
      <c r="U250" s="117">
        <v>293</v>
      </c>
      <c r="V250" s="15"/>
      <c r="W250" s="15"/>
    </row>
    <row r="251" spans="1:23" s="34" customFormat="1" ht="29" x14ac:dyDescent="0.35">
      <c r="A251" s="15"/>
      <c r="B251" s="35">
        <v>44621</v>
      </c>
      <c r="C251" s="14">
        <v>235</v>
      </c>
      <c r="D251" s="74" t="s">
        <v>2880</v>
      </c>
      <c r="E251" s="14" t="s">
        <v>513</v>
      </c>
      <c r="F251" s="74" t="s">
        <v>6</v>
      </c>
      <c r="G251" s="17" t="s">
        <v>1805</v>
      </c>
      <c r="H251" s="14" t="s">
        <v>1767</v>
      </c>
      <c r="I251" s="144"/>
      <c r="J251" s="14" t="s">
        <v>141</v>
      </c>
      <c r="K251" s="14" t="s">
        <v>1201</v>
      </c>
      <c r="L251" s="14" t="s">
        <v>2</v>
      </c>
      <c r="M251" s="38">
        <v>8184662838</v>
      </c>
      <c r="N251" s="38">
        <v>860856040427647</v>
      </c>
      <c r="O251" s="38"/>
      <c r="P251" s="14" t="s">
        <v>512</v>
      </c>
      <c r="Q251" s="14" t="s">
        <v>2887</v>
      </c>
      <c r="R251" s="40">
        <v>754</v>
      </c>
      <c r="S251" s="41" t="s">
        <v>2884</v>
      </c>
      <c r="T251" s="42" t="s">
        <v>2885</v>
      </c>
      <c r="U251" s="43">
        <v>44636</v>
      </c>
      <c r="V251" s="15"/>
      <c r="W251" s="15"/>
    </row>
    <row r="252" spans="1:23" s="34" customFormat="1" ht="29" x14ac:dyDescent="0.35">
      <c r="A252" s="15"/>
      <c r="B252" s="35">
        <v>44621</v>
      </c>
      <c r="C252" s="14">
        <v>236</v>
      </c>
      <c r="D252" s="74" t="s">
        <v>2881</v>
      </c>
      <c r="E252" s="14" t="s">
        <v>2883</v>
      </c>
      <c r="F252" s="74" t="s">
        <v>138</v>
      </c>
      <c r="G252" s="17" t="s">
        <v>1805</v>
      </c>
      <c r="H252" s="14" t="s">
        <v>1767</v>
      </c>
      <c r="I252" s="144"/>
      <c r="J252" s="14" t="s">
        <v>141</v>
      </c>
      <c r="K252" s="14" t="s">
        <v>1202</v>
      </c>
      <c r="L252" s="14" t="s">
        <v>2</v>
      </c>
      <c r="M252" s="38">
        <v>8184662838</v>
      </c>
      <c r="N252" s="38">
        <v>860856040427647</v>
      </c>
      <c r="O252" s="38"/>
      <c r="P252" s="14" t="s">
        <v>158</v>
      </c>
      <c r="Q252" s="14" t="s">
        <v>2888</v>
      </c>
      <c r="R252" s="40">
        <v>696</v>
      </c>
      <c r="S252" s="41" t="s">
        <v>2886</v>
      </c>
      <c r="T252" s="42">
        <v>44634</v>
      </c>
      <c r="U252" s="43">
        <v>44636</v>
      </c>
      <c r="V252" s="15"/>
      <c r="W252" s="15"/>
    </row>
    <row r="253" spans="1:23" s="34" customFormat="1" ht="29" x14ac:dyDescent="0.35">
      <c r="A253" s="15"/>
      <c r="B253" s="35">
        <v>44621</v>
      </c>
      <c r="C253" s="14">
        <v>237</v>
      </c>
      <c r="D253" s="85" t="s">
        <v>3780</v>
      </c>
      <c r="E253" s="14" t="s">
        <v>511</v>
      </c>
      <c r="F253" s="74" t="s">
        <v>138</v>
      </c>
      <c r="G253" s="17" t="s">
        <v>1805</v>
      </c>
      <c r="H253" s="14" t="s">
        <v>1767</v>
      </c>
      <c r="I253" s="144" t="s">
        <v>39</v>
      </c>
      <c r="J253" s="17" t="s">
        <v>26</v>
      </c>
      <c r="K253" s="14" t="s">
        <v>1203</v>
      </c>
      <c r="L253" s="14" t="s">
        <v>2</v>
      </c>
      <c r="M253" s="38">
        <v>8182580739</v>
      </c>
      <c r="N253" s="38">
        <v>865011034400078</v>
      </c>
      <c r="O253" s="16" t="s">
        <v>510</v>
      </c>
      <c r="P253" s="17" t="s">
        <v>39</v>
      </c>
      <c r="Q253" s="17" t="s">
        <v>4174</v>
      </c>
      <c r="R253" s="40">
        <v>696</v>
      </c>
      <c r="S253" s="19" t="s">
        <v>3584</v>
      </c>
      <c r="T253" s="42">
        <v>44575</v>
      </c>
      <c r="U253" s="43">
        <v>44575</v>
      </c>
      <c r="V253" s="15" t="s">
        <v>1004</v>
      </c>
      <c r="W253" s="15"/>
    </row>
    <row r="254" spans="1:23" s="34" customFormat="1" ht="29" x14ac:dyDescent="0.35">
      <c r="A254" s="15"/>
      <c r="B254" s="35">
        <v>44621</v>
      </c>
      <c r="C254" s="14">
        <v>237</v>
      </c>
      <c r="D254" s="85" t="s">
        <v>2986</v>
      </c>
      <c r="E254" s="46" t="s">
        <v>39</v>
      </c>
      <c r="F254" s="74" t="s">
        <v>40</v>
      </c>
      <c r="G254" s="14" t="s">
        <v>21</v>
      </c>
      <c r="H254" s="14" t="s">
        <v>1793</v>
      </c>
      <c r="I254" s="144"/>
      <c r="J254" s="17" t="s">
        <v>2987</v>
      </c>
      <c r="K254" s="14" t="s">
        <v>1204</v>
      </c>
      <c r="L254" s="14" t="s">
        <v>2</v>
      </c>
      <c r="M254" s="38" t="s">
        <v>39</v>
      </c>
      <c r="N254" s="38" t="s">
        <v>39</v>
      </c>
      <c r="O254" s="38"/>
      <c r="P254" s="14" t="s">
        <v>39</v>
      </c>
      <c r="Q254" s="17" t="s">
        <v>2559</v>
      </c>
      <c r="R254" s="40">
        <v>290</v>
      </c>
      <c r="S254" s="41" t="s">
        <v>40</v>
      </c>
      <c r="T254" s="19" t="s">
        <v>2977</v>
      </c>
      <c r="U254" s="43">
        <v>44636</v>
      </c>
      <c r="V254" s="15"/>
      <c r="W254" s="15"/>
    </row>
    <row r="255" spans="1:23" s="34" customFormat="1" ht="29" x14ac:dyDescent="0.35">
      <c r="A255" s="15"/>
      <c r="B255" s="35">
        <v>44622</v>
      </c>
      <c r="C255" s="14">
        <v>238</v>
      </c>
      <c r="D255" s="85" t="s">
        <v>2986</v>
      </c>
      <c r="E255" s="14" t="s">
        <v>509</v>
      </c>
      <c r="F255" s="74" t="s">
        <v>13</v>
      </c>
      <c r="G255" s="14" t="s">
        <v>21</v>
      </c>
      <c r="H255" s="14" t="s">
        <v>1793</v>
      </c>
      <c r="I255" s="144" t="s">
        <v>39</v>
      </c>
      <c r="J255" s="17" t="s">
        <v>2987</v>
      </c>
      <c r="K255" s="14" t="s">
        <v>1204</v>
      </c>
      <c r="L255" s="14" t="s">
        <v>2</v>
      </c>
      <c r="M255" s="37">
        <v>8128601126</v>
      </c>
      <c r="N255" s="38">
        <v>865011034399874</v>
      </c>
      <c r="O255" s="38" t="s">
        <v>3103</v>
      </c>
      <c r="P255" s="14" t="s">
        <v>3102</v>
      </c>
      <c r="Q255" s="17" t="s">
        <v>2559</v>
      </c>
      <c r="R255" s="40">
        <v>1999.84</v>
      </c>
      <c r="S255" s="19" t="s">
        <v>2977</v>
      </c>
      <c r="T255" s="42">
        <v>44575</v>
      </c>
      <c r="U255" s="43">
        <v>44575</v>
      </c>
      <c r="V255" s="15" t="s">
        <v>2896</v>
      </c>
      <c r="W255" s="15"/>
    </row>
    <row r="256" spans="1:23" s="34" customFormat="1" ht="29" x14ac:dyDescent="0.35">
      <c r="A256" s="15"/>
      <c r="B256" s="35">
        <v>44623</v>
      </c>
      <c r="C256" s="14">
        <v>239</v>
      </c>
      <c r="D256" s="85" t="s">
        <v>3374</v>
      </c>
      <c r="E256" s="14" t="s">
        <v>508</v>
      </c>
      <c r="F256" s="74" t="s">
        <v>13</v>
      </c>
      <c r="G256" s="17" t="s">
        <v>1805</v>
      </c>
      <c r="H256" s="17" t="s">
        <v>1787</v>
      </c>
      <c r="I256" s="145" t="s">
        <v>39</v>
      </c>
      <c r="J256" s="121" t="s">
        <v>3351</v>
      </c>
      <c r="K256" s="14" t="s">
        <v>1205</v>
      </c>
      <c r="L256" s="14" t="s">
        <v>2</v>
      </c>
      <c r="M256" s="38">
        <v>8111852082</v>
      </c>
      <c r="N256" s="38">
        <v>865011034399783</v>
      </c>
      <c r="O256" s="38" t="s">
        <v>3427</v>
      </c>
      <c r="P256" s="14" t="s">
        <v>3426</v>
      </c>
      <c r="Q256" s="17" t="s">
        <v>2559</v>
      </c>
      <c r="R256" s="40">
        <v>1999.84</v>
      </c>
      <c r="S256" s="19" t="s">
        <v>3329</v>
      </c>
      <c r="T256" s="42">
        <v>44634</v>
      </c>
      <c r="U256" s="43">
        <v>44636</v>
      </c>
      <c r="V256" s="44">
        <v>45036.339803240742</v>
      </c>
      <c r="W256" s="15"/>
    </row>
    <row r="257" spans="1:23" s="34" customFormat="1" ht="29" x14ac:dyDescent="0.35">
      <c r="A257" s="15"/>
      <c r="B257" s="35">
        <v>44623</v>
      </c>
      <c r="C257" s="14">
        <v>240</v>
      </c>
      <c r="D257" s="36" t="s">
        <v>2231</v>
      </c>
      <c r="E257" s="14" t="s">
        <v>508</v>
      </c>
      <c r="F257" s="74" t="s">
        <v>13</v>
      </c>
      <c r="G257" s="17" t="s">
        <v>1805</v>
      </c>
      <c r="H257" s="17" t="s">
        <v>1787</v>
      </c>
      <c r="I257" s="145"/>
      <c r="J257" s="17" t="s">
        <v>2232</v>
      </c>
      <c r="K257" s="14" t="s">
        <v>2233</v>
      </c>
      <c r="L257" s="14" t="s">
        <v>2</v>
      </c>
      <c r="M257" s="16">
        <v>8115034651</v>
      </c>
      <c r="N257" s="38">
        <v>865011034398900</v>
      </c>
      <c r="O257" s="38"/>
      <c r="P257" s="14" t="s">
        <v>507</v>
      </c>
      <c r="Q257" s="14" t="s">
        <v>8</v>
      </c>
      <c r="R257" s="40">
        <v>1999.84</v>
      </c>
      <c r="S257" s="19" t="s">
        <v>2200</v>
      </c>
      <c r="T257" s="42">
        <v>44634</v>
      </c>
      <c r="U257" s="43">
        <v>44636</v>
      </c>
      <c r="V257" s="44"/>
      <c r="W257" s="15"/>
    </row>
    <row r="258" spans="1:23" s="34" customFormat="1" ht="29" x14ac:dyDescent="0.35">
      <c r="A258" s="15"/>
      <c r="B258" s="35">
        <v>44624</v>
      </c>
      <c r="C258" s="14">
        <v>241</v>
      </c>
      <c r="D258" s="36" t="s">
        <v>1981</v>
      </c>
      <c r="E258" s="85" t="s">
        <v>2897</v>
      </c>
      <c r="F258" s="74" t="s">
        <v>13</v>
      </c>
      <c r="G258" s="14" t="s">
        <v>21</v>
      </c>
      <c r="H258" s="14" t="s">
        <v>1786</v>
      </c>
      <c r="I258" s="144"/>
      <c r="J258" s="14" t="s">
        <v>506</v>
      </c>
      <c r="K258" s="14" t="s">
        <v>1206</v>
      </c>
      <c r="L258" s="14" t="s">
        <v>2</v>
      </c>
      <c r="M258" s="38">
        <v>8114856573</v>
      </c>
      <c r="N258" s="38">
        <v>865011034400037</v>
      </c>
      <c r="O258" s="38"/>
      <c r="P258" s="14" t="s">
        <v>505</v>
      </c>
      <c r="Q258" s="14" t="s">
        <v>8</v>
      </c>
      <c r="R258" s="40">
        <v>1999.84</v>
      </c>
      <c r="S258" s="41" t="s">
        <v>1931</v>
      </c>
      <c r="T258" s="42">
        <v>44575</v>
      </c>
      <c r="U258" s="43">
        <v>44575</v>
      </c>
      <c r="V258" s="15" t="s">
        <v>1004</v>
      </c>
      <c r="W258" s="15"/>
    </row>
    <row r="259" spans="1:23" s="34" customFormat="1" ht="29" x14ac:dyDescent="0.35">
      <c r="A259" s="15"/>
      <c r="B259" s="35">
        <v>44624</v>
      </c>
      <c r="C259" s="14">
        <v>242</v>
      </c>
      <c r="D259" s="36" t="s">
        <v>2199</v>
      </c>
      <c r="E259" s="14" t="s">
        <v>504</v>
      </c>
      <c r="F259" s="74" t="s">
        <v>503</v>
      </c>
      <c r="G259" s="14" t="s">
        <v>21</v>
      </c>
      <c r="H259" s="14" t="s">
        <v>1786</v>
      </c>
      <c r="I259" s="144"/>
      <c r="J259" s="14" t="s">
        <v>502</v>
      </c>
      <c r="K259" s="14" t="s">
        <v>1207</v>
      </c>
      <c r="L259" s="14" t="s">
        <v>2</v>
      </c>
      <c r="M259" s="38">
        <v>8119174203</v>
      </c>
      <c r="N259" s="38">
        <v>865011033829848</v>
      </c>
      <c r="O259" s="38"/>
      <c r="P259" s="14" t="s">
        <v>501</v>
      </c>
      <c r="Q259" s="14" t="s">
        <v>8</v>
      </c>
      <c r="R259" s="40">
        <v>696</v>
      </c>
      <c r="S259" s="41" t="s">
        <v>2200</v>
      </c>
      <c r="T259" s="42">
        <v>44634</v>
      </c>
      <c r="U259" s="43">
        <v>44636</v>
      </c>
      <c r="V259" s="44"/>
      <c r="W259" s="15"/>
    </row>
    <row r="260" spans="1:23" s="34" customFormat="1" ht="29" x14ac:dyDescent="0.35">
      <c r="A260" s="15"/>
      <c r="B260" s="35">
        <v>44628</v>
      </c>
      <c r="C260" s="14">
        <v>243</v>
      </c>
      <c r="D260" s="39">
        <v>300</v>
      </c>
      <c r="E260" s="46" t="s">
        <v>39</v>
      </c>
      <c r="F260" s="74" t="s">
        <v>40</v>
      </c>
      <c r="G260" s="14" t="s">
        <v>21</v>
      </c>
      <c r="H260" s="14" t="s">
        <v>1786</v>
      </c>
      <c r="I260" s="144"/>
      <c r="J260" s="14" t="s">
        <v>490</v>
      </c>
      <c r="K260" s="14" t="s">
        <v>1209</v>
      </c>
      <c r="L260" s="14" t="s">
        <v>2</v>
      </c>
      <c r="M260" s="38"/>
      <c r="N260" s="38"/>
      <c r="O260" s="38"/>
      <c r="P260" s="55"/>
      <c r="Q260" s="14" t="s">
        <v>8</v>
      </c>
      <c r="R260" s="40">
        <v>290</v>
      </c>
      <c r="S260" s="41" t="s">
        <v>40</v>
      </c>
      <c r="T260" s="42">
        <v>44634</v>
      </c>
      <c r="U260" s="43">
        <v>44636</v>
      </c>
      <c r="V260" s="15"/>
      <c r="W260" s="15"/>
    </row>
    <row r="261" spans="1:23" s="34" customFormat="1" ht="29" x14ac:dyDescent="0.35">
      <c r="A261" s="15"/>
      <c r="B261" s="35">
        <v>44628</v>
      </c>
      <c r="C261" s="14">
        <v>243</v>
      </c>
      <c r="D261" s="85" t="s">
        <v>2583</v>
      </c>
      <c r="E261" s="14" t="s">
        <v>500</v>
      </c>
      <c r="F261" s="74" t="s">
        <v>13</v>
      </c>
      <c r="G261" s="14" t="s">
        <v>21</v>
      </c>
      <c r="H261" s="14" t="s">
        <v>1786</v>
      </c>
      <c r="I261" s="144" t="s">
        <v>39</v>
      </c>
      <c r="J261" s="14" t="s">
        <v>3283</v>
      </c>
      <c r="K261" s="14" t="s">
        <v>1208</v>
      </c>
      <c r="L261" s="14" t="s">
        <v>2</v>
      </c>
      <c r="M261" s="38">
        <v>8112123324</v>
      </c>
      <c r="N261" s="38">
        <v>865011030368402</v>
      </c>
      <c r="O261" s="38" t="s">
        <v>499</v>
      </c>
      <c r="P261" s="55" t="s">
        <v>39</v>
      </c>
      <c r="Q261" s="17" t="s">
        <v>2559</v>
      </c>
      <c r="R261" s="40">
        <v>1999.84</v>
      </c>
      <c r="S261" s="19" t="s">
        <v>2560</v>
      </c>
      <c r="T261" s="42">
        <v>44634</v>
      </c>
      <c r="U261" s="43">
        <v>44636</v>
      </c>
      <c r="V261" s="44">
        <v>45218.913831018515</v>
      </c>
      <c r="W261" s="15"/>
    </row>
    <row r="262" spans="1:23" s="34" customFormat="1" ht="29" x14ac:dyDescent="0.35">
      <c r="A262" s="15"/>
      <c r="B262" s="35">
        <v>44628</v>
      </c>
      <c r="C262" s="14">
        <v>244</v>
      </c>
      <c r="D262" s="85" t="s">
        <v>2988</v>
      </c>
      <c r="E262" s="14" t="s">
        <v>498</v>
      </c>
      <c r="F262" s="74" t="s">
        <v>13</v>
      </c>
      <c r="G262" s="14" t="s">
        <v>21</v>
      </c>
      <c r="H262" s="14" t="s">
        <v>1793</v>
      </c>
      <c r="I262" s="144" t="s">
        <v>39</v>
      </c>
      <c r="J262" s="14" t="s">
        <v>2927</v>
      </c>
      <c r="K262" s="14" t="s">
        <v>2926</v>
      </c>
      <c r="L262" s="14" t="s">
        <v>2</v>
      </c>
      <c r="M262" s="38">
        <v>8112440443</v>
      </c>
      <c r="N262" s="38">
        <v>865011034399296</v>
      </c>
      <c r="O262" s="38" t="s">
        <v>3106</v>
      </c>
      <c r="P262" s="14" t="s">
        <v>3105</v>
      </c>
      <c r="Q262" s="17" t="s">
        <v>2559</v>
      </c>
      <c r="R262" s="40">
        <v>1999.84</v>
      </c>
      <c r="S262" s="19" t="s">
        <v>2977</v>
      </c>
      <c r="T262" s="42">
        <v>44634</v>
      </c>
      <c r="U262" s="43">
        <v>44636</v>
      </c>
      <c r="V262" s="15" t="s">
        <v>1004</v>
      </c>
      <c r="W262" s="15"/>
    </row>
    <row r="263" spans="1:23" s="34" customFormat="1" ht="29" x14ac:dyDescent="0.35">
      <c r="A263" s="15"/>
      <c r="B263" s="35">
        <v>44634</v>
      </c>
      <c r="C263" s="14" t="s">
        <v>497</v>
      </c>
      <c r="D263" s="85" t="s">
        <v>3782</v>
      </c>
      <c r="E263" s="14" t="s">
        <v>493</v>
      </c>
      <c r="F263" s="74" t="s">
        <v>13</v>
      </c>
      <c r="G263" s="17" t="s">
        <v>1805</v>
      </c>
      <c r="H263" s="17" t="s">
        <v>1787</v>
      </c>
      <c r="I263" s="145" t="s">
        <v>39</v>
      </c>
      <c r="J263" s="17" t="s">
        <v>26</v>
      </c>
      <c r="K263" s="17" t="s">
        <v>3781</v>
      </c>
      <c r="L263" s="14" t="s">
        <v>2</v>
      </c>
      <c r="M263" s="38" t="s">
        <v>4200</v>
      </c>
      <c r="N263" s="38">
        <v>863844052849715</v>
      </c>
      <c r="O263" s="16" t="s">
        <v>39</v>
      </c>
      <c r="P263" s="17" t="s">
        <v>496</v>
      </c>
      <c r="Q263" s="17" t="s">
        <v>4174</v>
      </c>
      <c r="R263" s="40">
        <v>1999.84</v>
      </c>
      <c r="S263" s="19" t="s">
        <v>3584</v>
      </c>
      <c r="T263" s="42">
        <v>44634</v>
      </c>
      <c r="U263" s="43">
        <v>44636</v>
      </c>
      <c r="V263" s="15" t="s">
        <v>1004</v>
      </c>
      <c r="W263" s="15"/>
    </row>
    <row r="264" spans="1:23" s="34" customFormat="1" ht="29" x14ac:dyDescent="0.35">
      <c r="A264" s="15"/>
      <c r="B264" s="35">
        <v>44634</v>
      </c>
      <c r="C264" s="14" t="s">
        <v>495</v>
      </c>
      <c r="D264" s="36" t="s">
        <v>2515</v>
      </c>
      <c r="E264" s="14" t="s">
        <v>493</v>
      </c>
      <c r="F264" s="74" t="s">
        <v>13</v>
      </c>
      <c r="G264" s="17" t="s">
        <v>1805</v>
      </c>
      <c r="H264" s="17" t="s">
        <v>1787</v>
      </c>
      <c r="I264" s="145"/>
      <c r="J264" s="14" t="s">
        <v>141</v>
      </c>
      <c r="K264" s="14" t="s">
        <v>1210</v>
      </c>
      <c r="L264" s="14" t="s">
        <v>2</v>
      </c>
      <c r="M264" s="38">
        <v>8184663566</v>
      </c>
      <c r="N264" s="38">
        <v>359857084616879</v>
      </c>
      <c r="O264" s="16"/>
      <c r="P264" s="17" t="s">
        <v>2518</v>
      </c>
      <c r="Q264" s="14" t="s">
        <v>8</v>
      </c>
      <c r="R264" s="40">
        <v>1999.84</v>
      </c>
      <c r="S264" s="19" t="s">
        <v>2517</v>
      </c>
      <c r="T264" s="42">
        <v>44634</v>
      </c>
      <c r="U264" s="43">
        <v>44636</v>
      </c>
      <c r="V264" s="15"/>
      <c r="W264" s="15"/>
    </row>
    <row r="265" spans="1:23" s="34" customFormat="1" ht="29" x14ac:dyDescent="0.35">
      <c r="A265" s="15"/>
      <c r="B265" s="35">
        <v>44634</v>
      </c>
      <c r="C265" s="14" t="s">
        <v>494</v>
      </c>
      <c r="D265" s="85" t="s">
        <v>3783</v>
      </c>
      <c r="E265" s="14" t="s">
        <v>493</v>
      </c>
      <c r="F265" s="74" t="s">
        <v>13</v>
      </c>
      <c r="G265" s="17" t="s">
        <v>1805</v>
      </c>
      <c r="H265" s="17" t="s">
        <v>1787</v>
      </c>
      <c r="I265" s="145" t="s">
        <v>39</v>
      </c>
      <c r="J265" s="17" t="s">
        <v>26</v>
      </c>
      <c r="K265" s="14" t="s">
        <v>1211</v>
      </c>
      <c r="L265" s="14" t="s">
        <v>2</v>
      </c>
      <c r="M265" s="38">
        <v>8135518627</v>
      </c>
      <c r="N265" s="38">
        <v>865284040164182</v>
      </c>
      <c r="O265" s="16" t="s">
        <v>39</v>
      </c>
      <c r="P265" s="17" t="s">
        <v>492</v>
      </c>
      <c r="Q265" s="17" t="s">
        <v>4174</v>
      </c>
      <c r="R265" s="40">
        <v>1999.84</v>
      </c>
      <c r="S265" s="19" t="s">
        <v>3584</v>
      </c>
      <c r="T265" s="42">
        <v>44634</v>
      </c>
      <c r="U265" s="43">
        <v>44636</v>
      </c>
      <c r="V265" s="44">
        <v>45219.19871527778</v>
      </c>
      <c r="W265" s="15"/>
    </row>
    <row r="266" spans="1:23" s="34" customFormat="1" ht="29" x14ac:dyDescent="0.35">
      <c r="A266" s="15"/>
      <c r="B266" s="35">
        <v>44636</v>
      </c>
      <c r="C266" s="14">
        <v>248</v>
      </c>
      <c r="D266" s="85" t="s">
        <v>3785</v>
      </c>
      <c r="E266" s="14" t="s">
        <v>491</v>
      </c>
      <c r="F266" s="74" t="s">
        <v>13</v>
      </c>
      <c r="G266" s="17" t="s">
        <v>1805</v>
      </c>
      <c r="H266" s="14" t="s">
        <v>1767</v>
      </c>
      <c r="I266" s="145" t="s">
        <v>39</v>
      </c>
      <c r="J266" s="17" t="s">
        <v>3789</v>
      </c>
      <c r="K266" s="17" t="s">
        <v>3786</v>
      </c>
      <c r="L266" s="14" t="s">
        <v>2</v>
      </c>
      <c r="M266" s="16">
        <v>8135516718</v>
      </c>
      <c r="N266" s="38">
        <v>865011033828857</v>
      </c>
      <c r="O266" s="16" t="s">
        <v>3788</v>
      </c>
      <c r="P266" s="17" t="s">
        <v>3787</v>
      </c>
      <c r="Q266" s="17" t="s">
        <v>4174</v>
      </c>
      <c r="R266" s="40">
        <v>1999.84</v>
      </c>
      <c r="S266" s="19" t="s">
        <v>3584</v>
      </c>
      <c r="T266" s="42">
        <v>44634</v>
      </c>
      <c r="U266" s="43">
        <v>44636</v>
      </c>
      <c r="V266" s="15"/>
      <c r="W266" s="15"/>
    </row>
    <row r="267" spans="1:23" s="34" customFormat="1" ht="29" x14ac:dyDescent="0.35">
      <c r="A267" s="15"/>
      <c r="B267" s="35">
        <v>44637</v>
      </c>
      <c r="C267" s="14">
        <v>249</v>
      </c>
      <c r="D267" s="36" t="s">
        <v>1982</v>
      </c>
      <c r="E267" s="85" t="s">
        <v>1929</v>
      </c>
      <c r="F267" s="74" t="s">
        <v>13</v>
      </c>
      <c r="G267" s="14" t="s">
        <v>21</v>
      </c>
      <c r="H267" s="14" t="s">
        <v>1793</v>
      </c>
      <c r="I267" s="144"/>
      <c r="J267" s="14" t="s">
        <v>489</v>
      </c>
      <c r="K267" s="14" t="s">
        <v>1212</v>
      </c>
      <c r="L267" s="14" t="s">
        <v>2</v>
      </c>
      <c r="M267" s="38">
        <v>8135514813</v>
      </c>
      <c r="N267" s="38">
        <v>865011033830424</v>
      </c>
      <c r="O267" s="38"/>
      <c r="P267" s="14" t="s">
        <v>488</v>
      </c>
      <c r="Q267" s="14" t="s">
        <v>8</v>
      </c>
      <c r="R267" s="40">
        <v>1999.84</v>
      </c>
      <c r="S267" s="41" t="s">
        <v>1931</v>
      </c>
      <c r="T267" s="42">
        <v>44650</v>
      </c>
      <c r="U267" s="43">
        <v>44651</v>
      </c>
      <c r="V267" s="44">
        <v>44858.710821759261</v>
      </c>
      <c r="W267" s="15"/>
    </row>
    <row r="268" spans="1:23" s="34" customFormat="1" ht="29" x14ac:dyDescent="0.35">
      <c r="A268" s="15"/>
      <c r="B268" s="35">
        <v>44643</v>
      </c>
      <c r="C268" s="14">
        <v>250</v>
      </c>
      <c r="D268" s="85" t="s">
        <v>2990</v>
      </c>
      <c r="E268" s="14" t="s">
        <v>487</v>
      </c>
      <c r="F268" s="74" t="s">
        <v>13</v>
      </c>
      <c r="G268" s="14" t="s">
        <v>21</v>
      </c>
      <c r="H268" s="14" t="s">
        <v>1793</v>
      </c>
      <c r="I268" s="144" t="s">
        <v>39</v>
      </c>
      <c r="J268" s="17" t="s">
        <v>2991</v>
      </c>
      <c r="K268" s="14" t="s">
        <v>1213</v>
      </c>
      <c r="L268" s="14" t="s">
        <v>2</v>
      </c>
      <c r="M268" s="38">
        <v>8134058867</v>
      </c>
      <c r="N268" s="38">
        <v>863844053081573</v>
      </c>
      <c r="O268" s="38" t="s">
        <v>3108</v>
      </c>
      <c r="P268" s="14" t="s">
        <v>3107</v>
      </c>
      <c r="Q268" s="17" t="s">
        <v>2559</v>
      </c>
      <c r="R268" s="40">
        <v>1999.84</v>
      </c>
      <c r="S268" s="19" t="s">
        <v>2977</v>
      </c>
      <c r="T268" s="42">
        <v>44634</v>
      </c>
      <c r="U268" s="43">
        <v>44636</v>
      </c>
      <c r="V268" s="15" t="s">
        <v>1004</v>
      </c>
      <c r="W268" s="15"/>
    </row>
    <row r="269" spans="1:23" s="34" customFormat="1" ht="29" x14ac:dyDescent="0.35">
      <c r="A269" s="15"/>
      <c r="B269" s="35">
        <v>44645</v>
      </c>
      <c r="C269" s="14">
        <v>251</v>
      </c>
      <c r="D269" s="39">
        <v>308</v>
      </c>
      <c r="E269" s="14" t="s">
        <v>1537</v>
      </c>
      <c r="F269" s="74" t="s">
        <v>13</v>
      </c>
      <c r="G269" s="14" t="s">
        <v>21</v>
      </c>
      <c r="H269" s="14" t="s">
        <v>1793</v>
      </c>
      <c r="I269" s="144"/>
      <c r="J269" s="14" t="s">
        <v>486</v>
      </c>
      <c r="K269" s="14" t="s">
        <v>1214</v>
      </c>
      <c r="L269" s="14" t="s">
        <v>2</v>
      </c>
      <c r="M269" s="38">
        <v>8115777979</v>
      </c>
      <c r="N269" s="38">
        <v>864895031520578</v>
      </c>
      <c r="O269" s="38"/>
      <c r="P269" s="14" t="s">
        <v>485</v>
      </c>
      <c r="Q269" s="39" t="s">
        <v>1540</v>
      </c>
      <c r="R269" s="40">
        <v>1999.84</v>
      </c>
      <c r="S269" s="41" t="s">
        <v>1539</v>
      </c>
      <c r="T269" s="42">
        <v>44634</v>
      </c>
      <c r="U269" s="43">
        <v>44636</v>
      </c>
      <c r="V269" s="15" t="s">
        <v>1004</v>
      </c>
      <c r="W269" s="15"/>
    </row>
    <row r="270" spans="1:23" s="34" customFormat="1" ht="29" x14ac:dyDescent="0.35">
      <c r="A270" s="15"/>
      <c r="B270" s="35">
        <v>44646</v>
      </c>
      <c r="C270" s="14">
        <v>252</v>
      </c>
      <c r="D270" s="39">
        <v>309</v>
      </c>
      <c r="E270" s="14" t="s">
        <v>484</v>
      </c>
      <c r="F270" s="74" t="s">
        <v>13</v>
      </c>
      <c r="G270" s="17" t="s">
        <v>1805</v>
      </c>
      <c r="H270" s="14" t="s">
        <v>1767</v>
      </c>
      <c r="I270" s="144"/>
      <c r="J270" s="14" t="s">
        <v>483</v>
      </c>
      <c r="K270" s="14" t="s">
        <v>1215</v>
      </c>
      <c r="L270" s="14" t="s">
        <v>50</v>
      </c>
      <c r="M270" s="37">
        <v>8120010596</v>
      </c>
      <c r="N270" s="38">
        <v>865011030653704</v>
      </c>
      <c r="O270" s="38"/>
      <c r="P270" s="14" t="s">
        <v>482</v>
      </c>
      <c r="Q270" s="14" t="s">
        <v>8</v>
      </c>
      <c r="R270" s="40">
        <v>1999.84</v>
      </c>
      <c r="S270" s="41" t="s">
        <v>1539</v>
      </c>
      <c r="T270" s="42">
        <v>44634</v>
      </c>
      <c r="U270" s="43">
        <v>44636</v>
      </c>
      <c r="V270" s="15" t="s">
        <v>1004</v>
      </c>
      <c r="W270" s="15"/>
    </row>
    <row r="271" spans="1:23" s="34" customFormat="1" ht="29" x14ac:dyDescent="0.35">
      <c r="A271" s="15"/>
      <c r="B271" s="35">
        <v>44649</v>
      </c>
      <c r="C271" s="14">
        <v>253</v>
      </c>
      <c r="D271" s="85" t="s">
        <v>2974</v>
      </c>
      <c r="E271" s="14" t="s">
        <v>481</v>
      </c>
      <c r="F271" s="74" t="s">
        <v>13</v>
      </c>
      <c r="G271" s="14" t="s">
        <v>21</v>
      </c>
      <c r="H271" s="14" t="s">
        <v>1793</v>
      </c>
      <c r="I271" s="144" t="s">
        <v>39</v>
      </c>
      <c r="J271" s="17" t="s">
        <v>2976</v>
      </c>
      <c r="K271" s="17" t="s">
        <v>2975</v>
      </c>
      <c r="L271" s="14" t="s">
        <v>2</v>
      </c>
      <c r="M271" s="37">
        <v>8184662883</v>
      </c>
      <c r="N271" s="38">
        <v>865011031939177</v>
      </c>
      <c r="O271" s="38" t="s">
        <v>3110</v>
      </c>
      <c r="P271" s="14" t="s">
        <v>3109</v>
      </c>
      <c r="Q271" s="17" t="s">
        <v>2559</v>
      </c>
      <c r="R271" s="40">
        <v>1999.84</v>
      </c>
      <c r="S271" s="19" t="s">
        <v>2977</v>
      </c>
      <c r="T271" s="42">
        <v>44650</v>
      </c>
      <c r="U271" s="43">
        <v>44651</v>
      </c>
      <c r="V271" s="44">
        <v>45217.403634259259</v>
      </c>
      <c r="W271" s="15"/>
    </row>
    <row r="272" spans="1:23" s="34" customFormat="1" ht="29" x14ac:dyDescent="0.35">
      <c r="A272" s="15"/>
      <c r="B272" s="35">
        <v>44650</v>
      </c>
      <c r="C272" s="14">
        <v>254</v>
      </c>
      <c r="D272" s="39">
        <v>311</v>
      </c>
      <c r="E272" s="14" t="s">
        <v>270</v>
      </c>
      <c r="F272" s="74" t="s">
        <v>13</v>
      </c>
      <c r="G272" s="17" t="s">
        <v>1805</v>
      </c>
      <c r="H272" s="17" t="s">
        <v>1787</v>
      </c>
      <c r="I272" s="145"/>
      <c r="J272" s="14" t="s">
        <v>269</v>
      </c>
      <c r="K272" s="14" t="s">
        <v>1216</v>
      </c>
      <c r="L272" s="14" t="s">
        <v>2</v>
      </c>
      <c r="M272" s="37">
        <v>8118249748</v>
      </c>
      <c r="N272" s="38">
        <v>864893039429611</v>
      </c>
      <c r="O272" s="38"/>
      <c r="P272" s="14" t="s">
        <v>480</v>
      </c>
      <c r="Q272" s="14" t="s">
        <v>8</v>
      </c>
      <c r="R272" s="40">
        <v>1999.84</v>
      </c>
      <c r="S272" s="41" t="s">
        <v>270</v>
      </c>
      <c r="T272" s="42">
        <v>44650</v>
      </c>
      <c r="U272" s="43">
        <v>44651</v>
      </c>
      <c r="V272" s="15"/>
      <c r="W272" s="15"/>
    </row>
    <row r="273" spans="1:23" s="34" customFormat="1" ht="29" x14ac:dyDescent="0.35">
      <c r="A273" s="15"/>
      <c r="B273" s="35">
        <v>44650</v>
      </c>
      <c r="C273" s="14">
        <v>255</v>
      </c>
      <c r="D273" s="39">
        <v>312</v>
      </c>
      <c r="E273" s="14" t="s">
        <v>479</v>
      </c>
      <c r="F273" s="74" t="s">
        <v>13</v>
      </c>
      <c r="G273" s="17" t="s">
        <v>1805</v>
      </c>
      <c r="H273" s="14" t="s">
        <v>1767</v>
      </c>
      <c r="I273" s="144"/>
      <c r="J273" s="14" t="s">
        <v>244</v>
      </c>
      <c r="K273" s="14" t="s">
        <v>1611</v>
      </c>
      <c r="L273" s="14" t="s">
        <v>2</v>
      </c>
      <c r="M273" s="37">
        <v>8118003775</v>
      </c>
      <c r="N273" s="38">
        <v>864606048768229</v>
      </c>
      <c r="O273" s="38"/>
      <c r="P273" s="14" t="s">
        <v>478</v>
      </c>
      <c r="Q273" s="14" t="s">
        <v>8</v>
      </c>
      <c r="R273" s="40">
        <v>1999.84</v>
      </c>
      <c r="S273" s="41" t="s">
        <v>1607</v>
      </c>
      <c r="T273" s="42">
        <v>44634</v>
      </c>
      <c r="U273" s="43">
        <v>44636</v>
      </c>
      <c r="V273" s="15" t="s">
        <v>1608</v>
      </c>
      <c r="W273" s="15"/>
    </row>
    <row r="274" spans="1:23" s="34" customFormat="1" ht="29" x14ac:dyDescent="0.35">
      <c r="A274" s="15"/>
      <c r="B274" s="35">
        <v>44652</v>
      </c>
      <c r="C274" s="14">
        <v>256</v>
      </c>
      <c r="D274" s="85" t="s">
        <v>3790</v>
      </c>
      <c r="E274" s="14" t="s">
        <v>477</v>
      </c>
      <c r="F274" s="74" t="s">
        <v>13</v>
      </c>
      <c r="G274" s="17" t="s">
        <v>1805</v>
      </c>
      <c r="H274" s="14" t="s">
        <v>1767</v>
      </c>
      <c r="I274" s="145" t="s">
        <v>39</v>
      </c>
      <c r="J274" s="17" t="s">
        <v>26</v>
      </c>
      <c r="K274" s="14" t="s">
        <v>1217</v>
      </c>
      <c r="L274" s="14" t="s">
        <v>2</v>
      </c>
      <c r="M274" s="37">
        <v>8121917585</v>
      </c>
      <c r="N274" s="38">
        <v>865011034400334</v>
      </c>
      <c r="O274" s="16" t="s">
        <v>476</v>
      </c>
      <c r="P274" s="17" t="s">
        <v>39</v>
      </c>
      <c r="Q274" s="17" t="s">
        <v>4174</v>
      </c>
      <c r="R274" s="40">
        <v>1999.84</v>
      </c>
      <c r="S274" s="19" t="s">
        <v>3584</v>
      </c>
      <c r="T274" s="42">
        <v>44634</v>
      </c>
      <c r="U274" s="43">
        <v>44636</v>
      </c>
      <c r="V274" s="15" t="s">
        <v>1004</v>
      </c>
      <c r="W274" s="15"/>
    </row>
    <row r="275" spans="1:23" s="34" customFormat="1" ht="29" x14ac:dyDescent="0.35">
      <c r="A275" s="15"/>
      <c r="B275" s="35">
        <v>44656</v>
      </c>
      <c r="C275" s="14">
        <v>65</v>
      </c>
      <c r="D275" s="39" t="s">
        <v>2666</v>
      </c>
      <c r="E275" s="46" t="s">
        <v>462</v>
      </c>
      <c r="F275" s="74" t="s">
        <v>7</v>
      </c>
      <c r="G275" s="14" t="s">
        <v>5</v>
      </c>
      <c r="H275" s="14" t="s">
        <v>470</v>
      </c>
      <c r="I275" s="144"/>
      <c r="J275" s="14" t="s">
        <v>475</v>
      </c>
      <c r="K275" s="14" t="s">
        <v>1068</v>
      </c>
      <c r="L275" s="14" t="s">
        <v>2</v>
      </c>
      <c r="M275" s="38">
        <v>345901012591007</v>
      </c>
      <c r="N275" s="38">
        <v>863844050491528</v>
      </c>
      <c r="O275" s="38"/>
      <c r="P275" s="14" t="s">
        <v>474</v>
      </c>
      <c r="Q275" s="39" t="s">
        <v>2623</v>
      </c>
      <c r="R275" s="40">
        <v>0</v>
      </c>
      <c r="S275" s="41" t="s">
        <v>462</v>
      </c>
      <c r="T275" s="42">
        <v>44663</v>
      </c>
      <c r="U275" s="43">
        <v>44666</v>
      </c>
      <c r="V275" s="15"/>
      <c r="W275" s="15"/>
    </row>
    <row r="276" spans="1:23" s="34" customFormat="1" ht="29" x14ac:dyDescent="0.35">
      <c r="A276" s="15"/>
      <c r="B276" s="35">
        <v>44656</v>
      </c>
      <c r="C276" s="14">
        <v>111</v>
      </c>
      <c r="D276" s="74" t="s">
        <v>2718</v>
      </c>
      <c r="E276" s="14" t="s">
        <v>462</v>
      </c>
      <c r="F276" s="74" t="s">
        <v>7</v>
      </c>
      <c r="G276" s="14" t="s">
        <v>5</v>
      </c>
      <c r="H276" s="14" t="s">
        <v>473</v>
      </c>
      <c r="I276" s="144"/>
      <c r="J276" s="14" t="s">
        <v>472</v>
      </c>
      <c r="K276" s="14" t="s">
        <v>1104</v>
      </c>
      <c r="L276" s="14" t="s">
        <v>2</v>
      </c>
      <c r="M276" s="38">
        <v>8120013080</v>
      </c>
      <c r="N276" s="38">
        <v>865011033005340</v>
      </c>
      <c r="O276" s="38"/>
      <c r="P276" s="14" t="s">
        <v>471</v>
      </c>
      <c r="Q276" s="39" t="s">
        <v>2559</v>
      </c>
      <c r="R276" s="40">
        <v>0</v>
      </c>
      <c r="S276" s="41" t="s">
        <v>462</v>
      </c>
      <c r="T276" s="42">
        <v>44663</v>
      </c>
      <c r="U276" s="43">
        <v>44666</v>
      </c>
      <c r="V276" s="15"/>
      <c r="W276" s="15"/>
    </row>
    <row r="277" spans="1:23" s="34" customFormat="1" ht="29" x14ac:dyDescent="0.35">
      <c r="A277" s="15"/>
      <c r="B277" s="35">
        <v>44656</v>
      </c>
      <c r="C277" s="14">
        <v>112</v>
      </c>
      <c r="D277" s="74" t="s">
        <v>2722</v>
      </c>
      <c r="E277" s="14" t="s">
        <v>462</v>
      </c>
      <c r="F277" s="74" t="s">
        <v>7</v>
      </c>
      <c r="G277" s="14" t="s">
        <v>5</v>
      </c>
      <c r="H277" s="14" t="s">
        <v>470</v>
      </c>
      <c r="I277" s="144"/>
      <c r="J277" s="14" t="s">
        <v>469</v>
      </c>
      <c r="K277" s="14" t="s">
        <v>1105</v>
      </c>
      <c r="L277" s="14" t="s">
        <v>2</v>
      </c>
      <c r="M277" s="38">
        <v>8123525183</v>
      </c>
      <c r="N277" s="38">
        <v>865011031935282</v>
      </c>
      <c r="O277" s="38"/>
      <c r="P277" s="14" t="s">
        <v>468</v>
      </c>
      <c r="Q277" s="39" t="s">
        <v>2559</v>
      </c>
      <c r="R277" s="40">
        <v>0</v>
      </c>
      <c r="S277" s="41" t="s">
        <v>462</v>
      </c>
      <c r="T277" s="42">
        <v>44663</v>
      </c>
      <c r="U277" s="43">
        <v>44666</v>
      </c>
      <c r="V277" s="15"/>
      <c r="W277" s="15"/>
    </row>
    <row r="278" spans="1:23" s="34" customFormat="1" ht="29" x14ac:dyDescent="0.35">
      <c r="A278" s="15"/>
      <c r="B278" s="35">
        <v>44656</v>
      </c>
      <c r="C278" s="14">
        <v>156</v>
      </c>
      <c r="D278" s="74" t="s">
        <v>2773</v>
      </c>
      <c r="E278" s="14" t="s">
        <v>462</v>
      </c>
      <c r="F278" s="74" t="s">
        <v>7</v>
      </c>
      <c r="G278" s="14" t="s">
        <v>5</v>
      </c>
      <c r="H278" s="14" t="s">
        <v>467</v>
      </c>
      <c r="I278" s="144"/>
      <c r="J278" s="14" t="s">
        <v>466</v>
      </c>
      <c r="K278" s="14" t="s">
        <v>1139</v>
      </c>
      <c r="L278" s="14" t="s">
        <v>2</v>
      </c>
      <c r="M278" s="38">
        <v>8128617702</v>
      </c>
      <c r="N278" s="38">
        <v>865011034235847</v>
      </c>
      <c r="O278" s="38"/>
      <c r="P278" s="14" t="s">
        <v>465</v>
      </c>
      <c r="Q278" s="39" t="s">
        <v>2559</v>
      </c>
      <c r="R278" s="40">
        <v>0</v>
      </c>
      <c r="S278" s="41" t="s">
        <v>462</v>
      </c>
      <c r="T278" s="42">
        <v>44663</v>
      </c>
      <c r="U278" s="43">
        <v>44666</v>
      </c>
      <c r="V278" s="15"/>
      <c r="W278" s="15"/>
    </row>
    <row r="279" spans="1:23" s="34" customFormat="1" ht="29" x14ac:dyDescent="0.35">
      <c r="A279" s="15"/>
      <c r="B279" s="35">
        <v>44656</v>
      </c>
      <c r="C279" s="14">
        <v>200</v>
      </c>
      <c r="D279" s="74" t="s">
        <v>2825</v>
      </c>
      <c r="E279" s="14" t="s">
        <v>462</v>
      </c>
      <c r="F279" s="74" t="s">
        <v>7</v>
      </c>
      <c r="G279" s="14" t="s">
        <v>5</v>
      </c>
      <c r="H279" s="14" t="s">
        <v>1930</v>
      </c>
      <c r="I279" s="144"/>
      <c r="J279" s="14" t="s">
        <v>464</v>
      </c>
      <c r="K279" s="14" t="s">
        <v>1174</v>
      </c>
      <c r="L279" s="14" t="s">
        <v>2</v>
      </c>
      <c r="M279" s="38">
        <v>8135518602</v>
      </c>
      <c r="N279" s="38">
        <v>865011033829012</v>
      </c>
      <c r="O279" s="38"/>
      <c r="P279" s="14" t="s">
        <v>463</v>
      </c>
      <c r="Q279" s="39" t="s">
        <v>2559</v>
      </c>
      <c r="R279" s="40">
        <v>0</v>
      </c>
      <c r="S279" s="41" t="s">
        <v>462</v>
      </c>
      <c r="T279" s="42">
        <v>44663</v>
      </c>
      <c r="U279" s="43">
        <v>44666</v>
      </c>
      <c r="V279" s="15"/>
      <c r="W279" s="15"/>
    </row>
    <row r="280" spans="1:23" s="34" customFormat="1" ht="29" x14ac:dyDescent="0.35">
      <c r="A280" s="15"/>
      <c r="B280" s="35">
        <v>44656</v>
      </c>
      <c r="C280" s="14">
        <v>213</v>
      </c>
      <c r="D280" s="74" t="s">
        <v>2856</v>
      </c>
      <c r="E280" s="14" t="s">
        <v>462</v>
      </c>
      <c r="F280" s="74" t="s">
        <v>7</v>
      </c>
      <c r="G280" s="14" t="s">
        <v>5</v>
      </c>
      <c r="H280" s="14" t="s">
        <v>1930</v>
      </c>
      <c r="I280" s="144"/>
      <c r="J280" s="14" t="s">
        <v>461</v>
      </c>
      <c r="K280" s="14" t="s">
        <v>1186</v>
      </c>
      <c r="L280" s="14" t="s">
        <v>50</v>
      </c>
      <c r="M280" s="38">
        <v>8118227425</v>
      </c>
      <c r="N280" s="38">
        <v>865011030369293</v>
      </c>
      <c r="O280" s="38"/>
      <c r="P280" s="14" t="s">
        <v>460</v>
      </c>
      <c r="Q280" s="39" t="s">
        <v>2559</v>
      </c>
      <c r="R280" s="40">
        <v>0</v>
      </c>
      <c r="S280" s="41" t="s">
        <v>462</v>
      </c>
      <c r="T280" s="42">
        <v>44663</v>
      </c>
      <c r="U280" s="43">
        <v>44666</v>
      </c>
      <c r="V280" s="15"/>
      <c r="W280" s="15"/>
    </row>
    <row r="281" spans="1:23" s="34" customFormat="1" ht="29" x14ac:dyDescent="0.35">
      <c r="A281" s="15"/>
      <c r="B281" s="35">
        <v>44659</v>
      </c>
      <c r="C281" s="14">
        <v>205</v>
      </c>
      <c r="D281" s="74" t="s">
        <v>2834</v>
      </c>
      <c r="E281" s="14" t="s">
        <v>458</v>
      </c>
      <c r="F281" s="74" t="s">
        <v>6</v>
      </c>
      <c r="G281" s="14" t="s">
        <v>5</v>
      </c>
      <c r="H281" s="14" t="s">
        <v>11</v>
      </c>
      <c r="I281" s="145" t="s">
        <v>39</v>
      </c>
      <c r="J281" s="17" t="s">
        <v>2905</v>
      </c>
      <c r="K281" s="14" t="s">
        <v>1178</v>
      </c>
      <c r="L281" s="14" t="s">
        <v>2</v>
      </c>
      <c r="M281" s="38">
        <v>8135518618</v>
      </c>
      <c r="N281" s="38">
        <v>865011031939672</v>
      </c>
      <c r="O281" s="14" t="s">
        <v>457</v>
      </c>
      <c r="P281" s="14" t="s">
        <v>39</v>
      </c>
      <c r="Q281" s="14" t="s">
        <v>2842</v>
      </c>
      <c r="R281" s="40">
        <v>754</v>
      </c>
      <c r="S281" s="41" t="s">
        <v>2837</v>
      </c>
      <c r="T281" s="42" t="s">
        <v>2836</v>
      </c>
      <c r="U281" s="117">
        <v>315</v>
      </c>
      <c r="V281" s="15"/>
      <c r="W281" s="15"/>
    </row>
    <row r="282" spans="1:23" s="34" customFormat="1" ht="29" x14ac:dyDescent="0.35">
      <c r="A282" s="15"/>
      <c r="B282" s="35">
        <v>44659</v>
      </c>
      <c r="C282" s="14">
        <v>257</v>
      </c>
      <c r="D282" s="85" t="s">
        <v>2992</v>
      </c>
      <c r="E282" s="14" t="s">
        <v>454</v>
      </c>
      <c r="F282" s="74" t="s">
        <v>13</v>
      </c>
      <c r="G282" s="14" t="s">
        <v>5</v>
      </c>
      <c r="H282" s="14" t="s">
        <v>11</v>
      </c>
      <c r="I282" s="144" t="s">
        <v>39</v>
      </c>
      <c r="J282" s="14" t="s">
        <v>2905</v>
      </c>
      <c r="K282" s="14" t="s">
        <v>2904</v>
      </c>
      <c r="L282" s="14" t="s">
        <v>2</v>
      </c>
      <c r="M282" s="37">
        <v>8110468796</v>
      </c>
      <c r="N282" s="38">
        <v>865011034399346</v>
      </c>
      <c r="O282" s="38" t="s">
        <v>3112</v>
      </c>
      <c r="P282" s="14" t="s">
        <v>3111</v>
      </c>
      <c r="Q282" s="17" t="s">
        <v>2559</v>
      </c>
      <c r="R282" s="40">
        <v>1999.84</v>
      </c>
      <c r="S282" s="19" t="s">
        <v>2977</v>
      </c>
      <c r="T282" s="42">
        <v>44663</v>
      </c>
      <c r="U282" s="43">
        <v>44666</v>
      </c>
      <c r="V282" s="44">
        <v>45216.325428240743</v>
      </c>
      <c r="W282" s="15"/>
    </row>
    <row r="283" spans="1:23" s="34" customFormat="1" ht="29" x14ac:dyDescent="0.35">
      <c r="A283" s="15"/>
      <c r="B283" s="35">
        <v>44659</v>
      </c>
      <c r="C283" s="14">
        <v>205</v>
      </c>
      <c r="D283" s="85" t="s">
        <v>3793</v>
      </c>
      <c r="E283" s="14" t="s">
        <v>456</v>
      </c>
      <c r="F283" s="74" t="s">
        <v>138</v>
      </c>
      <c r="G283" s="14" t="s">
        <v>5</v>
      </c>
      <c r="H283" s="14" t="s">
        <v>11</v>
      </c>
      <c r="I283" s="145" t="s">
        <v>39</v>
      </c>
      <c r="J283" s="17" t="s">
        <v>2905</v>
      </c>
      <c r="K283" s="14" t="s">
        <v>1218</v>
      </c>
      <c r="L283" s="14" t="s">
        <v>2</v>
      </c>
      <c r="M283" s="38">
        <v>8135518618</v>
      </c>
      <c r="N283" s="38">
        <v>865011031939672</v>
      </c>
      <c r="O283" s="16" t="s">
        <v>455</v>
      </c>
      <c r="P283" s="17" t="s">
        <v>39</v>
      </c>
      <c r="Q283" s="17" t="s">
        <v>4174</v>
      </c>
      <c r="R283" s="40">
        <v>696</v>
      </c>
      <c r="S283" s="14" t="s">
        <v>2835</v>
      </c>
      <c r="T283" s="19" t="s">
        <v>3584</v>
      </c>
      <c r="U283" s="43">
        <v>44666</v>
      </c>
      <c r="V283" s="15" t="s">
        <v>1004</v>
      </c>
      <c r="W283" s="15"/>
    </row>
    <row r="284" spans="1:23" s="34" customFormat="1" ht="29" x14ac:dyDescent="0.35">
      <c r="A284" s="15"/>
      <c r="B284" s="35">
        <v>44659</v>
      </c>
      <c r="C284" s="14">
        <v>206</v>
      </c>
      <c r="D284" s="39">
        <v>316</v>
      </c>
      <c r="E284" s="14" t="s">
        <v>1607</v>
      </c>
      <c r="F284" s="74" t="s">
        <v>13</v>
      </c>
      <c r="G284" s="17" t="s">
        <v>1805</v>
      </c>
      <c r="H284" s="14" t="s">
        <v>1767</v>
      </c>
      <c r="I284" s="144"/>
      <c r="J284" s="14" t="s">
        <v>1613</v>
      </c>
      <c r="K284" s="14" t="s">
        <v>1612</v>
      </c>
      <c r="L284" s="14" t="s">
        <v>2</v>
      </c>
      <c r="M284" s="37">
        <v>8112120446</v>
      </c>
      <c r="N284" s="38">
        <v>865011034399205</v>
      </c>
      <c r="O284" s="38"/>
      <c r="P284" s="14" t="s">
        <v>453</v>
      </c>
      <c r="Q284" s="14" t="s">
        <v>8</v>
      </c>
      <c r="R284" s="40">
        <v>1999.84</v>
      </c>
      <c r="S284" s="41" t="s">
        <v>1607</v>
      </c>
      <c r="T284" s="42">
        <v>44663</v>
      </c>
      <c r="U284" s="43">
        <v>44666</v>
      </c>
      <c r="V284" s="15" t="s">
        <v>1608</v>
      </c>
      <c r="W284" s="15"/>
    </row>
    <row r="285" spans="1:23" s="34" customFormat="1" ht="29" x14ac:dyDescent="0.35">
      <c r="A285" s="15"/>
      <c r="B285" s="35">
        <v>44669</v>
      </c>
      <c r="C285" s="14">
        <v>207</v>
      </c>
      <c r="D285" s="36" t="s">
        <v>1983</v>
      </c>
      <c r="E285" s="85" t="s">
        <v>1929</v>
      </c>
      <c r="F285" s="74" t="s">
        <v>13</v>
      </c>
      <c r="G285" s="17" t="s">
        <v>1805</v>
      </c>
      <c r="H285" s="17" t="s">
        <v>1787</v>
      </c>
      <c r="I285" s="145"/>
      <c r="J285" s="14" t="s">
        <v>452</v>
      </c>
      <c r="K285" s="17" t="s">
        <v>1984</v>
      </c>
      <c r="L285" s="14" t="s">
        <v>2</v>
      </c>
      <c r="M285" s="55">
        <v>8115381049</v>
      </c>
      <c r="N285" s="56">
        <v>863844055040106</v>
      </c>
      <c r="O285" s="56"/>
      <c r="P285" s="55" t="s">
        <v>451</v>
      </c>
      <c r="Q285" s="14" t="s">
        <v>8</v>
      </c>
      <c r="R285" s="40">
        <v>1999.84</v>
      </c>
      <c r="S285" s="41" t="s">
        <v>1931</v>
      </c>
      <c r="T285" s="42">
        <v>44680</v>
      </c>
      <c r="U285" s="43">
        <v>44680</v>
      </c>
      <c r="V285" s="15" t="s">
        <v>1004</v>
      </c>
      <c r="W285" s="15"/>
    </row>
    <row r="286" spans="1:23" s="34" customFormat="1" ht="29" x14ac:dyDescent="0.35">
      <c r="A286" s="15"/>
      <c r="B286" s="35">
        <v>44671</v>
      </c>
      <c r="C286" s="14">
        <v>208</v>
      </c>
      <c r="D286" s="39">
        <v>318</v>
      </c>
      <c r="E286" s="14" t="s">
        <v>1607</v>
      </c>
      <c r="F286" s="74" t="s">
        <v>13</v>
      </c>
      <c r="G286" s="17" t="s">
        <v>1805</v>
      </c>
      <c r="H286" s="17" t="s">
        <v>1787</v>
      </c>
      <c r="I286" s="145"/>
      <c r="J286" s="14" t="s">
        <v>450</v>
      </c>
      <c r="K286" s="14" t="s">
        <v>1614</v>
      </c>
      <c r="L286" s="14" t="s">
        <v>2</v>
      </c>
      <c r="M286" s="14">
        <v>8112128873</v>
      </c>
      <c r="N286" s="38">
        <v>860856040422242</v>
      </c>
      <c r="O286" s="38"/>
      <c r="P286" s="14" t="s">
        <v>449</v>
      </c>
      <c r="Q286" s="14" t="s">
        <v>8</v>
      </c>
      <c r="R286" s="40">
        <v>1999.84</v>
      </c>
      <c r="S286" s="41" t="s">
        <v>1607</v>
      </c>
      <c r="T286" s="42">
        <v>44680</v>
      </c>
      <c r="U286" s="43">
        <v>44680</v>
      </c>
      <c r="V286" s="44" t="s">
        <v>1608</v>
      </c>
      <c r="W286" s="15"/>
    </row>
    <row r="287" spans="1:23" s="34" customFormat="1" ht="29" x14ac:dyDescent="0.35">
      <c r="A287" s="15"/>
      <c r="B287" s="35">
        <v>44671</v>
      </c>
      <c r="C287" s="14">
        <v>209</v>
      </c>
      <c r="D287" s="74">
        <v>319</v>
      </c>
      <c r="E287" s="14"/>
      <c r="F287" s="74" t="s">
        <v>13</v>
      </c>
      <c r="G287" s="17" t="s">
        <v>1805</v>
      </c>
      <c r="H287" s="17" t="s">
        <v>1787</v>
      </c>
      <c r="I287" s="145"/>
      <c r="J287" s="14" t="s">
        <v>448</v>
      </c>
      <c r="K287" s="14" t="s">
        <v>1219</v>
      </c>
      <c r="L287" s="14" t="s">
        <v>39</v>
      </c>
      <c r="M287" s="37" t="s">
        <v>39</v>
      </c>
      <c r="N287" s="38" t="s">
        <v>39</v>
      </c>
      <c r="O287" s="38"/>
      <c r="P287" s="14" t="s">
        <v>39</v>
      </c>
      <c r="Q287" s="14" t="s">
        <v>39</v>
      </c>
      <c r="R287" s="40">
        <v>0</v>
      </c>
      <c r="S287" s="41">
        <v>0</v>
      </c>
      <c r="T287" s="42">
        <v>44680</v>
      </c>
      <c r="U287" s="43">
        <v>44680</v>
      </c>
      <c r="V287" s="15"/>
      <c r="W287" s="15"/>
    </row>
    <row r="288" spans="1:23" s="34" customFormat="1" ht="29" x14ac:dyDescent="0.35">
      <c r="A288" s="15"/>
      <c r="B288" s="35">
        <v>44673</v>
      </c>
      <c r="C288" s="14">
        <v>210</v>
      </c>
      <c r="D288" s="36" t="s">
        <v>2235</v>
      </c>
      <c r="E288" s="14" t="s">
        <v>445</v>
      </c>
      <c r="F288" s="74" t="s">
        <v>13</v>
      </c>
      <c r="G288" s="17" t="s">
        <v>1805</v>
      </c>
      <c r="H288" s="14" t="s">
        <v>1793</v>
      </c>
      <c r="I288" s="144"/>
      <c r="J288" s="14" t="s">
        <v>447</v>
      </c>
      <c r="K288" s="14" t="s">
        <v>1220</v>
      </c>
      <c r="L288" s="14" t="s">
        <v>2</v>
      </c>
      <c r="M288" s="37">
        <v>8110499589</v>
      </c>
      <c r="N288" s="38">
        <v>865011034400177</v>
      </c>
      <c r="O288" s="38"/>
      <c r="P288" s="14" t="s">
        <v>446</v>
      </c>
      <c r="Q288" s="14" t="s">
        <v>8</v>
      </c>
      <c r="R288" s="40">
        <v>1999.84</v>
      </c>
      <c r="S288" s="19" t="s">
        <v>2200</v>
      </c>
      <c r="T288" s="42">
        <v>44680</v>
      </c>
      <c r="U288" s="43">
        <v>44680</v>
      </c>
      <c r="V288" s="15" t="s">
        <v>1004</v>
      </c>
      <c r="W288" s="15"/>
    </row>
    <row r="289" spans="1:23" s="34" customFormat="1" ht="29" x14ac:dyDescent="0.35">
      <c r="A289" s="15"/>
      <c r="B289" s="35">
        <v>44673</v>
      </c>
      <c r="C289" s="14">
        <v>211</v>
      </c>
      <c r="D289" s="36" t="s">
        <v>2236</v>
      </c>
      <c r="E289" s="14" t="s">
        <v>445</v>
      </c>
      <c r="F289" s="74" t="s">
        <v>13</v>
      </c>
      <c r="G289" s="17" t="s">
        <v>1805</v>
      </c>
      <c r="H289" s="14" t="s">
        <v>1767</v>
      </c>
      <c r="I289" s="144"/>
      <c r="J289" s="14" t="s">
        <v>2237</v>
      </c>
      <c r="K289" s="14" t="s">
        <v>2238</v>
      </c>
      <c r="L289" s="14" t="s">
        <v>2</v>
      </c>
      <c r="M289" s="37">
        <v>8114901191</v>
      </c>
      <c r="N289" s="38">
        <v>865011034398496</v>
      </c>
      <c r="O289" s="38"/>
      <c r="P289" s="14" t="s">
        <v>444</v>
      </c>
      <c r="Q289" s="14" t="s">
        <v>8</v>
      </c>
      <c r="R289" s="40">
        <v>1999.84</v>
      </c>
      <c r="S289" s="19" t="s">
        <v>2200</v>
      </c>
      <c r="T289" s="42">
        <v>44680</v>
      </c>
      <c r="U289" s="43">
        <v>44680</v>
      </c>
      <c r="V289" s="15"/>
      <c r="W289" s="15"/>
    </row>
    <row r="290" spans="1:23" s="34" customFormat="1" ht="29" x14ac:dyDescent="0.35">
      <c r="A290" s="15"/>
      <c r="B290" s="35">
        <v>44677</v>
      </c>
      <c r="C290" s="14">
        <v>212</v>
      </c>
      <c r="D290" s="85" t="s">
        <v>3795</v>
      </c>
      <c r="E290" s="14" t="s">
        <v>443</v>
      </c>
      <c r="F290" s="74" t="s">
        <v>13</v>
      </c>
      <c r="G290" s="17" t="s">
        <v>1805</v>
      </c>
      <c r="H290" s="14" t="s">
        <v>1767</v>
      </c>
      <c r="I290" s="145" t="s">
        <v>39</v>
      </c>
      <c r="J290" s="17" t="s">
        <v>26</v>
      </c>
      <c r="K290" s="14" t="s">
        <v>1221</v>
      </c>
      <c r="L290" s="14" t="s">
        <v>2</v>
      </c>
      <c r="M290" s="37">
        <v>8118227425</v>
      </c>
      <c r="N290" s="38">
        <v>865011034400342</v>
      </c>
      <c r="O290" s="16" t="s">
        <v>442</v>
      </c>
      <c r="P290" s="17" t="s">
        <v>39</v>
      </c>
      <c r="Q290" s="17" t="s">
        <v>4174</v>
      </c>
      <c r="R290" s="40">
        <v>1999.84</v>
      </c>
      <c r="S290" s="19" t="s">
        <v>3584</v>
      </c>
      <c r="T290" s="42">
        <v>44680</v>
      </c>
      <c r="U290" s="43">
        <v>44680</v>
      </c>
      <c r="V290" s="15" t="s">
        <v>1004</v>
      </c>
      <c r="W290" s="15"/>
    </row>
    <row r="291" spans="1:23" s="34" customFormat="1" ht="29" x14ac:dyDescent="0.35">
      <c r="A291" s="15"/>
      <c r="B291" s="35">
        <v>44678</v>
      </c>
      <c r="C291" s="14">
        <v>213</v>
      </c>
      <c r="D291" s="85" t="s">
        <v>3796</v>
      </c>
      <c r="E291" s="14" t="s">
        <v>441</v>
      </c>
      <c r="F291" s="74" t="s">
        <v>13</v>
      </c>
      <c r="G291" s="17" t="s">
        <v>1805</v>
      </c>
      <c r="H291" s="17" t="s">
        <v>1787</v>
      </c>
      <c r="I291" s="145" t="s">
        <v>39</v>
      </c>
      <c r="J291" s="17" t="s">
        <v>26</v>
      </c>
      <c r="K291" s="14" t="s">
        <v>1222</v>
      </c>
      <c r="L291" s="14" t="s">
        <v>2</v>
      </c>
      <c r="M291" s="37">
        <v>8135518602</v>
      </c>
      <c r="N291" s="38" t="s">
        <v>4210</v>
      </c>
      <c r="O291" s="16" t="s">
        <v>440</v>
      </c>
      <c r="P291" s="17" t="s">
        <v>39</v>
      </c>
      <c r="Q291" s="17" t="s">
        <v>4174</v>
      </c>
      <c r="R291" s="40">
        <v>1999.84</v>
      </c>
      <c r="S291" s="19" t="s">
        <v>3584</v>
      </c>
      <c r="T291" s="42">
        <v>44680</v>
      </c>
      <c r="U291" s="43">
        <v>44680</v>
      </c>
      <c r="V291" s="15" t="s">
        <v>1004</v>
      </c>
      <c r="W291" s="15"/>
    </row>
    <row r="292" spans="1:23" s="34" customFormat="1" ht="29" x14ac:dyDescent="0.35">
      <c r="A292" s="15"/>
      <c r="B292" s="35">
        <v>44684</v>
      </c>
      <c r="C292" s="14">
        <v>214</v>
      </c>
      <c r="D292" s="85" t="s">
        <v>3797</v>
      </c>
      <c r="E292" s="14" t="s">
        <v>439</v>
      </c>
      <c r="F292" s="74" t="s">
        <v>13</v>
      </c>
      <c r="G292" s="17" t="s">
        <v>1805</v>
      </c>
      <c r="H292" s="14" t="s">
        <v>1767</v>
      </c>
      <c r="I292" s="145" t="s">
        <v>39</v>
      </c>
      <c r="J292" s="17" t="s">
        <v>3801</v>
      </c>
      <c r="K292" s="14" t="s">
        <v>1223</v>
      </c>
      <c r="L292" s="14" t="s">
        <v>2</v>
      </c>
      <c r="M292" s="37">
        <v>345901014438521</v>
      </c>
      <c r="N292" s="38">
        <v>863844052847685</v>
      </c>
      <c r="O292" s="16" t="s">
        <v>3800</v>
      </c>
      <c r="P292" s="17" t="s">
        <v>3799</v>
      </c>
      <c r="Q292" s="17" t="s">
        <v>4174</v>
      </c>
      <c r="R292" s="40">
        <v>1999.84</v>
      </c>
      <c r="S292" s="19" t="s">
        <v>3584</v>
      </c>
      <c r="T292" s="42">
        <v>44680</v>
      </c>
      <c r="U292" s="43">
        <v>44680</v>
      </c>
      <c r="V292" s="15" t="s">
        <v>1004</v>
      </c>
      <c r="W292" s="15"/>
    </row>
    <row r="293" spans="1:23" s="34" customFormat="1" ht="29" x14ac:dyDescent="0.35">
      <c r="A293" s="15"/>
      <c r="B293" s="35">
        <v>44684</v>
      </c>
      <c r="C293" s="14">
        <v>215</v>
      </c>
      <c r="D293" s="85" t="s">
        <v>2981</v>
      </c>
      <c r="E293" s="14" t="s">
        <v>439</v>
      </c>
      <c r="F293" s="74" t="s">
        <v>13</v>
      </c>
      <c r="G293" s="17" t="s">
        <v>1805</v>
      </c>
      <c r="H293" s="14" t="s">
        <v>1767</v>
      </c>
      <c r="I293" s="144" t="s">
        <v>39</v>
      </c>
      <c r="J293" s="14" t="s">
        <v>2902</v>
      </c>
      <c r="K293" s="14" t="s">
        <v>2903</v>
      </c>
      <c r="L293" s="14" t="s">
        <v>2</v>
      </c>
      <c r="M293" s="37">
        <v>8134058860</v>
      </c>
      <c r="N293" s="38">
        <v>359857084513142</v>
      </c>
      <c r="O293" s="38" t="s">
        <v>3115</v>
      </c>
      <c r="P293" s="14" t="s">
        <v>3114</v>
      </c>
      <c r="Q293" s="17" t="s">
        <v>2559</v>
      </c>
      <c r="R293" s="40">
        <v>1999.84</v>
      </c>
      <c r="S293" s="19" t="s">
        <v>2977</v>
      </c>
      <c r="T293" s="42">
        <v>44680</v>
      </c>
      <c r="U293" s="43">
        <v>44680</v>
      </c>
      <c r="V293" s="15" t="s">
        <v>1004</v>
      </c>
      <c r="W293" s="15"/>
    </row>
    <row r="294" spans="1:23" s="34" customFormat="1" ht="29" x14ac:dyDescent="0.35">
      <c r="A294" s="15"/>
      <c r="B294" s="35">
        <v>44684</v>
      </c>
      <c r="C294" s="14" t="s">
        <v>39</v>
      </c>
      <c r="D294" s="74" t="s">
        <v>39</v>
      </c>
      <c r="E294" s="14" t="s">
        <v>39</v>
      </c>
      <c r="F294" s="74" t="s">
        <v>13</v>
      </c>
      <c r="G294" s="17" t="s">
        <v>1805</v>
      </c>
      <c r="H294" s="14" t="s">
        <v>1767</v>
      </c>
      <c r="I294" s="144"/>
      <c r="J294" s="14" t="s">
        <v>438</v>
      </c>
      <c r="K294" s="14" t="s">
        <v>437</v>
      </c>
      <c r="L294" s="14" t="s">
        <v>2</v>
      </c>
      <c r="M294" s="37" t="s">
        <v>39</v>
      </c>
      <c r="N294" s="38" t="s">
        <v>39</v>
      </c>
      <c r="O294" s="38"/>
      <c r="P294" s="14" t="s">
        <v>39</v>
      </c>
      <c r="Q294" s="14" t="s">
        <v>39</v>
      </c>
      <c r="R294" s="40">
        <v>0</v>
      </c>
      <c r="S294" s="41">
        <v>0</v>
      </c>
      <c r="T294" s="42"/>
      <c r="U294" s="43"/>
      <c r="V294" s="15"/>
      <c r="W294" s="15"/>
    </row>
    <row r="295" spans="1:23" s="34" customFormat="1" ht="29" x14ac:dyDescent="0.35">
      <c r="A295" s="15"/>
      <c r="B295" s="35">
        <v>44686</v>
      </c>
      <c r="C295" s="14">
        <v>216</v>
      </c>
      <c r="D295" s="85" t="s">
        <v>2585</v>
      </c>
      <c r="E295" s="14" t="s">
        <v>436</v>
      </c>
      <c r="F295" s="74" t="s">
        <v>13</v>
      </c>
      <c r="G295" s="17" t="s">
        <v>1805</v>
      </c>
      <c r="H295" s="14" t="s">
        <v>1767</v>
      </c>
      <c r="I295" s="144" t="s">
        <v>39</v>
      </c>
      <c r="J295" s="14" t="s">
        <v>3285</v>
      </c>
      <c r="K295" s="14" t="s">
        <v>1224</v>
      </c>
      <c r="L295" s="14" t="s">
        <v>2</v>
      </c>
      <c r="M295" s="37">
        <v>8120107525</v>
      </c>
      <c r="N295" s="38">
        <v>865011034398975</v>
      </c>
      <c r="O295" s="119" t="s">
        <v>3287</v>
      </c>
      <c r="P295" s="63" t="s">
        <v>3286</v>
      </c>
      <c r="Q295" s="17" t="s">
        <v>2559</v>
      </c>
      <c r="R295" s="40">
        <v>1999.84</v>
      </c>
      <c r="S295" s="19" t="s">
        <v>2560</v>
      </c>
      <c r="T295" s="42">
        <v>44680</v>
      </c>
      <c r="U295" s="43">
        <v>44680</v>
      </c>
      <c r="V295" s="15"/>
      <c r="W295" s="15"/>
    </row>
    <row r="296" spans="1:23" s="34" customFormat="1" ht="29" x14ac:dyDescent="0.35">
      <c r="A296" s="15"/>
      <c r="B296" s="35">
        <v>44690</v>
      </c>
      <c r="C296" s="14">
        <v>217</v>
      </c>
      <c r="D296" s="36" t="s">
        <v>2239</v>
      </c>
      <c r="E296" s="14" t="s">
        <v>435</v>
      </c>
      <c r="F296" s="74" t="s">
        <v>13</v>
      </c>
      <c r="G296" s="14" t="s">
        <v>21</v>
      </c>
      <c r="H296" s="14" t="s">
        <v>434</v>
      </c>
      <c r="I296" s="144"/>
      <c r="J296" s="14" t="s">
        <v>433</v>
      </c>
      <c r="K296" s="14" t="s">
        <v>1226</v>
      </c>
      <c r="L296" s="14" t="s">
        <v>2</v>
      </c>
      <c r="M296" s="37">
        <v>8120107552</v>
      </c>
      <c r="N296" s="38">
        <v>865011034396243</v>
      </c>
      <c r="O296" s="38"/>
      <c r="P296" s="14" t="s">
        <v>432</v>
      </c>
      <c r="Q296" s="14" t="s">
        <v>8</v>
      </c>
      <c r="R296" s="40">
        <v>1999.84</v>
      </c>
      <c r="S296" s="41" t="s">
        <v>2200</v>
      </c>
      <c r="T296" s="42">
        <v>44680</v>
      </c>
      <c r="U296" s="43">
        <v>44680</v>
      </c>
      <c r="V296" s="15"/>
      <c r="W296" s="15"/>
    </row>
    <row r="297" spans="1:23" s="34" customFormat="1" ht="29" x14ac:dyDescent="0.35">
      <c r="A297" s="15"/>
      <c r="B297" s="35">
        <v>44692</v>
      </c>
      <c r="C297" s="14">
        <v>218</v>
      </c>
      <c r="D297" s="36" t="s">
        <v>1985</v>
      </c>
      <c r="E297" s="85" t="s">
        <v>1929</v>
      </c>
      <c r="F297" s="74" t="s">
        <v>13</v>
      </c>
      <c r="G297" s="14" t="s">
        <v>21</v>
      </c>
      <c r="H297" s="14" t="s">
        <v>1793</v>
      </c>
      <c r="I297" s="144"/>
      <c r="J297" s="14" t="s">
        <v>431</v>
      </c>
      <c r="K297" s="14" t="s">
        <v>1225</v>
      </c>
      <c r="L297" s="14" t="s">
        <v>2</v>
      </c>
      <c r="M297" s="37">
        <v>8123191539</v>
      </c>
      <c r="N297" s="38">
        <v>865011034398413</v>
      </c>
      <c r="O297" s="38"/>
      <c r="P297" s="14" t="s">
        <v>430</v>
      </c>
      <c r="Q297" s="14" t="s">
        <v>8</v>
      </c>
      <c r="R297" s="40">
        <v>1999.84</v>
      </c>
      <c r="S297" s="41" t="s">
        <v>1931</v>
      </c>
      <c r="T297" s="42">
        <v>44680</v>
      </c>
      <c r="U297" s="43">
        <v>44680</v>
      </c>
      <c r="V297" s="15"/>
      <c r="W297" s="15"/>
    </row>
    <row r="298" spans="1:23" s="34" customFormat="1" ht="29" x14ac:dyDescent="0.35">
      <c r="A298" s="15"/>
      <c r="B298" s="35">
        <v>44692</v>
      </c>
      <c r="C298" s="14">
        <v>219</v>
      </c>
      <c r="D298" s="85" t="s">
        <v>2978</v>
      </c>
      <c r="E298" s="14" t="s">
        <v>429</v>
      </c>
      <c r="F298" s="74" t="s">
        <v>13</v>
      </c>
      <c r="G298" s="17" t="s">
        <v>1805</v>
      </c>
      <c r="H298" s="14" t="s">
        <v>1767</v>
      </c>
      <c r="I298" s="144" t="s">
        <v>39</v>
      </c>
      <c r="J298" s="14" t="s">
        <v>3117</v>
      </c>
      <c r="K298" s="14" t="s">
        <v>1227</v>
      </c>
      <c r="L298" s="14" t="s">
        <v>2</v>
      </c>
      <c r="M298" s="37">
        <v>8118003351</v>
      </c>
      <c r="N298" s="38">
        <v>865011034234865</v>
      </c>
      <c r="O298" s="14" t="s">
        <v>428</v>
      </c>
      <c r="P298" s="17" t="s">
        <v>3118</v>
      </c>
      <c r="Q298" s="17" t="s">
        <v>2559</v>
      </c>
      <c r="R298" s="40">
        <v>1999.84</v>
      </c>
      <c r="S298" s="19" t="s">
        <v>2977</v>
      </c>
      <c r="T298" s="42">
        <v>44694</v>
      </c>
      <c r="U298" s="43">
        <v>44694</v>
      </c>
      <c r="V298" s="44">
        <v>44712.707754629628</v>
      </c>
      <c r="W298" s="15"/>
    </row>
    <row r="299" spans="1:23" s="34" customFormat="1" ht="29" x14ac:dyDescent="0.35">
      <c r="A299" s="15"/>
      <c r="B299" s="35">
        <v>44697</v>
      </c>
      <c r="C299" s="14">
        <v>220</v>
      </c>
      <c r="D299" s="39">
        <v>330</v>
      </c>
      <c r="E299" s="14" t="s">
        <v>427</v>
      </c>
      <c r="F299" s="74" t="s">
        <v>13</v>
      </c>
      <c r="G299" s="14" t="s">
        <v>21</v>
      </c>
      <c r="H299" s="14" t="s">
        <v>11</v>
      </c>
      <c r="I299" s="144"/>
      <c r="J299" s="14" t="s">
        <v>426</v>
      </c>
      <c r="K299" s="14" t="s">
        <v>1228</v>
      </c>
      <c r="L299" s="14" t="s">
        <v>2</v>
      </c>
      <c r="M299" s="37">
        <v>8120020301</v>
      </c>
      <c r="N299" s="38">
        <v>865011034399569</v>
      </c>
      <c r="O299" s="38"/>
      <c r="P299" s="14" t="s">
        <v>425</v>
      </c>
      <c r="Q299" s="14" t="s">
        <v>8</v>
      </c>
      <c r="R299" s="40">
        <v>1999.84</v>
      </c>
      <c r="S299" s="41" t="s">
        <v>1607</v>
      </c>
      <c r="T299" s="42">
        <v>44712</v>
      </c>
      <c r="U299" s="43">
        <v>44712</v>
      </c>
      <c r="V299" s="44" t="s">
        <v>1608</v>
      </c>
      <c r="W299" s="15"/>
    </row>
    <row r="300" spans="1:23" s="34" customFormat="1" ht="29" x14ac:dyDescent="0.35">
      <c r="A300" s="15"/>
      <c r="B300" s="35">
        <v>44699</v>
      </c>
      <c r="C300" s="14">
        <v>221</v>
      </c>
      <c r="D300" s="36" t="s">
        <v>2240</v>
      </c>
      <c r="E300" s="14" t="s">
        <v>423</v>
      </c>
      <c r="F300" s="74" t="s">
        <v>13</v>
      </c>
      <c r="G300" s="14" t="s">
        <v>21</v>
      </c>
      <c r="H300" s="14" t="s">
        <v>1786</v>
      </c>
      <c r="I300" s="144"/>
      <c r="J300" s="14" t="s">
        <v>424</v>
      </c>
      <c r="K300" s="14" t="s">
        <v>1229</v>
      </c>
      <c r="L300" s="14" t="s">
        <v>2</v>
      </c>
      <c r="M300" s="37">
        <v>8180103762</v>
      </c>
      <c r="N300" s="38">
        <v>865011034396490</v>
      </c>
      <c r="O300" s="38"/>
      <c r="P300" s="14" t="s">
        <v>2241</v>
      </c>
      <c r="Q300" s="14" t="s">
        <v>8</v>
      </c>
      <c r="R300" s="40">
        <v>1999.84</v>
      </c>
      <c r="S300" s="41" t="s">
        <v>2200</v>
      </c>
      <c r="T300" s="42">
        <v>44712</v>
      </c>
      <c r="U300" s="43">
        <v>44712</v>
      </c>
      <c r="V300" s="15" t="s">
        <v>1004</v>
      </c>
      <c r="W300" s="15"/>
    </row>
    <row r="301" spans="1:23" s="34" customFormat="1" ht="29" x14ac:dyDescent="0.35">
      <c r="A301" s="15"/>
      <c r="B301" s="35">
        <v>44699</v>
      </c>
      <c r="C301" s="14">
        <v>222</v>
      </c>
      <c r="D301" s="85" t="s">
        <v>2994</v>
      </c>
      <c r="E301" s="14" t="s">
        <v>423</v>
      </c>
      <c r="F301" s="74" t="s">
        <v>13</v>
      </c>
      <c r="G301" s="17" t="s">
        <v>1805</v>
      </c>
      <c r="H301" s="14" t="s">
        <v>1767</v>
      </c>
      <c r="I301" s="144" t="s">
        <v>39</v>
      </c>
      <c r="J301" s="14" t="s">
        <v>111</v>
      </c>
      <c r="K301" s="14" t="s">
        <v>2959</v>
      </c>
      <c r="L301" s="14" t="s">
        <v>2</v>
      </c>
      <c r="M301" s="37">
        <v>8180209042</v>
      </c>
      <c r="N301" s="38">
        <v>865011034400102</v>
      </c>
      <c r="O301" s="38" t="s">
        <v>3120</v>
      </c>
      <c r="P301" s="14" t="s">
        <v>422</v>
      </c>
      <c r="Q301" s="17" t="s">
        <v>2559</v>
      </c>
      <c r="R301" s="40">
        <v>1999.84</v>
      </c>
      <c r="S301" s="19" t="s">
        <v>2977</v>
      </c>
      <c r="T301" s="42">
        <v>44712</v>
      </c>
      <c r="U301" s="43">
        <v>44712</v>
      </c>
      <c r="V301" s="15" t="s">
        <v>1004</v>
      </c>
      <c r="W301" s="15"/>
    </row>
    <row r="302" spans="1:23" s="34" customFormat="1" ht="29" x14ac:dyDescent="0.35">
      <c r="A302" s="15"/>
      <c r="B302" s="35">
        <v>44701</v>
      </c>
      <c r="C302" s="14">
        <v>223</v>
      </c>
      <c r="D302" s="85" t="s">
        <v>3802</v>
      </c>
      <c r="E302" s="14" t="s">
        <v>420</v>
      </c>
      <c r="F302" s="74" t="s">
        <v>13</v>
      </c>
      <c r="G302" s="14" t="s">
        <v>21</v>
      </c>
      <c r="H302" s="14" t="s">
        <v>1786</v>
      </c>
      <c r="I302" s="145" t="s">
        <v>39</v>
      </c>
      <c r="J302" s="17" t="s">
        <v>3803</v>
      </c>
      <c r="K302" s="14" t="s">
        <v>1230</v>
      </c>
      <c r="L302" s="14" t="s">
        <v>2</v>
      </c>
      <c r="M302" s="37">
        <v>8181615688</v>
      </c>
      <c r="N302" s="38">
        <v>865011031971287</v>
      </c>
      <c r="O302" s="16" t="s">
        <v>421</v>
      </c>
      <c r="P302" s="17" t="s">
        <v>39</v>
      </c>
      <c r="Q302" s="17" t="s">
        <v>4174</v>
      </c>
      <c r="R302" s="40">
        <v>1999.84</v>
      </c>
      <c r="S302" s="19" t="s">
        <v>3584</v>
      </c>
      <c r="T302" s="42">
        <v>44712</v>
      </c>
      <c r="U302" s="43">
        <v>44712</v>
      </c>
      <c r="V302" s="15" t="s">
        <v>1004</v>
      </c>
      <c r="W302" s="15"/>
    </row>
    <row r="303" spans="1:23" s="34" customFormat="1" ht="29" x14ac:dyDescent="0.35">
      <c r="A303" s="15"/>
      <c r="B303" s="35">
        <v>44701</v>
      </c>
      <c r="C303" s="14">
        <v>224</v>
      </c>
      <c r="D303" s="85" t="s">
        <v>3804</v>
      </c>
      <c r="E303" s="14" t="s">
        <v>420</v>
      </c>
      <c r="F303" s="74" t="s">
        <v>13</v>
      </c>
      <c r="G303" s="14" t="s">
        <v>21</v>
      </c>
      <c r="H303" s="14" t="s">
        <v>1786</v>
      </c>
      <c r="I303" s="145" t="s">
        <v>39</v>
      </c>
      <c r="J303" s="17" t="s">
        <v>3807</v>
      </c>
      <c r="K303" s="14" t="s">
        <v>1231</v>
      </c>
      <c r="L303" s="14" t="s">
        <v>2</v>
      </c>
      <c r="M303" s="37">
        <v>8126311141</v>
      </c>
      <c r="N303" s="38">
        <v>865011030429253</v>
      </c>
      <c r="O303" s="38" t="s">
        <v>3806</v>
      </c>
      <c r="P303" s="14" t="s">
        <v>3805</v>
      </c>
      <c r="Q303" s="17" t="s">
        <v>4174</v>
      </c>
      <c r="R303" s="40">
        <v>1999.84</v>
      </c>
      <c r="S303" s="19" t="s">
        <v>3584</v>
      </c>
      <c r="T303" s="42">
        <v>44712</v>
      </c>
      <c r="U303" s="43">
        <v>44712</v>
      </c>
      <c r="V303" s="15" t="s">
        <v>1004</v>
      </c>
      <c r="W303" s="15"/>
    </row>
    <row r="304" spans="1:23" s="34" customFormat="1" ht="29" x14ac:dyDescent="0.35">
      <c r="A304" s="15"/>
      <c r="B304" s="35">
        <v>44707</v>
      </c>
      <c r="C304" s="14">
        <v>225</v>
      </c>
      <c r="D304" s="85" t="s">
        <v>2997</v>
      </c>
      <c r="E304" s="14" t="s">
        <v>419</v>
      </c>
      <c r="F304" s="74" t="s">
        <v>13</v>
      </c>
      <c r="G304" s="17" t="s">
        <v>1805</v>
      </c>
      <c r="H304" s="14" t="s">
        <v>1767</v>
      </c>
      <c r="I304" s="144" t="s">
        <v>39</v>
      </c>
      <c r="J304" s="14" t="s">
        <v>2906</v>
      </c>
      <c r="K304" s="14" t="s">
        <v>1232</v>
      </c>
      <c r="L304" s="14" t="s">
        <v>2</v>
      </c>
      <c r="M304" s="37">
        <v>8126205192</v>
      </c>
      <c r="N304" s="38">
        <v>865011034396706</v>
      </c>
      <c r="O304" s="38" t="s">
        <v>3124</v>
      </c>
      <c r="P304" s="14" t="s">
        <v>3123</v>
      </c>
      <c r="Q304" s="17" t="s">
        <v>2559</v>
      </c>
      <c r="R304" s="40">
        <v>1999.84</v>
      </c>
      <c r="S304" s="19" t="s">
        <v>2977</v>
      </c>
      <c r="T304" s="42">
        <v>44712</v>
      </c>
      <c r="U304" s="43">
        <v>44712</v>
      </c>
      <c r="V304" s="44">
        <v>45218.607037037036</v>
      </c>
      <c r="W304" s="15"/>
    </row>
    <row r="305" spans="1:23" s="34" customFormat="1" ht="29" x14ac:dyDescent="0.35">
      <c r="A305" s="15"/>
      <c r="B305" s="35">
        <v>44707</v>
      </c>
      <c r="C305" s="14">
        <v>226</v>
      </c>
      <c r="D305" s="85" t="s">
        <v>3809</v>
      </c>
      <c r="E305" s="14" t="s">
        <v>419</v>
      </c>
      <c r="F305" s="74" t="s">
        <v>13</v>
      </c>
      <c r="G305" s="17" t="s">
        <v>1805</v>
      </c>
      <c r="H305" s="17" t="s">
        <v>1787</v>
      </c>
      <c r="I305" s="145" t="s">
        <v>39</v>
      </c>
      <c r="J305" s="17" t="s">
        <v>26</v>
      </c>
      <c r="K305" s="14" t="s">
        <v>1233</v>
      </c>
      <c r="L305" s="14" t="s">
        <v>2</v>
      </c>
      <c r="M305" s="37">
        <v>8126210845</v>
      </c>
      <c r="N305" s="38">
        <v>865011034397126</v>
      </c>
      <c r="O305" s="16" t="s">
        <v>3811</v>
      </c>
      <c r="P305" s="17" t="s">
        <v>3810</v>
      </c>
      <c r="Q305" s="17" t="s">
        <v>4174</v>
      </c>
      <c r="R305" s="40">
        <v>1999.84</v>
      </c>
      <c r="S305" s="19" t="s">
        <v>3584</v>
      </c>
      <c r="T305" s="42">
        <v>44712</v>
      </c>
      <c r="U305" s="43">
        <v>44712</v>
      </c>
      <c r="V305" s="15" t="s">
        <v>1004</v>
      </c>
      <c r="W305" s="15"/>
    </row>
    <row r="306" spans="1:23" s="34" customFormat="1" ht="29" x14ac:dyDescent="0.35">
      <c r="A306" s="15"/>
      <c r="B306" s="35">
        <v>44708</v>
      </c>
      <c r="C306" s="14">
        <v>227</v>
      </c>
      <c r="D306" s="39">
        <v>337</v>
      </c>
      <c r="E306" s="14" t="s">
        <v>1607</v>
      </c>
      <c r="F306" s="74" t="s">
        <v>13</v>
      </c>
      <c r="G306" s="17" t="s">
        <v>1805</v>
      </c>
      <c r="H306" s="14" t="s">
        <v>1767</v>
      </c>
      <c r="I306" s="144"/>
      <c r="J306" s="14" t="s">
        <v>418</v>
      </c>
      <c r="K306" s="14" t="s">
        <v>1234</v>
      </c>
      <c r="L306" s="14" t="s">
        <v>2</v>
      </c>
      <c r="M306" s="37">
        <v>8126210862</v>
      </c>
      <c r="N306" s="38">
        <v>865011034398710</v>
      </c>
      <c r="O306" s="38"/>
      <c r="P306" s="14" t="s">
        <v>417</v>
      </c>
      <c r="Q306" s="14" t="s">
        <v>8</v>
      </c>
      <c r="R306" s="40">
        <v>1999.84</v>
      </c>
      <c r="S306" s="41" t="s">
        <v>1607</v>
      </c>
      <c r="T306" s="42">
        <v>44712</v>
      </c>
      <c r="U306" s="43">
        <v>44712</v>
      </c>
      <c r="V306" s="15" t="s">
        <v>1608</v>
      </c>
      <c r="W306" s="15"/>
    </row>
    <row r="307" spans="1:23" s="34" customFormat="1" ht="29" x14ac:dyDescent="0.35">
      <c r="A307" s="15"/>
      <c r="B307" s="35">
        <v>44714</v>
      </c>
      <c r="C307" s="14">
        <v>228</v>
      </c>
      <c r="D307" s="39">
        <v>338</v>
      </c>
      <c r="E307" s="14" t="s">
        <v>414</v>
      </c>
      <c r="F307" s="74" t="s">
        <v>13</v>
      </c>
      <c r="G307" s="14" t="s">
        <v>21</v>
      </c>
      <c r="H307" s="14" t="s">
        <v>1793</v>
      </c>
      <c r="I307" s="144"/>
      <c r="J307" s="14" t="s">
        <v>405</v>
      </c>
      <c r="K307" s="14" t="s">
        <v>1235</v>
      </c>
      <c r="L307" s="14" t="s">
        <v>2</v>
      </c>
      <c r="M307" s="37">
        <v>8134058855</v>
      </c>
      <c r="N307" s="38">
        <v>865011034396375</v>
      </c>
      <c r="O307" s="38"/>
      <c r="P307" s="14" t="s">
        <v>413</v>
      </c>
      <c r="Q307" s="14" t="s">
        <v>8</v>
      </c>
      <c r="R307" s="40">
        <v>1999.84</v>
      </c>
      <c r="S307" s="41" t="s">
        <v>414</v>
      </c>
      <c r="T307" s="42">
        <v>44727</v>
      </c>
      <c r="U307" s="43">
        <v>44727</v>
      </c>
      <c r="V307" s="15"/>
      <c r="W307" s="15"/>
    </row>
    <row r="308" spans="1:23" s="34" customFormat="1" ht="29" x14ac:dyDescent="0.35">
      <c r="A308" s="15"/>
      <c r="B308" s="35">
        <v>44715</v>
      </c>
      <c r="C308" s="14">
        <v>229</v>
      </c>
      <c r="D308" s="39">
        <v>339</v>
      </c>
      <c r="E308" s="14" t="s">
        <v>1607</v>
      </c>
      <c r="F308" s="74" t="s">
        <v>13</v>
      </c>
      <c r="G308" s="17" t="s">
        <v>1805</v>
      </c>
      <c r="H308" s="14" t="s">
        <v>1767</v>
      </c>
      <c r="I308" s="144"/>
      <c r="J308" s="14" t="s">
        <v>1615</v>
      </c>
      <c r="K308" s="14" t="s">
        <v>1236</v>
      </c>
      <c r="L308" s="14" t="s">
        <v>2</v>
      </c>
      <c r="M308" s="37">
        <v>8118247487</v>
      </c>
      <c r="N308" s="38">
        <v>865011034398587</v>
      </c>
      <c r="O308" s="38"/>
      <c r="P308" s="14" t="s">
        <v>416</v>
      </c>
      <c r="Q308" s="14" t="s">
        <v>8</v>
      </c>
      <c r="R308" s="40">
        <v>1999.84</v>
      </c>
      <c r="S308" s="41" t="s">
        <v>1607</v>
      </c>
      <c r="T308" s="42">
        <v>44712</v>
      </c>
      <c r="U308" s="43">
        <v>44712</v>
      </c>
      <c r="V308" s="15" t="s">
        <v>1608</v>
      </c>
      <c r="W308" s="15"/>
    </row>
    <row r="309" spans="1:23" s="34" customFormat="1" ht="29" x14ac:dyDescent="0.35">
      <c r="A309" s="15"/>
      <c r="B309" s="35">
        <v>44715</v>
      </c>
      <c r="C309" s="14">
        <v>230</v>
      </c>
      <c r="D309" s="39">
        <v>340</v>
      </c>
      <c r="E309" s="14" t="s">
        <v>1607</v>
      </c>
      <c r="F309" s="74" t="s">
        <v>13</v>
      </c>
      <c r="G309" s="17" t="s">
        <v>1805</v>
      </c>
      <c r="H309" s="17" t="s">
        <v>1787</v>
      </c>
      <c r="I309" s="145"/>
      <c r="J309" s="14" t="s">
        <v>1616</v>
      </c>
      <c r="K309" s="14" t="s">
        <v>1237</v>
      </c>
      <c r="L309" s="14" t="s">
        <v>2</v>
      </c>
      <c r="M309" s="37">
        <v>8119173960</v>
      </c>
      <c r="N309" s="38">
        <v>865011034397696</v>
      </c>
      <c r="O309" s="38"/>
      <c r="P309" s="14" t="s">
        <v>415</v>
      </c>
      <c r="Q309" s="14" t="s">
        <v>8</v>
      </c>
      <c r="R309" s="40">
        <v>1999.84</v>
      </c>
      <c r="S309" s="41" t="s">
        <v>1607</v>
      </c>
      <c r="T309" s="42">
        <v>44712</v>
      </c>
      <c r="U309" s="43">
        <v>44712</v>
      </c>
      <c r="V309" s="15" t="s">
        <v>1608</v>
      </c>
      <c r="W309" s="15"/>
    </row>
    <row r="310" spans="1:23" s="34" customFormat="1" ht="29" x14ac:dyDescent="0.35">
      <c r="A310" s="15"/>
      <c r="B310" s="35">
        <v>44720</v>
      </c>
      <c r="C310" s="14">
        <v>231</v>
      </c>
      <c r="D310" s="39">
        <v>341</v>
      </c>
      <c r="E310" s="14" t="s">
        <v>414</v>
      </c>
      <c r="F310" s="74" t="s">
        <v>6</v>
      </c>
      <c r="G310" s="14" t="s">
        <v>21</v>
      </c>
      <c r="H310" s="14" t="s">
        <v>1793</v>
      </c>
      <c r="I310" s="144"/>
      <c r="J310" s="14" t="s">
        <v>405</v>
      </c>
      <c r="K310" s="14" t="s">
        <v>1238</v>
      </c>
      <c r="L310" s="14" t="s">
        <v>229</v>
      </c>
      <c r="M310" s="37">
        <v>8134058855</v>
      </c>
      <c r="N310" s="38">
        <v>865011034396375</v>
      </c>
      <c r="O310" s="38"/>
      <c r="P310" s="14" t="s">
        <v>413</v>
      </c>
      <c r="Q310" s="14" t="s">
        <v>8</v>
      </c>
      <c r="R310" s="40">
        <v>754</v>
      </c>
      <c r="S310" s="41" t="s">
        <v>414</v>
      </c>
      <c r="T310" s="42">
        <v>44727</v>
      </c>
      <c r="U310" s="43">
        <v>44727</v>
      </c>
      <c r="V310" s="15"/>
      <c r="W310" s="15"/>
    </row>
    <row r="311" spans="1:23" s="34" customFormat="1" ht="29" x14ac:dyDescent="0.35">
      <c r="A311" s="15"/>
      <c r="B311" s="35">
        <v>44720</v>
      </c>
      <c r="C311" s="14">
        <v>232</v>
      </c>
      <c r="D311" s="39">
        <v>342</v>
      </c>
      <c r="E311" s="14" t="s">
        <v>406</v>
      </c>
      <c r="F311" s="74" t="s">
        <v>138</v>
      </c>
      <c r="G311" s="14" t="s">
        <v>21</v>
      </c>
      <c r="H311" s="14" t="s">
        <v>1793</v>
      </c>
      <c r="I311" s="144"/>
      <c r="J311" s="14" t="s">
        <v>405</v>
      </c>
      <c r="K311" s="14" t="s">
        <v>1239</v>
      </c>
      <c r="L311" s="14" t="s">
        <v>229</v>
      </c>
      <c r="M311" s="37">
        <v>8134058855</v>
      </c>
      <c r="N311" s="38">
        <v>865011034396375</v>
      </c>
      <c r="O311" s="38"/>
      <c r="P311" s="14" t="s">
        <v>412</v>
      </c>
      <c r="Q311" s="14" t="s">
        <v>8</v>
      </c>
      <c r="R311" s="40">
        <v>696</v>
      </c>
      <c r="S311" s="41" t="s">
        <v>406</v>
      </c>
      <c r="T311" s="42">
        <v>44727</v>
      </c>
      <c r="U311" s="43">
        <v>44727</v>
      </c>
      <c r="V311" s="15"/>
      <c r="W311" s="15"/>
    </row>
    <row r="312" spans="1:23" s="34" customFormat="1" ht="29" x14ac:dyDescent="0.35">
      <c r="A312" s="15"/>
      <c r="B312" s="35">
        <v>44721</v>
      </c>
      <c r="C312" s="14">
        <v>233</v>
      </c>
      <c r="D312" s="85" t="s">
        <v>3812</v>
      </c>
      <c r="E312" s="14" t="s">
        <v>411</v>
      </c>
      <c r="F312" s="74" t="s">
        <v>13</v>
      </c>
      <c r="G312" s="17" t="s">
        <v>1805</v>
      </c>
      <c r="H312" s="14" t="s">
        <v>1767</v>
      </c>
      <c r="I312" s="145" t="s">
        <v>39</v>
      </c>
      <c r="J312" s="17" t="s">
        <v>26</v>
      </c>
      <c r="K312" s="14" t="s">
        <v>1240</v>
      </c>
      <c r="L312" s="14" t="s">
        <v>50</v>
      </c>
      <c r="M312" s="37">
        <v>8116006937</v>
      </c>
      <c r="N312" s="38">
        <v>865011034400292</v>
      </c>
      <c r="O312" s="16" t="s">
        <v>39</v>
      </c>
      <c r="P312" s="17" t="s">
        <v>3813</v>
      </c>
      <c r="Q312" s="17" t="s">
        <v>4174</v>
      </c>
      <c r="R312" s="40">
        <v>1999.84</v>
      </c>
      <c r="S312" s="19" t="s">
        <v>3584</v>
      </c>
      <c r="T312" s="42">
        <v>44727</v>
      </c>
      <c r="U312" s="43">
        <v>44727</v>
      </c>
      <c r="V312" s="44">
        <v>45208.047997685186</v>
      </c>
      <c r="W312" s="15"/>
    </row>
    <row r="313" spans="1:23" s="34" customFormat="1" ht="29" x14ac:dyDescent="0.35">
      <c r="A313" s="15"/>
      <c r="B313" s="35">
        <v>44721</v>
      </c>
      <c r="C313" s="14">
        <v>234</v>
      </c>
      <c r="D313" s="85" t="s">
        <v>3814</v>
      </c>
      <c r="E313" s="14" t="s">
        <v>411</v>
      </c>
      <c r="F313" s="74" t="s">
        <v>13</v>
      </c>
      <c r="G313" s="14" t="s">
        <v>21</v>
      </c>
      <c r="H313" s="14" t="s">
        <v>1786</v>
      </c>
      <c r="I313" s="145" t="s">
        <v>39</v>
      </c>
      <c r="J313" s="17" t="s">
        <v>3817</v>
      </c>
      <c r="K313" s="14" t="s">
        <v>1241</v>
      </c>
      <c r="L313" s="14" t="s">
        <v>50</v>
      </c>
      <c r="M313" s="37">
        <v>8116006961</v>
      </c>
      <c r="N313" s="38">
        <v>865011034399247</v>
      </c>
      <c r="O313" s="38" t="s">
        <v>3816</v>
      </c>
      <c r="P313" s="14" t="s">
        <v>3815</v>
      </c>
      <c r="Q313" s="17" t="s">
        <v>4174</v>
      </c>
      <c r="R313" s="40">
        <v>1999.84</v>
      </c>
      <c r="S313" s="19" t="s">
        <v>3584</v>
      </c>
      <c r="T313" s="42">
        <v>44712</v>
      </c>
      <c r="U313" s="43">
        <v>44712</v>
      </c>
      <c r="V313" s="15" t="s">
        <v>1004</v>
      </c>
      <c r="W313" s="15"/>
    </row>
    <row r="314" spans="1:23" s="34" customFormat="1" ht="29" x14ac:dyDescent="0.35">
      <c r="A314" s="15"/>
      <c r="B314" s="35">
        <v>44722</v>
      </c>
      <c r="C314" s="14">
        <v>235</v>
      </c>
      <c r="D314" s="85" t="s">
        <v>3001</v>
      </c>
      <c r="E314" s="14" t="s">
        <v>410</v>
      </c>
      <c r="F314" s="74" t="s">
        <v>13</v>
      </c>
      <c r="G314" s="14" t="s">
        <v>21</v>
      </c>
      <c r="H314" s="14" t="s">
        <v>1793</v>
      </c>
      <c r="I314" s="144" t="s">
        <v>39</v>
      </c>
      <c r="J314" s="17" t="s">
        <v>3002</v>
      </c>
      <c r="K314" s="14" t="s">
        <v>1242</v>
      </c>
      <c r="L314" s="14" t="s">
        <v>50</v>
      </c>
      <c r="M314" s="37">
        <v>8261715047</v>
      </c>
      <c r="N314" s="38">
        <v>359857084511872</v>
      </c>
      <c r="O314" s="38" t="s">
        <v>39</v>
      </c>
      <c r="P314" s="14" t="s">
        <v>409</v>
      </c>
      <c r="Q314" s="17" t="s">
        <v>2559</v>
      </c>
      <c r="R314" s="40">
        <v>1999.84</v>
      </c>
      <c r="S314" s="19" t="s">
        <v>2977</v>
      </c>
      <c r="T314" s="42">
        <v>44712</v>
      </c>
      <c r="U314" s="43">
        <v>44712</v>
      </c>
      <c r="V314" s="15" t="s">
        <v>1004</v>
      </c>
      <c r="W314" s="15"/>
    </row>
    <row r="315" spans="1:23" s="34" customFormat="1" ht="29" x14ac:dyDescent="0.35">
      <c r="A315" s="15"/>
      <c r="B315" s="35">
        <v>44725</v>
      </c>
      <c r="C315" s="14">
        <v>236</v>
      </c>
      <c r="D315" s="85" t="s">
        <v>3000</v>
      </c>
      <c r="E315" s="14" t="s">
        <v>408</v>
      </c>
      <c r="F315" s="74" t="s">
        <v>13</v>
      </c>
      <c r="G315" s="17" t="s">
        <v>1805</v>
      </c>
      <c r="H315" s="17" t="s">
        <v>1787</v>
      </c>
      <c r="I315" s="145" t="s">
        <v>39</v>
      </c>
      <c r="J315" s="14" t="s">
        <v>2907</v>
      </c>
      <c r="K315" s="14" t="s">
        <v>2908</v>
      </c>
      <c r="L315" s="14" t="s">
        <v>2</v>
      </c>
      <c r="M315" s="37">
        <v>8182597155</v>
      </c>
      <c r="N315" s="38">
        <v>865011034399304</v>
      </c>
      <c r="O315" s="38" t="s">
        <v>3126</v>
      </c>
      <c r="P315" s="14" t="s">
        <v>3125</v>
      </c>
      <c r="Q315" s="17" t="s">
        <v>2559</v>
      </c>
      <c r="R315" s="40">
        <v>1999.84</v>
      </c>
      <c r="S315" s="19" t="s">
        <v>2977</v>
      </c>
      <c r="T315" s="42">
        <v>44712</v>
      </c>
      <c r="U315" s="43">
        <v>44712</v>
      </c>
      <c r="V315" s="15" t="s">
        <v>1004</v>
      </c>
      <c r="W315" s="15"/>
    </row>
    <row r="316" spans="1:23" s="34" customFormat="1" ht="29" x14ac:dyDescent="0.35">
      <c r="A316" s="15"/>
      <c r="B316" s="35">
        <v>44726</v>
      </c>
      <c r="C316" s="14">
        <v>237</v>
      </c>
      <c r="D316" s="36" t="s">
        <v>2910</v>
      </c>
      <c r="E316" s="14" t="s">
        <v>2911</v>
      </c>
      <c r="F316" s="74" t="s">
        <v>13</v>
      </c>
      <c r="G316" s="14" t="s">
        <v>21</v>
      </c>
      <c r="H316" s="14" t="s">
        <v>1793</v>
      </c>
      <c r="I316" s="144"/>
      <c r="J316" s="14" t="s">
        <v>2912</v>
      </c>
      <c r="K316" s="14" t="s">
        <v>1243</v>
      </c>
      <c r="L316" s="14" t="s">
        <v>2</v>
      </c>
      <c r="M316" s="37">
        <v>8122016549</v>
      </c>
      <c r="N316" s="38">
        <v>865011034397662</v>
      </c>
      <c r="O316" s="38"/>
      <c r="P316" s="14" t="s">
        <v>407</v>
      </c>
      <c r="Q316" s="14" t="s">
        <v>8</v>
      </c>
      <c r="R316" s="40">
        <v>1999.84</v>
      </c>
      <c r="S316" s="41" t="s">
        <v>1607</v>
      </c>
      <c r="T316" s="42">
        <v>44712</v>
      </c>
      <c r="U316" s="43">
        <v>44712</v>
      </c>
      <c r="V316" s="15" t="s">
        <v>1608</v>
      </c>
      <c r="W316" s="15"/>
    </row>
    <row r="317" spans="1:23" s="34" customFormat="1" ht="29" x14ac:dyDescent="0.35">
      <c r="A317" s="15"/>
      <c r="B317" s="35">
        <v>44729</v>
      </c>
      <c r="C317" s="14">
        <v>238</v>
      </c>
      <c r="D317" s="39">
        <v>342</v>
      </c>
      <c r="E317" s="14" t="s">
        <v>406</v>
      </c>
      <c r="F317" s="74" t="s">
        <v>6</v>
      </c>
      <c r="G317" s="14" t="s">
        <v>21</v>
      </c>
      <c r="H317" s="14" t="s">
        <v>1793</v>
      </c>
      <c r="I317" s="144"/>
      <c r="J317" s="14" t="s">
        <v>405</v>
      </c>
      <c r="K317" s="14" t="s">
        <v>1239</v>
      </c>
      <c r="L317" s="14" t="s">
        <v>2</v>
      </c>
      <c r="M317" s="37">
        <v>8134058855</v>
      </c>
      <c r="N317" s="38">
        <v>865011034396375</v>
      </c>
      <c r="O317" s="38"/>
      <c r="P317" s="14" t="s">
        <v>404</v>
      </c>
      <c r="Q317" s="14" t="s">
        <v>8</v>
      </c>
      <c r="R317" s="40">
        <v>754</v>
      </c>
      <c r="S317" s="41" t="s">
        <v>406</v>
      </c>
      <c r="T317" s="42">
        <v>44742</v>
      </c>
      <c r="U317" s="43">
        <v>44742</v>
      </c>
      <c r="V317" s="15"/>
      <c r="W317" s="15"/>
    </row>
    <row r="318" spans="1:23" s="34" customFormat="1" ht="29" x14ac:dyDescent="0.35">
      <c r="A318" s="15"/>
      <c r="B318" s="35">
        <v>44729</v>
      </c>
      <c r="C318" s="14">
        <v>239</v>
      </c>
      <c r="D318" s="74" t="s">
        <v>2958</v>
      </c>
      <c r="E318" s="14" t="s">
        <v>403</v>
      </c>
      <c r="F318" s="74" t="s">
        <v>138</v>
      </c>
      <c r="G318" s="14" t="s">
        <v>21</v>
      </c>
      <c r="H318" s="14" t="s">
        <v>1793</v>
      </c>
      <c r="I318" s="144"/>
      <c r="J318" s="14" t="s">
        <v>402</v>
      </c>
      <c r="K318" s="14" t="s">
        <v>1244</v>
      </c>
      <c r="L318" s="14" t="s">
        <v>2</v>
      </c>
      <c r="M318" s="37">
        <v>8134058855</v>
      </c>
      <c r="N318" s="38">
        <v>865011034396375</v>
      </c>
      <c r="O318" s="38"/>
      <c r="P318" s="14" t="s">
        <v>401</v>
      </c>
      <c r="Q318" s="14" t="s">
        <v>8</v>
      </c>
      <c r="R318" s="40">
        <v>696</v>
      </c>
      <c r="S318" s="41">
        <v>174</v>
      </c>
      <c r="T318" s="42">
        <v>44742</v>
      </c>
      <c r="U318" s="43">
        <v>44742</v>
      </c>
      <c r="V318" s="44">
        <v>45216.717812499999</v>
      </c>
      <c r="W318" s="15"/>
    </row>
    <row r="319" spans="1:23" s="34" customFormat="1" ht="29" x14ac:dyDescent="0.35">
      <c r="A319" s="15"/>
      <c r="B319" s="35">
        <v>44734</v>
      </c>
      <c r="C319" s="14">
        <v>240</v>
      </c>
      <c r="D319" s="85" t="s">
        <v>3003</v>
      </c>
      <c r="E319" s="14" t="s">
        <v>400</v>
      </c>
      <c r="F319" s="74" t="s">
        <v>13</v>
      </c>
      <c r="G319" s="14" t="s">
        <v>21</v>
      </c>
      <c r="H319" s="14" t="s">
        <v>1767</v>
      </c>
      <c r="I319" s="144" t="s">
        <v>39</v>
      </c>
      <c r="J319" s="17" t="s">
        <v>3004</v>
      </c>
      <c r="K319" s="14" t="s">
        <v>1245</v>
      </c>
      <c r="L319" s="14" t="s">
        <v>2</v>
      </c>
      <c r="M319" s="37">
        <v>8119800986</v>
      </c>
      <c r="N319" s="38">
        <v>865011034353319</v>
      </c>
      <c r="O319" s="38" t="s">
        <v>3128</v>
      </c>
      <c r="P319" s="14" t="s">
        <v>3127</v>
      </c>
      <c r="Q319" s="17" t="s">
        <v>2559</v>
      </c>
      <c r="R319" s="40">
        <v>1999.84</v>
      </c>
      <c r="S319" s="19" t="s">
        <v>2977</v>
      </c>
      <c r="T319" s="42">
        <v>44712</v>
      </c>
      <c r="U319" s="43">
        <v>44712</v>
      </c>
      <c r="V319" s="15" t="s">
        <v>1004</v>
      </c>
      <c r="W319" s="15"/>
    </row>
    <row r="320" spans="1:23" s="34" customFormat="1" ht="29" x14ac:dyDescent="0.35">
      <c r="A320" s="15"/>
      <c r="B320" s="35">
        <v>44740</v>
      </c>
      <c r="C320" s="14">
        <v>241</v>
      </c>
      <c r="D320" s="36" t="s">
        <v>1992</v>
      </c>
      <c r="E320" s="85" t="s">
        <v>1929</v>
      </c>
      <c r="F320" s="74" t="s">
        <v>13</v>
      </c>
      <c r="G320" s="17" t="s">
        <v>1805</v>
      </c>
      <c r="H320" s="14" t="s">
        <v>1786</v>
      </c>
      <c r="I320" s="144"/>
      <c r="J320" s="14" t="s">
        <v>2031</v>
      </c>
      <c r="K320" s="17" t="s">
        <v>1993</v>
      </c>
      <c r="L320" s="14" t="s">
        <v>2</v>
      </c>
      <c r="M320" s="37">
        <v>8135518619</v>
      </c>
      <c r="N320" s="38">
        <v>865011033829442</v>
      </c>
      <c r="O320" s="38"/>
      <c r="P320" s="14" t="s">
        <v>399</v>
      </c>
      <c r="Q320" s="14" t="s">
        <v>8</v>
      </c>
      <c r="R320" s="40">
        <v>1999.84</v>
      </c>
      <c r="S320" s="41" t="s">
        <v>1931</v>
      </c>
      <c r="T320" s="42">
        <v>44712</v>
      </c>
      <c r="U320" s="43">
        <v>44712</v>
      </c>
      <c r="V320" s="15" t="s">
        <v>1004</v>
      </c>
      <c r="W320" s="15"/>
    </row>
    <row r="321" spans="1:23" s="34" customFormat="1" ht="29" x14ac:dyDescent="0.35">
      <c r="A321" s="15"/>
      <c r="B321" s="35">
        <v>44740</v>
      </c>
      <c r="C321" s="14">
        <v>242</v>
      </c>
      <c r="D321" s="85" t="s">
        <v>3005</v>
      </c>
      <c r="E321" s="14" t="s">
        <v>398</v>
      </c>
      <c r="F321" s="74" t="s">
        <v>13</v>
      </c>
      <c r="G321" s="14" t="s">
        <v>21</v>
      </c>
      <c r="H321" s="17" t="s">
        <v>1720</v>
      </c>
      <c r="I321" s="145" t="s">
        <v>39</v>
      </c>
      <c r="J321" s="14" t="s">
        <v>2960</v>
      </c>
      <c r="K321" s="17" t="s">
        <v>3006</v>
      </c>
      <c r="L321" s="14" t="s">
        <v>229</v>
      </c>
      <c r="M321" s="37">
        <v>8118247518</v>
      </c>
      <c r="N321" s="38">
        <v>865011034742594</v>
      </c>
      <c r="O321" s="38" t="s">
        <v>3130</v>
      </c>
      <c r="P321" s="14" t="s">
        <v>3129</v>
      </c>
      <c r="Q321" s="17" t="s">
        <v>2559</v>
      </c>
      <c r="R321" s="40">
        <v>1999.84</v>
      </c>
      <c r="S321" s="19" t="s">
        <v>2977</v>
      </c>
      <c r="T321" s="42">
        <v>44712</v>
      </c>
      <c r="U321" s="43">
        <v>44712</v>
      </c>
      <c r="V321" s="15" t="s">
        <v>1004</v>
      </c>
      <c r="W321" s="15"/>
    </row>
    <row r="322" spans="1:23" s="34" customFormat="1" ht="29" x14ac:dyDescent="0.35">
      <c r="A322" s="15"/>
      <c r="B322" s="35">
        <v>44741</v>
      </c>
      <c r="C322" s="14">
        <v>243</v>
      </c>
      <c r="D322" s="74" t="s">
        <v>2673</v>
      </c>
      <c r="E322" s="46" t="s">
        <v>397</v>
      </c>
      <c r="F322" s="74" t="s">
        <v>6</v>
      </c>
      <c r="G322" s="14"/>
      <c r="H322" s="14" t="s">
        <v>11</v>
      </c>
      <c r="I322" s="144"/>
      <c r="J322" s="14" t="s">
        <v>396</v>
      </c>
      <c r="K322" s="14" t="s">
        <v>1246</v>
      </c>
      <c r="L322" s="14" t="s">
        <v>2</v>
      </c>
      <c r="M322" s="38">
        <v>345901012471681</v>
      </c>
      <c r="N322" s="38">
        <v>865011031937601</v>
      </c>
      <c r="O322" s="38"/>
      <c r="P322" s="14" t="s">
        <v>395</v>
      </c>
      <c r="Q322" s="14" t="s">
        <v>2677</v>
      </c>
      <c r="R322" s="40">
        <v>754</v>
      </c>
      <c r="S322" s="41" t="s">
        <v>2676</v>
      </c>
      <c r="T322" s="42" t="s">
        <v>2679</v>
      </c>
      <c r="U322" s="43">
        <v>44742</v>
      </c>
      <c r="V322" s="15"/>
      <c r="W322" s="15"/>
    </row>
    <row r="323" spans="1:23" s="34" customFormat="1" ht="29" x14ac:dyDescent="0.35">
      <c r="A323" s="15"/>
      <c r="B323" s="35">
        <v>44742</v>
      </c>
      <c r="C323" s="14">
        <v>244</v>
      </c>
      <c r="D323" s="85" t="s">
        <v>3818</v>
      </c>
      <c r="E323" s="14" t="s">
        <v>394</v>
      </c>
      <c r="F323" s="74" t="s">
        <v>13</v>
      </c>
      <c r="G323" s="14" t="s">
        <v>21</v>
      </c>
      <c r="H323" s="14" t="s">
        <v>4202</v>
      </c>
      <c r="I323" s="145" t="s">
        <v>39</v>
      </c>
      <c r="J323" s="17" t="s">
        <v>3819</v>
      </c>
      <c r="K323" s="14" t="s">
        <v>1247</v>
      </c>
      <c r="L323" s="14" t="s">
        <v>2</v>
      </c>
      <c r="M323" s="37">
        <v>8118011424</v>
      </c>
      <c r="N323" s="38">
        <v>865011034738899</v>
      </c>
      <c r="O323" s="16" t="s">
        <v>393</v>
      </c>
      <c r="P323" s="17" t="s">
        <v>39</v>
      </c>
      <c r="Q323" s="17" t="s">
        <v>4174</v>
      </c>
      <c r="R323" s="40">
        <v>1999.84</v>
      </c>
      <c r="S323" s="19" t="s">
        <v>3584</v>
      </c>
      <c r="T323" s="42">
        <v>44712</v>
      </c>
      <c r="U323" s="43">
        <v>44712</v>
      </c>
      <c r="V323" s="15" t="s">
        <v>1004</v>
      </c>
      <c r="W323" s="15"/>
    </row>
    <row r="324" spans="1:23" s="34" customFormat="1" ht="29" x14ac:dyDescent="0.35">
      <c r="A324" s="15"/>
      <c r="B324" s="35">
        <v>44743</v>
      </c>
      <c r="C324" s="14">
        <v>245</v>
      </c>
      <c r="D324" s="85" t="s">
        <v>4220</v>
      </c>
      <c r="E324" s="14" t="s">
        <v>392</v>
      </c>
      <c r="F324" s="74" t="s">
        <v>13</v>
      </c>
      <c r="G324" s="17" t="s">
        <v>1805</v>
      </c>
      <c r="H324" s="14" t="s">
        <v>1767</v>
      </c>
      <c r="I324" s="145" t="s">
        <v>39</v>
      </c>
      <c r="J324" s="17" t="s">
        <v>26</v>
      </c>
      <c r="K324" s="14" t="s">
        <v>1352</v>
      </c>
      <c r="L324" s="14" t="s">
        <v>2</v>
      </c>
      <c r="M324" s="37">
        <v>8119085184</v>
      </c>
      <c r="N324" s="38">
        <v>865011034740945</v>
      </c>
      <c r="O324" s="38" t="s">
        <v>4222</v>
      </c>
      <c r="P324" s="14" t="s">
        <v>4221</v>
      </c>
      <c r="Q324" s="14" t="s">
        <v>4226</v>
      </c>
      <c r="R324" s="40">
        <v>1999.84</v>
      </c>
      <c r="S324" s="41" t="s">
        <v>142</v>
      </c>
      <c r="T324" s="41" t="s">
        <v>4224</v>
      </c>
      <c r="U324" s="43">
        <v>44757</v>
      </c>
      <c r="V324" s="15"/>
      <c r="W324" s="15"/>
    </row>
    <row r="325" spans="1:23" s="34" customFormat="1" ht="29" x14ac:dyDescent="0.35">
      <c r="A325" s="15"/>
      <c r="B325" s="35">
        <v>44747</v>
      </c>
      <c r="C325" s="14">
        <v>246</v>
      </c>
      <c r="D325" s="54">
        <v>354</v>
      </c>
      <c r="E325" s="14" t="s">
        <v>1607</v>
      </c>
      <c r="F325" s="74" t="s">
        <v>13</v>
      </c>
      <c r="G325" s="17" t="s">
        <v>1805</v>
      </c>
      <c r="H325" s="14" t="s">
        <v>1767</v>
      </c>
      <c r="I325" s="144"/>
      <c r="J325" s="14" t="s">
        <v>1618</v>
      </c>
      <c r="K325" s="14" t="s">
        <v>1248</v>
      </c>
      <c r="L325" s="14" t="s">
        <v>2</v>
      </c>
      <c r="M325" s="37">
        <v>8119085289</v>
      </c>
      <c r="N325" s="38">
        <v>865011034739285</v>
      </c>
      <c r="O325" s="38"/>
      <c r="P325" s="14" t="s">
        <v>391</v>
      </c>
      <c r="Q325" s="14" t="s">
        <v>8</v>
      </c>
      <c r="R325" s="40">
        <v>1999.84</v>
      </c>
      <c r="S325" s="41" t="s">
        <v>1607</v>
      </c>
      <c r="T325" s="42">
        <v>44712</v>
      </c>
      <c r="U325" s="43">
        <v>44712</v>
      </c>
      <c r="V325" s="15" t="s">
        <v>1608</v>
      </c>
      <c r="W325" s="15"/>
    </row>
    <row r="326" spans="1:23" s="34" customFormat="1" ht="29" x14ac:dyDescent="0.35">
      <c r="A326" s="15"/>
      <c r="B326" s="35">
        <v>44757</v>
      </c>
      <c r="C326" s="14">
        <v>247</v>
      </c>
      <c r="D326" s="39">
        <v>355</v>
      </c>
      <c r="E326" s="14" t="s">
        <v>1607</v>
      </c>
      <c r="F326" s="74" t="s">
        <v>13</v>
      </c>
      <c r="G326" s="14" t="s">
        <v>21</v>
      </c>
      <c r="H326" s="17" t="s">
        <v>1720</v>
      </c>
      <c r="I326" s="145"/>
      <c r="J326" s="14" t="s">
        <v>390</v>
      </c>
      <c r="K326" s="14" t="s">
        <v>1249</v>
      </c>
      <c r="L326" s="14" t="s">
        <v>2</v>
      </c>
      <c r="M326" s="37">
        <v>8119174193</v>
      </c>
      <c r="N326" s="38">
        <v>865011031684641</v>
      </c>
      <c r="O326" s="38"/>
      <c r="P326" s="14" t="s">
        <v>389</v>
      </c>
      <c r="Q326" s="14" t="s">
        <v>8</v>
      </c>
      <c r="R326" s="40">
        <v>1999.84</v>
      </c>
      <c r="S326" s="41" t="s">
        <v>1607</v>
      </c>
      <c r="T326" s="42">
        <v>44712</v>
      </c>
      <c r="U326" s="43">
        <v>44712</v>
      </c>
      <c r="V326" s="15" t="s">
        <v>1608</v>
      </c>
      <c r="W326" s="15"/>
    </row>
    <row r="327" spans="1:23" s="34" customFormat="1" ht="29" x14ac:dyDescent="0.35">
      <c r="A327" s="15"/>
      <c r="B327" s="35">
        <v>44757</v>
      </c>
      <c r="C327" s="14">
        <v>248</v>
      </c>
      <c r="D327" s="74" t="s">
        <v>2674</v>
      </c>
      <c r="E327" s="14" t="s">
        <v>2675</v>
      </c>
      <c r="F327" s="74" t="s">
        <v>13</v>
      </c>
      <c r="G327" s="17" t="s">
        <v>1805</v>
      </c>
      <c r="H327" s="14" t="s">
        <v>1767</v>
      </c>
      <c r="I327" s="144"/>
      <c r="J327" s="14" t="s">
        <v>1620</v>
      </c>
      <c r="K327" s="14" t="s">
        <v>1619</v>
      </c>
      <c r="L327" s="14" t="s">
        <v>2</v>
      </c>
      <c r="M327" s="37">
        <v>8120107549</v>
      </c>
      <c r="N327" s="38">
        <v>865011031937601</v>
      </c>
      <c r="O327" s="38"/>
      <c r="P327" s="14" t="s">
        <v>388</v>
      </c>
      <c r="Q327" s="14" t="s">
        <v>2678</v>
      </c>
      <c r="R327" s="40">
        <v>1999.84</v>
      </c>
      <c r="S327" s="41" t="s">
        <v>1607</v>
      </c>
      <c r="T327" s="42">
        <v>44712</v>
      </c>
      <c r="U327" s="43">
        <v>44712</v>
      </c>
      <c r="V327" s="15" t="s">
        <v>2680</v>
      </c>
      <c r="W327" s="15"/>
    </row>
    <row r="328" spans="1:23" s="34" customFormat="1" ht="29" x14ac:dyDescent="0.35">
      <c r="A328" s="15"/>
      <c r="B328" s="35">
        <v>44764</v>
      </c>
      <c r="C328" s="14">
        <v>249</v>
      </c>
      <c r="D328" s="74" t="s">
        <v>2851</v>
      </c>
      <c r="E328" s="14" t="s">
        <v>2853</v>
      </c>
      <c r="F328" s="74" t="s">
        <v>13</v>
      </c>
      <c r="G328" s="14" t="s">
        <v>21</v>
      </c>
      <c r="H328" s="14" t="s">
        <v>4201</v>
      </c>
      <c r="I328" s="144"/>
      <c r="J328" s="14" t="s">
        <v>387</v>
      </c>
      <c r="K328" s="14" t="s">
        <v>1250</v>
      </c>
      <c r="L328" s="14" t="s">
        <v>2</v>
      </c>
      <c r="M328" s="37">
        <v>8118249704</v>
      </c>
      <c r="N328" s="38">
        <v>864606047158281</v>
      </c>
      <c r="O328" s="38"/>
      <c r="P328" s="14" t="s">
        <v>386</v>
      </c>
      <c r="Q328" s="14" t="s">
        <v>8</v>
      </c>
      <c r="R328" s="40">
        <v>1999.84</v>
      </c>
      <c r="S328" s="41" t="s">
        <v>1607</v>
      </c>
      <c r="T328" s="42">
        <v>44771</v>
      </c>
      <c r="U328" s="43">
        <v>44771</v>
      </c>
      <c r="V328" s="44" t="s">
        <v>1608</v>
      </c>
      <c r="W328" s="15"/>
    </row>
    <row r="329" spans="1:23" s="34" customFormat="1" ht="29" x14ac:dyDescent="0.35">
      <c r="A329" s="15"/>
      <c r="B329" s="35">
        <v>44768</v>
      </c>
      <c r="C329" s="14">
        <v>250</v>
      </c>
      <c r="D329" s="39" t="s">
        <v>39</v>
      </c>
      <c r="E329" s="14" t="s">
        <v>385</v>
      </c>
      <c r="F329" s="39" t="s">
        <v>40</v>
      </c>
      <c r="G329" s="14" t="s">
        <v>21</v>
      </c>
      <c r="H329" s="14" t="s">
        <v>1786</v>
      </c>
      <c r="I329" s="144"/>
      <c r="J329" s="14" t="s">
        <v>376</v>
      </c>
      <c r="K329" s="14" t="s">
        <v>384</v>
      </c>
      <c r="L329" s="14" t="s">
        <v>2</v>
      </c>
      <c r="M329" s="37" t="s">
        <v>39</v>
      </c>
      <c r="N329" s="38" t="s">
        <v>39</v>
      </c>
      <c r="O329" s="38"/>
      <c r="P329" s="14" t="s">
        <v>39</v>
      </c>
      <c r="Q329" s="14" t="s">
        <v>383</v>
      </c>
      <c r="R329" s="40">
        <v>0</v>
      </c>
      <c r="S329" s="41" t="s">
        <v>40</v>
      </c>
      <c r="T329" s="42">
        <v>44771</v>
      </c>
      <c r="U329" s="43">
        <v>44771</v>
      </c>
      <c r="V329" s="15"/>
      <c r="W329" s="15"/>
    </row>
    <row r="330" spans="1:23" s="34" customFormat="1" ht="29" x14ac:dyDescent="0.35">
      <c r="A330" s="15"/>
      <c r="B330" s="35">
        <v>44769</v>
      </c>
      <c r="C330" s="14">
        <v>251</v>
      </c>
      <c r="D330" s="85" t="s">
        <v>4211</v>
      </c>
      <c r="E330" s="14" t="s">
        <v>380</v>
      </c>
      <c r="F330" s="74" t="s">
        <v>13</v>
      </c>
      <c r="G330" s="14" t="s">
        <v>21</v>
      </c>
      <c r="H330" s="14" t="s">
        <v>1793</v>
      </c>
      <c r="I330" s="145" t="s">
        <v>39</v>
      </c>
      <c r="J330" s="17" t="s">
        <v>382</v>
      </c>
      <c r="K330" s="14" t="s">
        <v>1251</v>
      </c>
      <c r="L330" s="14" t="s">
        <v>2</v>
      </c>
      <c r="M330" s="37">
        <v>8116007024</v>
      </c>
      <c r="N330" s="38">
        <v>865011034738782</v>
      </c>
      <c r="O330" s="16" t="s">
        <v>39</v>
      </c>
      <c r="P330" s="17" t="s">
        <v>381</v>
      </c>
      <c r="Q330" s="17" t="s">
        <v>4174</v>
      </c>
      <c r="R330" s="40">
        <v>1999.84</v>
      </c>
      <c r="S330" s="19" t="s">
        <v>3584</v>
      </c>
      <c r="T330" s="42">
        <v>44712</v>
      </c>
      <c r="U330" s="43">
        <v>44712</v>
      </c>
      <c r="V330" s="15" t="s">
        <v>1004</v>
      </c>
      <c r="W330" s="15"/>
    </row>
    <row r="331" spans="1:23" s="34" customFormat="1" ht="29" x14ac:dyDescent="0.35">
      <c r="A331" s="15"/>
      <c r="B331" s="35">
        <v>44769</v>
      </c>
      <c r="C331" s="14">
        <v>252</v>
      </c>
      <c r="D331" s="39">
        <v>359</v>
      </c>
      <c r="E331" s="14" t="s">
        <v>1607</v>
      </c>
      <c r="F331" s="74" t="s">
        <v>13</v>
      </c>
      <c r="G331" s="17" t="s">
        <v>1805</v>
      </c>
      <c r="H331" s="17" t="s">
        <v>1787</v>
      </c>
      <c r="I331" s="145"/>
      <c r="J331" s="14" t="s">
        <v>379</v>
      </c>
      <c r="K331" s="14" t="s">
        <v>1252</v>
      </c>
      <c r="L331" s="14" t="s">
        <v>2</v>
      </c>
      <c r="M331" s="37">
        <v>8123522039</v>
      </c>
      <c r="N331" s="38">
        <v>865011034740911</v>
      </c>
      <c r="O331" s="38"/>
      <c r="P331" s="14" t="s">
        <v>378</v>
      </c>
      <c r="Q331" s="14" t="s">
        <v>8</v>
      </c>
      <c r="R331" s="40">
        <v>1999.84</v>
      </c>
      <c r="S331" s="41" t="s">
        <v>1607</v>
      </c>
      <c r="T331" s="42">
        <v>44771</v>
      </c>
      <c r="U331" s="43">
        <v>44771</v>
      </c>
      <c r="V331" s="44" t="s">
        <v>1608</v>
      </c>
      <c r="W331" s="15"/>
    </row>
    <row r="332" spans="1:23" s="34" customFormat="1" ht="29" x14ac:dyDescent="0.35">
      <c r="A332" s="15"/>
      <c r="B332" s="35">
        <v>44769</v>
      </c>
      <c r="C332" s="14">
        <v>253</v>
      </c>
      <c r="D332" s="39" t="s">
        <v>2915</v>
      </c>
      <c r="E332" s="46" t="s">
        <v>2916</v>
      </c>
      <c r="F332" s="74" t="s">
        <v>13</v>
      </c>
      <c r="G332" s="17" t="s">
        <v>1805</v>
      </c>
      <c r="H332" s="17" t="s">
        <v>1787</v>
      </c>
      <c r="I332" s="145"/>
      <c r="J332" s="14" t="s">
        <v>203</v>
      </c>
      <c r="K332" s="14" t="s">
        <v>1259</v>
      </c>
      <c r="L332" s="14" t="s">
        <v>2</v>
      </c>
      <c r="M332" s="37">
        <v>8120013048</v>
      </c>
      <c r="N332" s="38">
        <v>865011034739814</v>
      </c>
      <c r="O332" s="38"/>
      <c r="P332" s="14" t="s">
        <v>202</v>
      </c>
      <c r="Q332" s="94" t="s">
        <v>204</v>
      </c>
      <c r="R332" s="40">
        <v>1999.84</v>
      </c>
      <c r="S332" s="41" t="s">
        <v>205</v>
      </c>
      <c r="T332" s="42">
        <v>44771</v>
      </c>
      <c r="U332" s="43">
        <v>44771</v>
      </c>
      <c r="V332" s="15"/>
      <c r="W332" s="15"/>
    </row>
    <row r="333" spans="1:23" s="34" customFormat="1" ht="29" x14ac:dyDescent="0.35">
      <c r="A333" s="15"/>
      <c r="B333" s="35">
        <v>44771</v>
      </c>
      <c r="C333" s="14">
        <v>254</v>
      </c>
      <c r="D333" s="85" t="s">
        <v>3821</v>
      </c>
      <c r="E333" s="14" t="s">
        <v>377</v>
      </c>
      <c r="F333" s="74" t="s">
        <v>13</v>
      </c>
      <c r="G333" s="14" t="s">
        <v>21</v>
      </c>
      <c r="H333" s="14" t="s">
        <v>1786</v>
      </c>
      <c r="I333" s="145" t="s">
        <v>39</v>
      </c>
      <c r="J333" s="14" t="s">
        <v>376</v>
      </c>
      <c r="K333" s="14" t="s">
        <v>1254</v>
      </c>
      <c r="L333" s="14" t="s">
        <v>2</v>
      </c>
      <c r="M333" s="37">
        <v>8135516683</v>
      </c>
      <c r="N333" s="38">
        <v>865011033828758</v>
      </c>
      <c r="O333" s="16" t="s">
        <v>3822</v>
      </c>
      <c r="P333" s="17" t="s">
        <v>39</v>
      </c>
      <c r="Q333" s="17" t="s">
        <v>4174</v>
      </c>
      <c r="R333" s="40">
        <v>1999.84</v>
      </c>
      <c r="S333" s="19" t="s">
        <v>3584</v>
      </c>
      <c r="T333" s="42">
        <v>44771</v>
      </c>
      <c r="U333" s="43">
        <v>44771</v>
      </c>
      <c r="V333" s="15" t="s">
        <v>1022</v>
      </c>
      <c r="W333" s="15"/>
    </row>
    <row r="334" spans="1:23" s="34" customFormat="1" ht="29" x14ac:dyDescent="0.35">
      <c r="A334" s="15"/>
      <c r="B334" s="35">
        <v>44777</v>
      </c>
      <c r="C334" s="14">
        <v>255</v>
      </c>
      <c r="D334" s="85" t="s">
        <v>3008</v>
      </c>
      <c r="E334" s="14" t="s">
        <v>375</v>
      </c>
      <c r="F334" s="74" t="s">
        <v>13</v>
      </c>
      <c r="G334" s="14" t="s">
        <v>21</v>
      </c>
      <c r="H334" s="17" t="s">
        <v>1720</v>
      </c>
      <c r="I334" s="145" t="s">
        <v>39</v>
      </c>
      <c r="J334" s="14" t="s">
        <v>374</v>
      </c>
      <c r="K334" s="17" t="s">
        <v>3139</v>
      </c>
      <c r="L334" s="14" t="s">
        <v>2</v>
      </c>
      <c r="M334" s="37">
        <v>8128601975</v>
      </c>
      <c r="N334" s="38">
        <v>865011034741174</v>
      </c>
      <c r="O334" s="38" t="s">
        <v>3138</v>
      </c>
      <c r="P334" s="14" t="s">
        <v>3137</v>
      </c>
      <c r="Q334" s="17" t="s">
        <v>2559</v>
      </c>
      <c r="R334" s="40">
        <v>1999.84</v>
      </c>
      <c r="S334" s="19" t="s">
        <v>2977</v>
      </c>
      <c r="T334" s="42">
        <v>44771</v>
      </c>
      <c r="U334" s="43">
        <v>44771</v>
      </c>
      <c r="V334" s="15" t="s">
        <v>1022</v>
      </c>
      <c r="W334" s="15"/>
    </row>
    <row r="335" spans="1:23" s="34" customFormat="1" ht="29" x14ac:dyDescent="0.35">
      <c r="A335" s="15"/>
      <c r="B335" s="35">
        <v>44778</v>
      </c>
      <c r="C335" s="14">
        <v>256</v>
      </c>
      <c r="D335" s="85" t="s">
        <v>3823</v>
      </c>
      <c r="E335" s="14" t="s">
        <v>373</v>
      </c>
      <c r="F335" s="74" t="s">
        <v>13</v>
      </c>
      <c r="G335" s="17" t="s">
        <v>1805</v>
      </c>
      <c r="H335" s="14" t="s">
        <v>1767</v>
      </c>
      <c r="I335" s="145" t="s">
        <v>39</v>
      </c>
      <c r="J335" s="17" t="s">
        <v>24</v>
      </c>
      <c r="K335" s="14" t="s">
        <v>1255</v>
      </c>
      <c r="L335" s="14" t="s">
        <v>2</v>
      </c>
      <c r="M335" s="37">
        <v>8128601971</v>
      </c>
      <c r="N335" s="38">
        <v>865011034739566</v>
      </c>
      <c r="O335" s="16" t="s">
        <v>3825</v>
      </c>
      <c r="P335" s="17" t="s">
        <v>3824</v>
      </c>
      <c r="Q335" s="17" t="s">
        <v>4174</v>
      </c>
      <c r="R335" s="40">
        <v>1999.84</v>
      </c>
      <c r="S335" s="19" t="s">
        <v>3584</v>
      </c>
      <c r="T335" s="42">
        <v>44788</v>
      </c>
      <c r="U335" s="43">
        <v>44788</v>
      </c>
      <c r="V335" s="44">
        <v>44853.488738425927</v>
      </c>
      <c r="W335" s="15"/>
    </row>
    <row r="336" spans="1:23" s="34" customFormat="1" ht="29" x14ac:dyDescent="0.35">
      <c r="A336" s="15"/>
      <c r="B336" s="35">
        <v>44778</v>
      </c>
      <c r="C336" s="14">
        <v>257</v>
      </c>
      <c r="D336" s="74" t="s">
        <v>3140</v>
      </c>
      <c r="E336" s="14" t="s">
        <v>369</v>
      </c>
      <c r="F336" s="74" t="s">
        <v>13</v>
      </c>
      <c r="G336" s="17" t="s">
        <v>1805</v>
      </c>
      <c r="H336" s="14" t="s">
        <v>1767</v>
      </c>
      <c r="I336" s="144" t="s">
        <v>39</v>
      </c>
      <c r="J336" s="14" t="s">
        <v>26</v>
      </c>
      <c r="K336" s="14" t="s">
        <v>1256</v>
      </c>
      <c r="L336" s="14" t="s">
        <v>103</v>
      </c>
      <c r="M336" s="37">
        <v>8128601962</v>
      </c>
      <c r="N336" s="38">
        <v>865011034740788</v>
      </c>
      <c r="O336" s="14" t="s">
        <v>359</v>
      </c>
      <c r="P336" s="14" t="s">
        <v>39</v>
      </c>
      <c r="Q336" s="14" t="s">
        <v>8</v>
      </c>
      <c r="R336" s="40">
        <v>1999.84</v>
      </c>
      <c r="S336" s="41" t="s">
        <v>369</v>
      </c>
      <c r="T336" s="42">
        <v>44788</v>
      </c>
      <c r="U336" s="43">
        <v>44788</v>
      </c>
      <c r="V336" s="15"/>
      <c r="W336" s="15"/>
    </row>
    <row r="337" spans="1:23" s="34" customFormat="1" ht="29" x14ac:dyDescent="0.35">
      <c r="A337" s="15"/>
      <c r="B337" s="35">
        <v>44781</v>
      </c>
      <c r="C337" s="14">
        <v>258</v>
      </c>
      <c r="D337" s="85" t="s">
        <v>3826</v>
      </c>
      <c r="E337" s="14" t="s">
        <v>372</v>
      </c>
      <c r="F337" s="74" t="s">
        <v>13</v>
      </c>
      <c r="G337" s="14" t="s">
        <v>5</v>
      </c>
      <c r="H337" s="14" t="s">
        <v>2920</v>
      </c>
      <c r="I337" s="145" t="s">
        <v>39</v>
      </c>
      <c r="J337" s="17" t="s">
        <v>3827</v>
      </c>
      <c r="K337" s="14" t="s">
        <v>1257</v>
      </c>
      <c r="L337" s="14" t="s">
        <v>2</v>
      </c>
      <c r="M337" s="55">
        <v>8128601964</v>
      </c>
      <c r="N337" s="56">
        <v>865011034741406</v>
      </c>
      <c r="O337" s="14" t="s">
        <v>4212</v>
      </c>
      <c r="P337" s="17" t="s">
        <v>39</v>
      </c>
      <c r="Q337" s="17" t="s">
        <v>4174</v>
      </c>
      <c r="R337" s="40">
        <v>1999.84</v>
      </c>
      <c r="S337" s="19" t="s">
        <v>3584</v>
      </c>
      <c r="T337" s="42">
        <v>44788</v>
      </c>
      <c r="U337" s="43">
        <v>44788</v>
      </c>
      <c r="V337" s="44">
        <v>44813.658333333333</v>
      </c>
      <c r="W337" s="15"/>
    </row>
    <row r="338" spans="1:23" s="34" customFormat="1" ht="29" x14ac:dyDescent="0.35">
      <c r="A338" s="15"/>
      <c r="B338" s="35">
        <v>44781</v>
      </c>
      <c r="C338" s="14">
        <v>259</v>
      </c>
      <c r="D338" s="39">
        <v>366</v>
      </c>
      <c r="E338" s="14" t="s">
        <v>1607</v>
      </c>
      <c r="F338" s="74" t="s">
        <v>13</v>
      </c>
      <c r="G338" s="14" t="s">
        <v>5</v>
      </c>
      <c r="H338" s="14" t="s">
        <v>17</v>
      </c>
      <c r="I338" s="144"/>
      <c r="J338" s="14" t="s">
        <v>371</v>
      </c>
      <c r="K338" s="14" t="s">
        <v>1258</v>
      </c>
      <c r="L338" s="14" t="s">
        <v>2</v>
      </c>
      <c r="M338" s="37">
        <v>8123518525</v>
      </c>
      <c r="N338" s="38">
        <v>865011034741802</v>
      </c>
      <c r="O338" s="38"/>
      <c r="P338" s="14" t="s">
        <v>370</v>
      </c>
      <c r="Q338" s="14" t="s">
        <v>8</v>
      </c>
      <c r="R338" s="40">
        <v>1999.84</v>
      </c>
      <c r="S338" s="41" t="s">
        <v>1607</v>
      </c>
      <c r="T338" s="42">
        <v>44771</v>
      </c>
      <c r="U338" s="43">
        <v>44771</v>
      </c>
      <c r="V338" s="15" t="s">
        <v>1608</v>
      </c>
      <c r="W338" s="15"/>
    </row>
    <row r="339" spans="1:23" s="34" customFormat="1" ht="29" x14ac:dyDescent="0.35">
      <c r="A339" s="15"/>
      <c r="B339" s="35">
        <v>44782</v>
      </c>
      <c r="C339" s="14">
        <v>261</v>
      </c>
      <c r="D339" s="74" t="s">
        <v>3140</v>
      </c>
      <c r="E339" s="14" t="s">
        <v>369</v>
      </c>
      <c r="F339" s="74" t="s">
        <v>6</v>
      </c>
      <c r="G339" s="17" t="s">
        <v>1805</v>
      </c>
      <c r="H339" s="14" t="s">
        <v>1767</v>
      </c>
      <c r="I339" s="144" t="s">
        <v>39</v>
      </c>
      <c r="J339" s="14" t="s">
        <v>26</v>
      </c>
      <c r="K339" s="14" t="s">
        <v>1256</v>
      </c>
      <c r="L339" s="14" t="s">
        <v>103</v>
      </c>
      <c r="M339" s="37">
        <v>8128601962</v>
      </c>
      <c r="N339" s="38">
        <v>865011034740788</v>
      </c>
      <c r="O339" s="14" t="s">
        <v>359</v>
      </c>
      <c r="P339" s="14" t="s">
        <v>39</v>
      </c>
      <c r="Q339" s="14" t="s">
        <v>3142</v>
      </c>
      <c r="R339" s="40">
        <v>754</v>
      </c>
      <c r="S339" s="41" t="s">
        <v>369</v>
      </c>
      <c r="T339" s="42" t="s">
        <v>3143</v>
      </c>
      <c r="U339" s="43">
        <v>44788</v>
      </c>
      <c r="V339" s="15"/>
      <c r="W339" s="15"/>
    </row>
    <row r="340" spans="1:23" s="34" customFormat="1" ht="29" x14ac:dyDescent="0.35">
      <c r="A340" s="15"/>
      <c r="B340" s="35">
        <v>44782</v>
      </c>
      <c r="C340" s="14">
        <v>260</v>
      </c>
      <c r="D340" s="85" t="s">
        <v>3829</v>
      </c>
      <c r="E340" s="14" t="s">
        <v>368</v>
      </c>
      <c r="F340" s="74" t="s">
        <v>13</v>
      </c>
      <c r="G340" s="14" t="s">
        <v>5</v>
      </c>
      <c r="H340" s="14" t="s">
        <v>17</v>
      </c>
      <c r="I340" s="145" t="s">
        <v>39</v>
      </c>
      <c r="J340" s="17" t="s">
        <v>3832</v>
      </c>
      <c r="K340" s="14" t="s">
        <v>1260</v>
      </c>
      <c r="L340" s="14" t="s">
        <v>2</v>
      </c>
      <c r="M340" s="37">
        <v>8120013129</v>
      </c>
      <c r="N340" s="38">
        <v>865011034739871</v>
      </c>
      <c r="O340" s="38" t="s">
        <v>3831</v>
      </c>
      <c r="P340" s="14" t="s">
        <v>3830</v>
      </c>
      <c r="Q340" s="17" t="s">
        <v>4174</v>
      </c>
      <c r="R340" s="40">
        <v>1999.84</v>
      </c>
      <c r="S340" s="19" t="s">
        <v>3584</v>
      </c>
      <c r="T340" s="42">
        <v>44788</v>
      </c>
      <c r="U340" s="43">
        <v>44788</v>
      </c>
      <c r="V340" s="15"/>
      <c r="W340" s="15"/>
    </row>
    <row r="341" spans="1:23" s="34" customFormat="1" ht="29" x14ac:dyDescent="0.35">
      <c r="A341" s="15"/>
      <c r="B341" s="35">
        <v>44782</v>
      </c>
      <c r="C341" s="14">
        <v>262</v>
      </c>
      <c r="D341" s="85" t="s">
        <v>3010</v>
      </c>
      <c r="E341" s="14" t="s">
        <v>368</v>
      </c>
      <c r="F341" s="74" t="s">
        <v>138</v>
      </c>
      <c r="G341" s="17" t="s">
        <v>1805</v>
      </c>
      <c r="H341" s="14" t="s">
        <v>1767</v>
      </c>
      <c r="I341" s="144" t="s">
        <v>39</v>
      </c>
      <c r="J341" s="14" t="s">
        <v>2973</v>
      </c>
      <c r="K341" s="14" t="s">
        <v>1261</v>
      </c>
      <c r="L341" s="14" t="s">
        <v>2</v>
      </c>
      <c r="M341" s="37">
        <v>8128601962</v>
      </c>
      <c r="N341" s="38">
        <v>865011034740788</v>
      </c>
      <c r="O341" s="38" t="s">
        <v>39</v>
      </c>
      <c r="P341" s="14" t="s">
        <v>367</v>
      </c>
      <c r="Q341" s="14" t="s">
        <v>3141</v>
      </c>
      <c r="R341" s="40">
        <v>696</v>
      </c>
      <c r="S341" s="19" t="s">
        <v>2977</v>
      </c>
      <c r="T341" s="42">
        <v>44788</v>
      </c>
      <c r="U341" s="43">
        <v>44788</v>
      </c>
      <c r="V341" s="15"/>
      <c r="W341" s="15"/>
    </row>
    <row r="342" spans="1:23" s="34" customFormat="1" ht="29" x14ac:dyDescent="0.35">
      <c r="A342" s="15"/>
      <c r="B342" s="35">
        <v>44784</v>
      </c>
      <c r="C342" s="14">
        <v>263</v>
      </c>
      <c r="D342" s="39">
        <v>369</v>
      </c>
      <c r="E342" s="14" t="s">
        <v>330</v>
      </c>
      <c r="F342" s="74" t="s">
        <v>13</v>
      </c>
      <c r="G342" s="17" t="s">
        <v>1805</v>
      </c>
      <c r="H342" s="14" t="s">
        <v>1767</v>
      </c>
      <c r="I342" s="144"/>
      <c r="J342" s="14" t="s">
        <v>141</v>
      </c>
      <c r="K342" s="14" t="s">
        <v>1262</v>
      </c>
      <c r="L342" s="14" t="s">
        <v>103</v>
      </c>
      <c r="M342" s="37">
        <v>8120302330</v>
      </c>
      <c r="N342" s="38">
        <v>865011033831521</v>
      </c>
      <c r="O342" s="38"/>
      <c r="P342" s="14" t="s">
        <v>329</v>
      </c>
      <c r="Q342" s="14" t="s">
        <v>8</v>
      </c>
      <c r="R342" s="40">
        <v>1999.84</v>
      </c>
      <c r="S342" s="41" t="s">
        <v>1263</v>
      </c>
      <c r="T342" s="42">
        <v>44788</v>
      </c>
      <c r="U342" s="43">
        <v>44788</v>
      </c>
      <c r="V342" s="15"/>
      <c r="W342" s="15"/>
    </row>
    <row r="343" spans="1:23" s="34" customFormat="1" ht="14.5" x14ac:dyDescent="0.35">
      <c r="A343" s="15"/>
      <c r="B343" s="35">
        <v>44786</v>
      </c>
      <c r="C343" s="14">
        <v>264</v>
      </c>
      <c r="D343" s="74" t="s">
        <v>39</v>
      </c>
      <c r="E343" s="46" t="s">
        <v>39</v>
      </c>
      <c r="F343" s="39" t="s">
        <v>40</v>
      </c>
      <c r="G343" s="14" t="s">
        <v>5</v>
      </c>
      <c r="H343" s="14" t="s">
        <v>17</v>
      </c>
      <c r="I343" s="144"/>
      <c r="J343" s="14" t="s">
        <v>364</v>
      </c>
      <c r="K343" s="14" t="s">
        <v>363</v>
      </c>
      <c r="L343" s="14" t="s">
        <v>2</v>
      </c>
      <c r="M343" s="37" t="s">
        <v>39</v>
      </c>
      <c r="N343" s="38" t="s">
        <v>39</v>
      </c>
      <c r="O343" s="38"/>
      <c r="P343" s="14" t="s">
        <v>39</v>
      </c>
      <c r="Q343" s="14" t="s">
        <v>8</v>
      </c>
      <c r="R343" s="40">
        <v>290</v>
      </c>
      <c r="S343" s="41" t="s">
        <v>40</v>
      </c>
      <c r="T343" s="42">
        <v>44788</v>
      </c>
      <c r="U343" s="43">
        <v>44788</v>
      </c>
      <c r="V343" s="15"/>
      <c r="W343" s="15"/>
    </row>
    <row r="344" spans="1:23" s="34" customFormat="1" ht="14.5" x14ac:dyDescent="0.35">
      <c r="A344" s="15"/>
      <c r="B344" s="35">
        <v>44786</v>
      </c>
      <c r="C344" s="14">
        <v>266</v>
      </c>
      <c r="D344" s="74" t="s">
        <v>39</v>
      </c>
      <c r="E344" s="46" t="s">
        <v>39</v>
      </c>
      <c r="F344" s="39" t="s">
        <v>40</v>
      </c>
      <c r="G344" s="14" t="s">
        <v>5</v>
      </c>
      <c r="H344" s="14" t="s">
        <v>17</v>
      </c>
      <c r="I344" s="144"/>
      <c r="J344" s="14" t="s">
        <v>362</v>
      </c>
      <c r="K344" s="14" t="s">
        <v>361</v>
      </c>
      <c r="L344" s="14" t="s">
        <v>2</v>
      </c>
      <c r="M344" s="37">
        <v>8110480058</v>
      </c>
      <c r="N344" s="38">
        <v>865011034749193</v>
      </c>
      <c r="O344" s="38"/>
      <c r="P344" s="14" t="s">
        <v>39</v>
      </c>
      <c r="Q344" s="14" t="s">
        <v>8</v>
      </c>
      <c r="R344" s="40">
        <v>290</v>
      </c>
      <c r="S344" s="41" t="s">
        <v>40</v>
      </c>
      <c r="T344" s="42">
        <v>44788</v>
      </c>
      <c r="U344" s="43">
        <v>44788</v>
      </c>
      <c r="V344" s="15"/>
      <c r="W344" s="15"/>
    </row>
    <row r="345" spans="1:23" s="34" customFormat="1" ht="29" x14ac:dyDescent="0.35">
      <c r="A345" s="15"/>
      <c r="B345" s="35">
        <v>44786</v>
      </c>
      <c r="C345" s="14">
        <v>267</v>
      </c>
      <c r="D345" s="36" t="s">
        <v>2242</v>
      </c>
      <c r="E345" s="14" t="s">
        <v>366</v>
      </c>
      <c r="F345" s="74" t="s">
        <v>13</v>
      </c>
      <c r="G345" s="14" t="s">
        <v>5</v>
      </c>
      <c r="H345" s="14" t="s">
        <v>17</v>
      </c>
      <c r="I345" s="144"/>
      <c r="J345" s="14" t="s">
        <v>362</v>
      </c>
      <c r="K345" s="14" t="s">
        <v>1264</v>
      </c>
      <c r="L345" s="14" t="s">
        <v>2</v>
      </c>
      <c r="M345" s="37">
        <v>8110480058</v>
      </c>
      <c r="N345" s="38">
        <v>865011034749193</v>
      </c>
      <c r="O345" s="38"/>
      <c r="P345" s="14" t="s">
        <v>365</v>
      </c>
      <c r="Q345" s="14" t="s">
        <v>8</v>
      </c>
      <c r="R345" s="40">
        <v>1999.84</v>
      </c>
      <c r="S345" s="19" t="s">
        <v>2200</v>
      </c>
      <c r="T345" s="42">
        <v>44788</v>
      </c>
      <c r="U345" s="43">
        <v>44788</v>
      </c>
      <c r="V345" s="44">
        <v>45106.6562962963</v>
      </c>
      <c r="W345" s="15"/>
    </row>
    <row r="346" spans="1:23" s="34" customFormat="1" ht="29" x14ac:dyDescent="0.35">
      <c r="A346" s="15"/>
      <c r="B346" s="35">
        <v>44788</v>
      </c>
      <c r="C346" s="14">
        <v>267</v>
      </c>
      <c r="D346" s="85" t="s">
        <v>3833</v>
      </c>
      <c r="E346" s="14" t="s">
        <v>360</v>
      </c>
      <c r="F346" s="74" t="s">
        <v>13</v>
      </c>
      <c r="G346" s="17" t="s">
        <v>39</v>
      </c>
      <c r="H346" s="14" t="s">
        <v>1767</v>
      </c>
      <c r="I346" s="145" t="s">
        <v>39</v>
      </c>
      <c r="J346" s="14" t="s">
        <v>24</v>
      </c>
      <c r="K346" s="14" t="s">
        <v>1265</v>
      </c>
      <c r="L346" s="14" t="s">
        <v>103</v>
      </c>
      <c r="M346" s="37">
        <v>8134058890</v>
      </c>
      <c r="N346" s="38">
        <v>865011034749136</v>
      </c>
      <c r="O346" s="16" t="s">
        <v>359</v>
      </c>
      <c r="P346" s="17" t="s">
        <v>39</v>
      </c>
      <c r="Q346" s="17" t="s">
        <v>4174</v>
      </c>
      <c r="R346" s="40">
        <v>1999.84</v>
      </c>
      <c r="S346" s="19" t="s">
        <v>3584</v>
      </c>
      <c r="T346" s="42">
        <v>44804</v>
      </c>
      <c r="U346" s="43">
        <v>44804</v>
      </c>
      <c r="V346" s="44">
        <v>45218.631608796299</v>
      </c>
      <c r="W346" s="15"/>
    </row>
    <row r="347" spans="1:23" s="34" customFormat="1" ht="29" x14ac:dyDescent="0.35">
      <c r="A347" s="15"/>
      <c r="B347" s="35">
        <v>44789</v>
      </c>
      <c r="C347" s="14">
        <v>268</v>
      </c>
      <c r="D347" s="85" t="s">
        <v>3012</v>
      </c>
      <c r="E347" s="14" t="s">
        <v>355</v>
      </c>
      <c r="F347" s="74" t="s">
        <v>13</v>
      </c>
      <c r="G347" s="14" t="s">
        <v>5</v>
      </c>
      <c r="H347" s="14" t="s">
        <v>2919</v>
      </c>
      <c r="I347" s="144" t="s">
        <v>39</v>
      </c>
      <c r="J347" s="14" t="s">
        <v>358</v>
      </c>
      <c r="K347" s="14" t="s">
        <v>2918</v>
      </c>
      <c r="L347" s="14" t="s">
        <v>103</v>
      </c>
      <c r="M347" s="37">
        <v>8182597326</v>
      </c>
      <c r="N347" s="38">
        <v>865011034751132</v>
      </c>
      <c r="O347" s="14" t="s">
        <v>357</v>
      </c>
      <c r="P347" s="14" t="s">
        <v>39</v>
      </c>
      <c r="Q347" s="17" t="s">
        <v>2559</v>
      </c>
      <c r="R347" s="40">
        <v>1999.84</v>
      </c>
      <c r="S347" s="41" t="s">
        <v>2977</v>
      </c>
      <c r="T347" s="42">
        <v>44804</v>
      </c>
      <c r="U347" s="43">
        <v>44804</v>
      </c>
      <c r="V347" s="15" t="s">
        <v>1022</v>
      </c>
      <c r="W347" s="15"/>
    </row>
    <row r="348" spans="1:23" s="34" customFormat="1" ht="29" x14ac:dyDescent="0.35">
      <c r="A348" s="15"/>
      <c r="B348" s="35">
        <v>44789</v>
      </c>
      <c r="C348" s="14">
        <v>269</v>
      </c>
      <c r="D348" s="85" t="s">
        <v>3013</v>
      </c>
      <c r="E348" s="14" t="s">
        <v>355</v>
      </c>
      <c r="F348" s="74" t="s">
        <v>13</v>
      </c>
      <c r="G348" s="14" t="s">
        <v>5</v>
      </c>
      <c r="H348" s="14" t="s">
        <v>2921</v>
      </c>
      <c r="I348" s="144" t="s">
        <v>39</v>
      </c>
      <c r="J348" s="14" t="s">
        <v>356</v>
      </c>
      <c r="K348" s="14" t="s">
        <v>1266</v>
      </c>
      <c r="L348" s="14" t="s">
        <v>2</v>
      </c>
      <c r="M348" s="37">
        <v>8135516708</v>
      </c>
      <c r="N348" s="38">
        <v>865011034751256</v>
      </c>
      <c r="O348" s="17" t="s">
        <v>3146</v>
      </c>
      <c r="P348" s="14" t="s">
        <v>3145</v>
      </c>
      <c r="Q348" s="17" t="s">
        <v>2559</v>
      </c>
      <c r="R348" s="40">
        <v>1999.84</v>
      </c>
      <c r="S348" s="19" t="s">
        <v>2977</v>
      </c>
      <c r="T348" s="42">
        <v>44804</v>
      </c>
      <c r="U348" s="43">
        <v>44804</v>
      </c>
      <c r="V348" s="15" t="s">
        <v>1022</v>
      </c>
      <c r="W348" s="15"/>
    </row>
    <row r="349" spans="1:23" s="34" customFormat="1" ht="29" x14ac:dyDescent="0.35">
      <c r="A349" s="15"/>
      <c r="B349" s="35">
        <v>44789</v>
      </c>
      <c r="C349" s="14">
        <v>270</v>
      </c>
      <c r="D349" s="36" t="s">
        <v>2243</v>
      </c>
      <c r="E349" s="14" t="s">
        <v>355</v>
      </c>
      <c r="F349" s="74" t="s">
        <v>13</v>
      </c>
      <c r="G349" s="14" t="s">
        <v>21</v>
      </c>
      <c r="H349" s="14" t="s">
        <v>11</v>
      </c>
      <c r="I349" s="144"/>
      <c r="J349" s="14" t="s">
        <v>2972</v>
      </c>
      <c r="K349" s="14" t="s">
        <v>1267</v>
      </c>
      <c r="L349" s="14" t="s">
        <v>103</v>
      </c>
      <c r="M349" s="37">
        <v>8182594878</v>
      </c>
      <c r="N349" s="38">
        <v>868789022834369</v>
      </c>
      <c r="O349" s="38"/>
      <c r="P349" s="14" t="s">
        <v>354</v>
      </c>
      <c r="Q349" s="14" t="s">
        <v>8</v>
      </c>
      <c r="R349" s="40">
        <v>1999.84</v>
      </c>
      <c r="S349" s="19" t="s">
        <v>2200</v>
      </c>
      <c r="T349" s="42">
        <v>44804</v>
      </c>
      <c r="U349" s="43">
        <v>44804</v>
      </c>
      <c r="V349" s="44"/>
      <c r="W349" s="15"/>
    </row>
    <row r="350" spans="1:23" s="34" customFormat="1" ht="29" x14ac:dyDescent="0.35">
      <c r="A350" s="15"/>
      <c r="B350" s="35">
        <v>44792</v>
      </c>
      <c r="C350" s="14">
        <v>271</v>
      </c>
      <c r="D350" s="85" t="s">
        <v>3834</v>
      </c>
      <c r="E350" s="14" t="s">
        <v>353</v>
      </c>
      <c r="F350" s="74" t="s">
        <v>13</v>
      </c>
      <c r="G350" s="17" t="s">
        <v>1805</v>
      </c>
      <c r="H350" s="14" t="s">
        <v>1767</v>
      </c>
      <c r="I350" s="145" t="s">
        <v>39</v>
      </c>
      <c r="J350" s="17" t="s">
        <v>26</v>
      </c>
      <c r="K350" s="14" t="s">
        <v>1268</v>
      </c>
      <c r="L350" s="14" t="s">
        <v>103</v>
      </c>
      <c r="M350" s="37">
        <v>8110449057</v>
      </c>
      <c r="N350" s="38">
        <v>865011034749086</v>
      </c>
      <c r="O350" s="16" t="s">
        <v>352</v>
      </c>
      <c r="P350" s="17" t="s">
        <v>39</v>
      </c>
      <c r="Q350" s="17" t="s">
        <v>4174</v>
      </c>
      <c r="R350" s="40">
        <v>1999.84</v>
      </c>
      <c r="S350" s="19" t="s">
        <v>3584</v>
      </c>
      <c r="T350" s="42">
        <v>44804</v>
      </c>
      <c r="U350" s="43">
        <v>44804</v>
      </c>
      <c r="V350" s="15" t="s">
        <v>1022</v>
      </c>
      <c r="W350" s="15"/>
    </row>
    <row r="351" spans="1:23" s="34" customFormat="1" ht="29" x14ac:dyDescent="0.35">
      <c r="A351" s="15"/>
      <c r="B351" s="35">
        <v>44795</v>
      </c>
      <c r="C351" s="14">
        <v>272</v>
      </c>
      <c r="D351" s="85" t="s">
        <v>3014</v>
      </c>
      <c r="E351" s="14" t="s">
        <v>351</v>
      </c>
      <c r="F351" s="74" t="s">
        <v>13</v>
      </c>
      <c r="G351" s="17" t="s">
        <v>1805</v>
      </c>
      <c r="H351" s="17" t="s">
        <v>1787</v>
      </c>
      <c r="I351" s="145" t="s">
        <v>39</v>
      </c>
      <c r="J351" s="14" t="s">
        <v>2922</v>
      </c>
      <c r="K351" s="14" t="s">
        <v>2923</v>
      </c>
      <c r="L351" s="14" t="s">
        <v>2</v>
      </c>
      <c r="M351" s="37">
        <v>8110448979</v>
      </c>
      <c r="N351" s="38">
        <v>865011034752213</v>
      </c>
      <c r="O351" s="38" t="s">
        <v>3148</v>
      </c>
      <c r="P351" s="14" t="s">
        <v>3147</v>
      </c>
      <c r="Q351" s="17" t="s">
        <v>2559</v>
      </c>
      <c r="R351" s="40">
        <v>1999.84</v>
      </c>
      <c r="S351" s="19" t="s">
        <v>2977</v>
      </c>
      <c r="T351" s="42">
        <v>44804</v>
      </c>
      <c r="U351" s="43">
        <v>44804</v>
      </c>
      <c r="V351" s="15" t="s">
        <v>1022</v>
      </c>
      <c r="W351" s="15"/>
    </row>
    <row r="352" spans="1:23" s="34" customFormat="1" ht="29" x14ac:dyDescent="0.35">
      <c r="A352" s="15"/>
      <c r="B352" s="35">
        <v>44798</v>
      </c>
      <c r="C352" s="14">
        <v>273</v>
      </c>
      <c r="D352" s="36" t="s">
        <v>2244</v>
      </c>
      <c r="E352" s="14" t="s">
        <v>350</v>
      </c>
      <c r="F352" s="74" t="s">
        <v>13</v>
      </c>
      <c r="G352" s="14"/>
      <c r="H352" s="14" t="s">
        <v>1767</v>
      </c>
      <c r="I352" s="145"/>
      <c r="J352" s="17" t="s">
        <v>2245</v>
      </c>
      <c r="K352" s="14" t="s">
        <v>1269</v>
      </c>
      <c r="L352" s="14" t="s">
        <v>103</v>
      </c>
      <c r="M352" s="37">
        <v>8110800740</v>
      </c>
      <c r="N352" s="38">
        <v>865011034752072</v>
      </c>
      <c r="O352" s="38"/>
      <c r="P352" s="14" t="s">
        <v>2246</v>
      </c>
      <c r="Q352" s="14" t="s">
        <v>8</v>
      </c>
      <c r="R352" s="40">
        <v>1999.84</v>
      </c>
      <c r="S352" s="41" t="s">
        <v>2200</v>
      </c>
      <c r="T352" s="42">
        <v>44804</v>
      </c>
      <c r="U352" s="43">
        <v>44804</v>
      </c>
      <c r="V352" s="44">
        <v>45116.94295138889</v>
      </c>
      <c r="W352" s="15"/>
    </row>
    <row r="353" spans="1:23" s="34" customFormat="1" ht="29" x14ac:dyDescent="0.35">
      <c r="A353" s="15"/>
      <c r="B353" s="35">
        <v>44802</v>
      </c>
      <c r="C353" s="14">
        <v>274</v>
      </c>
      <c r="D353" s="85" t="s">
        <v>3836</v>
      </c>
      <c r="E353" s="14" t="s">
        <v>348</v>
      </c>
      <c r="F353" s="74" t="s">
        <v>13</v>
      </c>
      <c r="G353" s="17" t="s">
        <v>39</v>
      </c>
      <c r="H353" s="17" t="s">
        <v>1787</v>
      </c>
      <c r="I353" s="145" t="s">
        <v>39</v>
      </c>
      <c r="J353" s="14" t="s">
        <v>26</v>
      </c>
      <c r="K353" s="14" t="s">
        <v>1270</v>
      </c>
      <c r="L353" s="14" t="s">
        <v>103</v>
      </c>
      <c r="M353" s="37">
        <v>8120013066</v>
      </c>
      <c r="N353" s="38">
        <v>864606047594386</v>
      </c>
      <c r="O353" s="16" t="s">
        <v>39</v>
      </c>
      <c r="P353" s="17" t="s">
        <v>349</v>
      </c>
      <c r="Q353" s="17" t="s">
        <v>4174</v>
      </c>
      <c r="R353" s="40">
        <v>1999.84</v>
      </c>
      <c r="S353" s="19" t="s">
        <v>3584</v>
      </c>
      <c r="T353" s="42">
        <v>44804</v>
      </c>
      <c r="U353" s="43">
        <v>44804</v>
      </c>
      <c r="V353" s="44"/>
      <c r="W353" s="15"/>
    </row>
    <row r="354" spans="1:23" s="34" customFormat="1" ht="29" x14ac:dyDescent="0.35">
      <c r="A354" s="15"/>
      <c r="B354" s="35">
        <v>44802</v>
      </c>
      <c r="C354" s="14">
        <v>275</v>
      </c>
      <c r="D354" s="85" t="s">
        <v>3017</v>
      </c>
      <c r="E354" s="14" t="s">
        <v>348</v>
      </c>
      <c r="F354" s="74" t="s">
        <v>13</v>
      </c>
      <c r="G354" s="14" t="s">
        <v>21</v>
      </c>
      <c r="H354" s="17" t="s">
        <v>1720</v>
      </c>
      <c r="I354" s="145" t="s">
        <v>39</v>
      </c>
      <c r="J354" s="14" t="s">
        <v>347</v>
      </c>
      <c r="K354" s="14" t="s">
        <v>1271</v>
      </c>
      <c r="L354" s="14" t="s">
        <v>2</v>
      </c>
      <c r="M354" s="37">
        <v>8261715042</v>
      </c>
      <c r="N354" s="38">
        <v>863257067853426</v>
      </c>
      <c r="O354" s="38" t="s">
        <v>39</v>
      </c>
      <c r="P354" s="14" t="s">
        <v>346</v>
      </c>
      <c r="Q354" s="17" t="s">
        <v>2559</v>
      </c>
      <c r="R354" s="40">
        <v>1999.84</v>
      </c>
      <c r="S354" s="19" t="s">
        <v>2977</v>
      </c>
      <c r="T354" s="42">
        <v>44804</v>
      </c>
      <c r="U354" s="43">
        <v>44804</v>
      </c>
      <c r="V354" s="15" t="s">
        <v>1022</v>
      </c>
      <c r="W354" s="15"/>
    </row>
    <row r="355" spans="1:23" s="34" customFormat="1" ht="29" x14ac:dyDescent="0.35">
      <c r="A355" s="15"/>
      <c r="B355" s="35">
        <v>44804</v>
      </c>
      <c r="C355" s="14">
        <v>276</v>
      </c>
      <c r="D355" s="74" t="s">
        <v>2862</v>
      </c>
      <c r="E355" s="14" t="s">
        <v>345</v>
      </c>
      <c r="F355" s="74" t="s">
        <v>6</v>
      </c>
      <c r="G355" s="14" t="s">
        <v>5</v>
      </c>
      <c r="H355" s="14" t="s">
        <v>3151</v>
      </c>
      <c r="I355" s="144" t="s">
        <v>39</v>
      </c>
      <c r="J355" s="14" t="s">
        <v>344</v>
      </c>
      <c r="K355" s="14" t="s">
        <v>1272</v>
      </c>
      <c r="L355" s="14" t="s">
        <v>103</v>
      </c>
      <c r="M355" s="38">
        <v>8183963084</v>
      </c>
      <c r="N355" s="38">
        <v>863844050552089</v>
      </c>
      <c r="O355" s="38" t="s">
        <v>541</v>
      </c>
      <c r="P355" s="14" t="s">
        <v>3150</v>
      </c>
      <c r="Q355" s="14" t="s">
        <v>2865</v>
      </c>
      <c r="R355" s="40">
        <v>754</v>
      </c>
      <c r="S355" s="41" t="s">
        <v>2864</v>
      </c>
      <c r="T355" s="42" t="s">
        <v>2867</v>
      </c>
      <c r="U355" s="117">
        <v>381</v>
      </c>
      <c r="V355" s="15"/>
      <c r="W355" s="15"/>
    </row>
    <row r="356" spans="1:23" s="34" customFormat="1" ht="29" x14ac:dyDescent="0.35">
      <c r="A356" s="15"/>
      <c r="B356" s="35">
        <v>44804</v>
      </c>
      <c r="C356" s="14">
        <v>277</v>
      </c>
      <c r="D356" s="85" t="s">
        <v>3018</v>
      </c>
      <c r="E356" s="14" t="s">
        <v>342</v>
      </c>
      <c r="F356" s="74" t="s">
        <v>13</v>
      </c>
      <c r="G356" s="14" t="s">
        <v>21</v>
      </c>
      <c r="H356" s="14" t="s">
        <v>3149</v>
      </c>
      <c r="I356" s="144" t="s">
        <v>39</v>
      </c>
      <c r="J356" s="17" t="s">
        <v>3021</v>
      </c>
      <c r="K356" s="14" t="s">
        <v>1273</v>
      </c>
      <c r="L356" s="14" t="s">
        <v>103</v>
      </c>
      <c r="M356" s="37">
        <v>8119174201</v>
      </c>
      <c r="N356" s="38">
        <v>350544502824033</v>
      </c>
      <c r="O356" s="38" t="s">
        <v>39</v>
      </c>
      <c r="P356" s="14" t="s">
        <v>343</v>
      </c>
      <c r="Q356" s="17" t="s">
        <v>2559</v>
      </c>
      <c r="R356" s="40">
        <v>1999.84</v>
      </c>
      <c r="S356" s="19" t="s">
        <v>2977</v>
      </c>
      <c r="T356" s="42">
        <v>44804</v>
      </c>
      <c r="U356" s="43">
        <v>44804</v>
      </c>
      <c r="V356" s="15" t="s">
        <v>1022</v>
      </c>
      <c r="W356" s="15"/>
    </row>
    <row r="357" spans="1:23" s="34" customFormat="1" ht="29" x14ac:dyDescent="0.35">
      <c r="A357" s="15"/>
      <c r="B357" s="35">
        <v>44804</v>
      </c>
      <c r="C357" s="14">
        <v>278</v>
      </c>
      <c r="D357" s="85" t="s">
        <v>3022</v>
      </c>
      <c r="E357" s="14" t="s">
        <v>342</v>
      </c>
      <c r="F357" s="74" t="s">
        <v>138</v>
      </c>
      <c r="G357" s="14" t="s">
        <v>21</v>
      </c>
      <c r="H357" s="17" t="s">
        <v>1720</v>
      </c>
      <c r="I357" s="145" t="s">
        <v>39</v>
      </c>
      <c r="J357" s="14" t="s">
        <v>341</v>
      </c>
      <c r="K357" s="14" t="s">
        <v>1274</v>
      </c>
      <c r="L357" s="14" t="s">
        <v>2</v>
      </c>
      <c r="M357" s="38">
        <v>8183963084</v>
      </c>
      <c r="N357" s="38">
        <v>863844050552089</v>
      </c>
      <c r="O357" s="38" t="s">
        <v>39</v>
      </c>
      <c r="P357" s="14" t="s">
        <v>340</v>
      </c>
      <c r="Q357" s="14" t="s">
        <v>2866</v>
      </c>
      <c r="R357" s="40">
        <v>696</v>
      </c>
      <c r="S357" s="19" t="s">
        <v>2977</v>
      </c>
      <c r="T357" s="42">
        <v>44818</v>
      </c>
      <c r="U357" s="43">
        <v>44819</v>
      </c>
      <c r="V357" s="44"/>
      <c r="W357" s="15"/>
    </row>
    <row r="358" spans="1:23" s="34" customFormat="1" ht="29" x14ac:dyDescent="0.35">
      <c r="A358" s="15"/>
      <c r="B358" s="35">
        <v>44806</v>
      </c>
      <c r="C358" s="14">
        <v>279</v>
      </c>
      <c r="D358" s="85" t="s">
        <v>3837</v>
      </c>
      <c r="E358" s="14" t="s">
        <v>339</v>
      </c>
      <c r="F358" s="74" t="s">
        <v>13</v>
      </c>
      <c r="G358" s="17" t="s">
        <v>1805</v>
      </c>
      <c r="H358" s="17" t="s">
        <v>1787</v>
      </c>
      <c r="I358" s="145" t="s">
        <v>39</v>
      </c>
      <c r="J358" s="14" t="s">
        <v>24</v>
      </c>
      <c r="K358" s="14" t="s">
        <v>1275</v>
      </c>
      <c r="L358" s="14" t="s">
        <v>103</v>
      </c>
      <c r="M358" s="37">
        <v>8120166371</v>
      </c>
      <c r="N358" s="38">
        <v>862193028142206</v>
      </c>
      <c r="O358" s="38" t="s">
        <v>3839</v>
      </c>
      <c r="P358" s="14" t="s">
        <v>3838</v>
      </c>
      <c r="Q358" s="17" t="s">
        <v>4174</v>
      </c>
      <c r="R358" s="40">
        <v>1999.84</v>
      </c>
      <c r="S358" s="19" t="s">
        <v>3584</v>
      </c>
      <c r="T358" s="42">
        <v>44818</v>
      </c>
      <c r="U358" s="43">
        <v>44819</v>
      </c>
      <c r="V358" s="15" t="s">
        <v>1022</v>
      </c>
      <c r="W358" s="15"/>
    </row>
    <row r="359" spans="1:23" s="34" customFormat="1" ht="29" x14ac:dyDescent="0.35">
      <c r="A359" s="15"/>
      <c r="B359" s="35">
        <v>44809</v>
      </c>
      <c r="C359" s="14">
        <v>280</v>
      </c>
      <c r="D359" s="74" t="s">
        <v>2725</v>
      </c>
      <c r="E359" s="14" t="s">
        <v>338</v>
      </c>
      <c r="F359" s="74" t="s">
        <v>6</v>
      </c>
      <c r="G359" s="14"/>
      <c r="H359" s="14" t="s">
        <v>1767</v>
      </c>
      <c r="I359" s="144"/>
      <c r="J359" s="14" t="s">
        <v>337</v>
      </c>
      <c r="K359" s="14" t="s">
        <v>1276</v>
      </c>
      <c r="L359" s="14" t="s">
        <v>2</v>
      </c>
      <c r="M359" s="38">
        <v>8118241462</v>
      </c>
      <c r="N359" s="38">
        <v>863844051238373</v>
      </c>
      <c r="O359" s="38"/>
      <c r="P359" s="14" t="s">
        <v>336</v>
      </c>
      <c r="Q359" s="14" t="s">
        <v>2727</v>
      </c>
      <c r="R359" s="40">
        <v>754</v>
      </c>
      <c r="S359" s="41" t="s">
        <v>338</v>
      </c>
      <c r="T359" s="42">
        <v>44818</v>
      </c>
      <c r="U359" s="43">
        <v>44819</v>
      </c>
      <c r="V359" s="15"/>
      <c r="W359" s="15"/>
    </row>
    <row r="360" spans="1:23" s="34" customFormat="1" ht="29" x14ac:dyDescent="0.35">
      <c r="A360" s="15"/>
      <c r="B360" s="35">
        <v>44809</v>
      </c>
      <c r="C360" s="14">
        <v>281</v>
      </c>
      <c r="D360" s="85" t="s">
        <v>3841</v>
      </c>
      <c r="E360" s="14" t="s">
        <v>335</v>
      </c>
      <c r="F360" s="74" t="s">
        <v>138</v>
      </c>
      <c r="G360" s="17" t="s">
        <v>39</v>
      </c>
      <c r="H360" s="14" t="s">
        <v>1767</v>
      </c>
      <c r="I360" s="145" t="s">
        <v>39</v>
      </c>
      <c r="J360" s="14" t="s">
        <v>24</v>
      </c>
      <c r="K360" s="14" t="s">
        <v>1277</v>
      </c>
      <c r="L360" s="14" t="s">
        <v>2</v>
      </c>
      <c r="M360" s="38">
        <v>8118241462</v>
      </c>
      <c r="N360" s="38">
        <v>863844051238373</v>
      </c>
      <c r="O360" s="16" t="s">
        <v>3843</v>
      </c>
      <c r="P360" s="17" t="s">
        <v>3842</v>
      </c>
      <c r="Q360" s="14" t="s">
        <v>2726</v>
      </c>
      <c r="R360" s="40">
        <v>696</v>
      </c>
      <c r="S360" s="19" t="s">
        <v>3584</v>
      </c>
      <c r="T360" s="42">
        <v>44818</v>
      </c>
      <c r="U360" s="43">
        <v>44819</v>
      </c>
      <c r="V360" s="44"/>
      <c r="W360" s="15"/>
    </row>
    <row r="361" spans="1:23" s="34" customFormat="1" ht="29" x14ac:dyDescent="0.35">
      <c r="A361" s="15"/>
      <c r="B361" s="35">
        <v>44816</v>
      </c>
      <c r="C361" s="14">
        <v>282</v>
      </c>
      <c r="D361" s="39" t="s">
        <v>39</v>
      </c>
      <c r="E361" s="46" t="s">
        <v>39</v>
      </c>
      <c r="F361" s="39" t="s">
        <v>40</v>
      </c>
      <c r="G361" s="14" t="s">
        <v>21</v>
      </c>
      <c r="H361" s="14" t="s">
        <v>2930</v>
      </c>
      <c r="I361" s="144"/>
      <c r="J361" s="14" t="s">
        <v>333</v>
      </c>
      <c r="K361" s="14" t="s">
        <v>332</v>
      </c>
      <c r="L361" s="14" t="s">
        <v>103</v>
      </c>
      <c r="M361" s="38" t="s">
        <v>39</v>
      </c>
      <c r="N361" s="38" t="s">
        <v>39</v>
      </c>
      <c r="O361" s="38"/>
      <c r="P361" s="14" t="s">
        <v>39</v>
      </c>
      <c r="Q361" s="14" t="s">
        <v>8</v>
      </c>
      <c r="R361" s="40">
        <v>290</v>
      </c>
      <c r="S361" s="41" t="s">
        <v>40</v>
      </c>
      <c r="T361" s="42">
        <v>44818</v>
      </c>
      <c r="U361" s="43">
        <v>44819</v>
      </c>
      <c r="V361" s="15"/>
      <c r="W361" s="15"/>
    </row>
    <row r="362" spans="1:23" s="34" customFormat="1" ht="29" x14ac:dyDescent="0.35">
      <c r="A362" s="15"/>
      <c r="B362" s="35">
        <v>44817</v>
      </c>
      <c r="C362" s="14">
        <v>283</v>
      </c>
      <c r="D362" s="39" t="s">
        <v>39</v>
      </c>
      <c r="E362" s="46" t="s">
        <v>39</v>
      </c>
      <c r="F362" s="39" t="s">
        <v>40</v>
      </c>
      <c r="G362" s="14" t="s">
        <v>21</v>
      </c>
      <c r="H362" s="14" t="s">
        <v>2930</v>
      </c>
      <c r="I362" s="144"/>
      <c r="J362" s="14" t="s">
        <v>333</v>
      </c>
      <c r="K362" s="14" t="s">
        <v>332</v>
      </c>
      <c r="L362" s="14" t="s">
        <v>103</v>
      </c>
      <c r="M362" s="38" t="s">
        <v>39</v>
      </c>
      <c r="N362" s="38" t="s">
        <v>39</v>
      </c>
      <c r="O362" s="38"/>
      <c r="P362" s="14" t="s">
        <v>39</v>
      </c>
      <c r="Q362" s="14" t="s">
        <v>8</v>
      </c>
      <c r="R362" s="40">
        <v>290</v>
      </c>
      <c r="S362" s="41" t="s">
        <v>40</v>
      </c>
      <c r="T362" s="42">
        <v>44818</v>
      </c>
      <c r="U362" s="43">
        <v>44819</v>
      </c>
      <c r="V362" s="15"/>
      <c r="W362" s="15"/>
    </row>
    <row r="363" spans="1:23" s="34" customFormat="1" ht="29" x14ac:dyDescent="0.35">
      <c r="A363" s="15"/>
      <c r="B363" s="35">
        <v>44817</v>
      </c>
      <c r="C363" s="14">
        <v>284</v>
      </c>
      <c r="D363" s="85" t="s">
        <v>3024</v>
      </c>
      <c r="E363" s="14" t="s">
        <v>334</v>
      </c>
      <c r="F363" s="74" t="s">
        <v>13</v>
      </c>
      <c r="G363" s="14" t="s">
        <v>21</v>
      </c>
      <c r="H363" s="14" t="s">
        <v>2929</v>
      </c>
      <c r="I363" s="144" t="s">
        <v>39</v>
      </c>
      <c r="J363" s="14" t="s">
        <v>2928</v>
      </c>
      <c r="K363" s="14" t="s">
        <v>1278</v>
      </c>
      <c r="L363" s="14" t="s">
        <v>2</v>
      </c>
      <c r="M363" s="38">
        <v>8123551033</v>
      </c>
      <c r="N363" s="38">
        <v>863830030950436</v>
      </c>
      <c r="O363" s="38" t="s">
        <v>3153</v>
      </c>
      <c r="P363" s="14" t="s">
        <v>3152</v>
      </c>
      <c r="Q363" s="17" t="s">
        <v>2559</v>
      </c>
      <c r="R363" s="40">
        <v>1999.84</v>
      </c>
      <c r="S363" s="19" t="s">
        <v>2977</v>
      </c>
      <c r="T363" s="42">
        <v>44818</v>
      </c>
      <c r="U363" s="43">
        <v>44819</v>
      </c>
      <c r="V363" s="44">
        <v>45218.858784722222</v>
      </c>
      <c r="W363" s="15"/>
    </row>
    <row r="364" spans="1:23" s="34" customFormat="1" ht="29" x14ac:dyDescent="0.35">
      <c r="A364" s="15"/>
      <c r="B364" s="35">
        <v>44818</v>
      </c>
      <c r="C364" s="14">
        <v>285</v>
      </c>
      <c r="D364" s="85" t="s">
        <v>3025</v>
      </c>
      <c r="E364" s="14" t="s">
        <v>331</v>
      </c>
      <c r="F364" s="74" t="s">
        <v>13</v>
      </c>
      <c r="G364" s="17" t="s">
        <v>1805</v>
      </c>
      <c r="H364" s="17" t="s">
        <v>1787</v>
      </c>
      <c r="I364" s="145" t="s">
        <v>39</v>
      </c>
      <c r="J364" s="14" t="s">
        <v>2924</v>
      </c>
      <c r="K364" s="14" t="s">
        <v>2925</v>
      </c>
      <c r="L364" s="14" t="s">
        <v>103</v>
      </c>
      <c r="M364" s="38">
        <v>8261715039</v>
      </c>
      <c r="N364" s="38">
        <v>359857084508191</v>
      </c>
      <c r="O364" s="38" t="s">
        <v>3155</v>
      </c>
      <c r="P364" s="14" t="s">
        <v>3154</v>
      </c>
      <c r="Q364" s="17" t="s">
        <v>2559</v>
      </c>
      <c r="R364" s="40">
        <v>1999.84</v>
      </c>
      <c r="S364" s="19" t="s">
        <v>2977</v>
      </c>
      <c r="T364" s="42">
        <v>44834</v>
      </c>
      <c r="U364" s="43">
        <v>44834</v>
      </c>
      <c r="V364" s="15" t="s">
        <v>1022</v>
      </c>
      <c r="W364" s="15"/>
    </row>
    <row r="365" spans="1:23" s="34" customFormat="1" ht="29" x14ac:dyDescent="0.35">
      <c r="A365" s="15"/>
      <c r="B365" s="35">
        <v>44819</v>
      </c>
      <c r="C365" s="14">
        <v>287</v>
      </c>
      <c r="D365" s="39">
        <v>369</v>
      </c>
      <c r="E365" s="14" t="s">
        <v>330</v>
      </c>
      <c r="F365" s="74" t="s">
        <v>6</v>
      </c>
      <c r="G365" s="17" t="s">
        <v>1805</v>
      </c>
      <c r="H365" s="14" t="s">
        <v>1767</v>
      </c>
      <c r="I365" s="144"/>
      <c r="J365" s="14" t="s">
        <v>141</v>
      </c>
      <c r="K365" s="14" t="s">
        <v>1262</v>
      </c>
      <c r="L365" s="14" t="s">
        <v>103</v>
      </c>
      <c r="M365" s="37">
        <v>8120302330</v>
      </c>
      <c r="N365" s="38">
        <v>865011033831521</v>
      </c>
      <c r="O365" s="38"/>
      <c r="P365" s="14" t="s">
        <v>329</v>
      </c>
      <c r="Q365" s="14" t="s">
        <v>8</v>
      </c>
      <c r="R365" s="40">
        <v>0</v>
      </c>
      <c r="S365" s="41" t="s">
        <v>1263</v>
      </c>
      <c r="T365" s="42">
        <v>44834</v>
      </c>
      <c r="U365" s="43">
        <v>44834</v>
      </c>
      <c r="V365" s="15"/>
      <c r="W365" s="15"/>
    </row>
    <row r="366" spans="1:23" s="34" customFormat="1" ht="29" x14ac:dyDescent="0.35">
      <c r="A366" s="15"/>
      <c r="B366" s="35">
        <v>44819</v>
      </c>
      <c r="C366" s="14">
        <v>286</v>
      </c>
      <c r="D366" s="85" t="s">
        <v>3845</v>
      </c>
      <c r="E366" s="14" t="s">
        <v>328</v>
      </c>
      <c r="F366" s="74" t="s">
        <v>13</v>
      </c>
      <c r="G366" s="17" t="s">
        <v>1805</v>
      </c>
      <c r="H366" s="17" t="s">
        <v>1787</v>
      </c>
      <c r="I366" s="145" t="s">
        <v>39</v>
      </c>
      <c r="J366" s="14" t="s">
        <v>26</v>
      </c>
      <c r="K366" s="14" t="s">
        <v>1279</v>
      </c>
      <c r="L366" s="14" t="s">
        <v>2</v>
      </c>
      <c r="M366" s="38">
        <v>8123544892</v>
      </c>
      <c r="N366" s="38">
        <v>868034000292227</v>
      </c>
      <c r="O366" s="38" t="s">
        <v>3847</v>
      </c>
      <c r="P366" s="14" t="s">
        <v>3846</v>
      </c>
      <c r="Q366" s="17" t="s">
        <v>4174</v>
      </c>
      <c r="R366" s="40">
        <v>1999.84</v>
      </c>
      <c r="S366" s="19" t="s">
        <v>3584</v>
      </c>
      <c r="T366" s="42">
        <v>44834</v>
      </c>
      <c r="U366" s="43">
        <v>44834</v>
      </c>
      <c r="V366" s="15"/>
      <c r="W366" s="15"/>
    </row>
    <row r="367" spans="1:23" s="34" customFormat="1" ht="29" x14ac:dyDescent="0.35">
      <c r="A367" s="15"/>
      <c r="B367" s="35">
        <v>44821</v>
      </c>
      <c r="C367" s="14">
        <v>288</v>
      </c>
      <c r="D367" s="85" t="s">
        <v>3848</v>
      </c>
      <c r="E367" s="14" t="s">
        <v>327</v>
      </c>
      <c r="F367" s="74" t="s">
        <v>138</v>
      </c>
      <c r="G367" s="17" t="s">
        <v>1805</v>
      </c>
      <c r="H367" s="17" t="s">
        <v>1787</v>
      </c>
      <c r="I367" s="145" t="s">
        <v>39</v>
      </c>
      <c r="J367" s="17" t="s">
        <v>26</v>
      </c>
      <c r="K367" s="14" t="s">
        <v>1280</v>
      </c>
      <c r="L367" s="14" t="s">
        <v>103</v>
      </c>
      <c r="M367" s="37">
        <v>8120302330</v>
      </c>
      <c r="N367" s="38" t="s">
        <v>4214</v>
      </c>
      <c r="O367" s="16" t="s">
        <v>3850</v>
      </c>
      <c r="P367" s="17" t="s">
        <v>3849</v>
      </c>
      <c r="Q367" s="17" t="s">
        <v>4174</v>
      </c>
      <c r="R367" s="40">
        <v>0</v>
      </c>
      <c r="S367" s="19" t="s">
        <v>3584</v>
      </c>
      <c r="T367" s="42">
        <v>44834</v>
      </c>
      <c r="U367" s="43">
        <v>44834</v>
      </c>
      <c r="V367" s="15"/>
      <c r="W367" s="15"/>
    </row>
    <row r="368" spans="1:23" s="34" customFormat="1" ht="29" x14ac:dyDescent="0.35">
      <c r="A368" s="15"/>
      <c r="B368" s="35">
        <v>44830</v>
      </c>
      <c r="C368" s="14">
        <v>289</v>
      </c>
      <c r="D368" s="85" t="s">
        <v>3852</v>
      </c>
      <c r="E368" s="14" t="s">
        <v>326</v>
      </c>
      <c r="F368" s="74" t="s">
        <v>13</v>
      </c>
      <c r="G368" s="17" t="s">
        <v>1805</v>
      </c>
      <c r="H368" s="17" t="s">
        <v>1787</v>
      </c>
      <c r="I368" s="145" t="s">
        <v>39</v>
      </c>
      <c r="J368" s="17" t="s">
        <v>26</v>
      </c>
      <c r="K368" s="14" t="s">
        <v>1281</v>
      </c>
      <c r="L368" s="14" t="s">
        <v>2</v>
      </c>
      <c r="M368" s="38">
        <v>8180772262</v>
      </c>
      <c r="N368" s="38">
        <v>863756050044745</v>
      </c>
      <c r="O368" s="38" t="s">
        <v>3853</v>
      </c>
      <c r="P368" s="14" t="s">
        <v>4215</v>
      </c>
      <c r="Q368" s="17" t="s">
        <v>4174</v>
      </c>
      <c r="R368" s="40">
        <v>1999.84</v>
      </c>
      <c r="S368" s="19" t="s">
        <v>3584</v>
      </c>
      <c r="T368" s="42">
        <v>44834</v>
      </c>
      <c r="U368" s="43">
        <v>44834</v>
      </c>
      <c r="V368" s="15" t="s">
        <v>1004</v>
      </c>
      <c r="W368" s="15"/>
    </row>
    <row r="369" spans="1:23" s="34" customFormat="1" ht="29" x14ac:dyDescent="0.35">
      <c r="A369" s="15"/>
      <c r="B369" s="35">
        <v>44832</v>
      </c>
      <c r="C369" s="14">
        <v>290</v>
      </c>
      <c r="D369" s="85" t="s">
        <v>3027</v>
      </c>
      <c r="E369" s="14" t="s">
        <v>325</v>
      </c>
      <c r="F369" s="74" t="s">
        <v>13</v>
      </c>
      <c r="G369" s="17" t="s">
        <v>1805</v>
      </c>
      <c r="H369" s="14" t="s">
        <v>1767</v>
      </c>
      <c r="I369" s="145" t="s">
        <v>39</v>
      </c>
      <c r="J369" s="17" t="s">
        <v>2063</v>
      </c>
      <c r="K369" s="14" t="s">
        <v>2064</v>
      </c>
      <c r="L369" s="14" t="s">
        <v>103</v>
      </c>
      <c r="M369" s="37">
        <v>8112528118</v>
      </c>
      <c r="N369" s="38">
        <v>868998039483314</v>
      </c>
      <c r="O369" s="38" t="s">
        <v>3158</v>
      </c>
      <c r="P369" s="14" t="s">
        <v>324</v>
      </c>
      <c r="Q369" s="17" t="s">
        <v>2559</v>
      </c>
      <c r="R369" s="40">
        <v>1999.84</v>
      </c>
      <c r="S369" s="19" t="s">
        <v>2977</v>
      </c>
      <c r="T369" s="42">
        <v>44834</v>
      </c>
      <c r="U369" s="43">
        <v>44834</v>
      </c>
      <c r="V369" s="15"/>
      <c r="W369" s="15"/>
    </row>
    <row r="370" spans="1:23" s="34" customFormat="1" ht="29" x14ac:dyDescent="0.35">
      <c r="A370" s="15"/>
      <c r="B370" s="35">
        <v>44834</v>
      </c>
      <c r="C370" s="14">
        <v>291</v>
      </c>
      <c r="D370" s="85" t="s">
        <v>3028</v>
      </c>
      <c r="E370" s="14" t="s">
        <v>323</v>
      </c>
      <c r="F370" s="74" t="s">
        <v>13</v>
      </c>
      <c r="G370" s="14" t="s">
        <v>5</v>
      </c>
      <c r="H370" s="14" t="s">
        <v>17</v>
      </c>
      <c r="I370" s="144" t="s">
        <v>39</v>
      </c>
      <c r="J370" s="14" t="s">
        <v>322</v>
      </c>
      <c r="K370" s="14" t="s">
        <v>1282</v>
      </c>
      <c r="L370" s="14" t="s">
        <v>103</v>
      </c>
      <c r="M370" s="37">
        <v>8118205369</v>
      </c>
      <c r="N370" s="38">
        <v>863756050046310</v>
      </c>
      <c r="O370" s="38" t="s">
        <v>3160</v>
      </c>
      <c r="P370" s="14" t="s">
        <v>3159</v>
      </c>
      <c r="Q370" s="17" t="s">
        <v>2559</v>
      </c>
      <c r="R370" s="40">
        <v>1999.84</v>
      </c>
      <c r="S370" s="19" t="s">
        <v>2977</v>
      </c>
      <c r="T370" s="42">
        <v>44834</v>
      </c>
      <c r="U370" s="43">
        <v>44834</v>
      </c>
      <c r="V370" s="15" t="s">
        <v>1004</v>
      </c>
      <c r="W370" s="15"/>
    </row>
    <row r="371" spans="1:23" s="34" customFormat="1" ht="29" x14ac:dyDescent="0.35">
      <c r="A371" s="15"/>
      <c r="B371" s="35">
        <v>44835</v>
      </c>
      <c r="C371" s="14">
        <v>292</v>
      </c>
      <c r="D371" s="85" t="s">
        <v>3029</v>
      </c>
      <c r="E371" s="14" t="s">
        <v>320</v>
      </c>
      <c r="F371" s="74" t="s">
        <v>13</v>
      </c>
      <c r="G371" s="14" t="s">
        <v>5</v>
      </c>
      <c r="H371" s="14" t="s">
        <v>2932</v>
      </c>
      <c r="I371" s="144" t="s">
        <v>39</v>
      </c>
      <c r="J371" s="14" t="s">
        <v>321</v>
      </c>
      <c r="K371" s="17" t="s">
        <v>3030</v>
      </c>
      <c r="L371" s="14" t="s">
        <v>103</v>
      </c>
      <c r="M371" s="37">
        <v>8119088985</v>
      </c>
      <c r="N371" s="38">
        <v>863940059314628</v>
      </c>
      <c r="O371" s="38" t="s">
        <v>3163</v>
      </c>
      <c r="P371" s="14" t="s">
        <v>3162</v>
      </c>
      <c r="Q371" s="17" t="s">
        <v>2559</v>
      </c>
      <c r="R371" s="40">
        <v>1999.84</v>
      </c>
      <c r="S371" s="19" t="s">
        <v>2977</v>
      </c>
      <c r="T371" s="42">
        <v>44834</v>
      </c>
      <c r="U371" s="43">
        <v>44834</v>
      </c>
      <c r="V371" s="15" t="s">
        <v>1004</v>
      </c>
      <c r="W371" s="15"/>
    </row>
    <row r="372" spans="1:23" s="34" customFormat="1" ht="29" x14ac:dyDescent="0.35">
      <c r="A372" s="15"/>
      <c r="B372" s="35">
        <v>44835</v>
      </c>
      <c r="C372" s="14">
        <v>293</v>
      </c>
      <c r="D372" s="36" t="s">
        <v>2247</v>
      </c>
      <c r="E372" s="14" t="s">
        <v>320</v>
      </c>
      <c r="F372" s="74" t="s">
        <v>13</v>
      </c>
      <c r="G372" s="14" t="s">
        <v>5</v>
      </c>
      <c r="H372" s="14" t="s">
        <v>11</v>
      </c>
      <c r="I372" s="144"/>
      <c r="J372" s="14" t="s">
        <v>319</v>
      </c>
      <c r="K372" s="14" t="s">
        <v>1283</v>
      </c>
      <c r="L372" s="14" t="s">
        <v>2</v>
      </c>
      <c r="M372" s="37">
        <v>8115316213</v>
      </c>
      <c r="N372" s="38">
        <v>86756050069205</v>
      </c>
      <c r="O372" s="38"/>
      <c r="P372" s="14" t="s">
        <v>318</v>
      </c>
      <c r="Q372" s="14" t="s">
        <v>8</v>
      </c>
      <c r="R372" s="40">
        <v>1999.84</v>
      </c>
      <c r="S372" s="19" t="s">
        <v>2200</v>
      </c>
      <c r="T372" s="42">
        <v>44848</v>
      </c>
      <c r="U372" s="43">
        <v>44848</v>
      </c>
      <c r="V372" s="44"/>
      <c r="W372" s="15"/>
    </row>
    <row r="373" spans="1:23" s="34" customFormat="1" ht="29" x14ac:dyDescent="0.35">
      <c r="A373" s="15"/>
      <c r="B373" s="35">
        <v>44838</v>
      </c>
      <c r="C373" s="14">
        <v>294</v>
      </c>
      <c r="D373" s="85" t="s">
        <v>3854</v>
      </c>
      <c r="E373" s="14" t="s">
        <v>317</v>
      </c>
      <c r="F373" s="74" t="s">
        <v>13</v>
      </c>
      <c r="G373" s="17" t="s">
        <v>1805</v>
      </c>
      <c r="H373" s="14" t="s">
        <v>1767</v>
      </c>
      <c r="I373" s="145" t="s">
        <v>39</v>
      </c>
      <c r="J373" s="17" t="s">
        <v>26</v>
      </c>
      <c r="K373" s="14" t="s">
        <v>1284</v>
      </c>
      <c r="L373" s="14" t="s">
        <v>2</v>
      </c>
      <c r="M373" s="37">
        <v>8123530336</v>
      </c>
      <c r="N373" s="38">
        <v>863756050059776</v>
      </c>
      <c r="O373" s="38" t="s">
        <v>3857</v>
      </c>
      <c r="P373" s="14" t="s">
        <v>3856</v>
      </c>
      <c r="Q373" s="17" t="s">
        <v>4174</v>
      </c>
      <c r="R373" s="40">
        <v>1999.84</v>
      </c>
      <c r="S373" s="19" t="s">
        <v>3584</v>
      </c>
      <c r="T373" s="42">
        <v>44834</v>
      </c>
      <c r="U373" s="43">
        <v>44834</v>
      </c>
      <c r="V373" s="15" t="s">
        <v>1004</v>
      </c>
      <c r="W373" s="15"/>
    </row>
    <row r="374" spans="1:23" s="34" customFormat="1" ht="29" x14ac:dyDescent="0.35">
      <c r="A374" s="15"/>
      <c r="B374" s="35">
        <v>44839</v>
      </c>
      <c r="C374" s="14">
        <v>295</v>
      </c>
      <c r="D374" s="39">
        <v>394</v>
      </c>
      <c r="E374" s="14" t="s">
        <v>181</v>
      </c>
      <c r="F374" s="74" t="s">
        <v>180</v>
      </c>
      <c r="G374" s="17" t="s">
        <v>1805</v>
      </c>
      <c r="H374" s="17" t="s">
        <v>1787</v>
      </c>
      <c r="I374" s="145"/>
      <c r="J374" s="14" t="s">
        <v>24</v>
      </c>
      <c r="K374" s="14" t="s">
        <v>179</v>
      </c>
      <c r="L374" s="14" t="s">
        <v>2</v>
      </c>
      <c r="M374" s="37">
        <v>8122027795</v>
      </c>
      <c r="N374" s="38">
        <v>863756050044208</v>
      </c>
      <c r="O374" s="38"/>
      <c r="P374" s="14" t="s">
        <v>178</v>
      </c>
      <c r="Q374" s="14" t="s">
        <v>8</v>
      </c>
      <c r="R374" s="40">
        <v>1999.84</v>
      </c>
      <c r="S374" s="41" t="s">
        <v>181</v>
      </c>
      <c r="T374" s="42">
        <v>44848</v>
      </c>
      <c r="U374" s="43">
        <v>44848</v>
      </c>
      <c r="V374" s="15"/>
      <c r="W374" s="15"/>
    </row>
    <row r="375" spans="1:23" s="34" customFormat="1" ht="29" x14ac:dyDescent="0.35">
      <c r="A375" s="15"/>
      <c r="B375" s="35">
        <v>44840</v>
      </c>
      <c r="C375" s="14">
        <v>296</v>
      </c>
      <c r="D375" s="85" t="s">
        <v>3859</v>
      </c>
      <c r="E375" s="14" t="s">
        <v>316</v>
      </c>
      <c r="F375" s="74" t="s">
        <v>13</v>
      </c>
      <c r="G375" s="17" t="s">
        <v>1805</v>
      </c>
      <c r="H375" s="14" t="s">
        <v>1767</v>
      </c>
      <c r="I375" s="145" t="s">
        <v>39</v>
      </c>
      <c r="J375" s="17" t="s">
        <v>24</v>
      </c>
      <c r="K375" s="14" t="s">
        <v>1288</v>
      </c>
      <c r="L375" s="14" t="s">
        <v>2</v>
      </c>
      <c r="M375" s="37">
        <v>8116039768</v>
      </c>
      <c r="N375" s="38">
        <v>863756050045593</v>
      </c>
      <c r="O375" s="38" t="s">
        <v>3860</v>
      </c>
      <c r="P375" s="14" t="s">
        <v>4216</v>
      </c>
      <c r="Q375" s="17" t="s">
        <v>4174</v>
      </c>
      <c r="R375" s="40">
        <v>1999.84</v>
      </c>
      <c r="S375" s="19" t="s">
        <v>3584</v>
      </c>
      <c r="T375" s="42">
        <v>44848</v>
      </c>
      <c r="U375" s="43">
        <v>44848</v>
      </c>
      <c r="V375" s="44">
        <v>45218.980115740742</v>
      </c>
      <c r="W375" s="15"/>
    </row>
    <row r="376" spans="1:23" s="34" customFormat="1" ht="29" x14ac:dyDescent="0.35">
      <c r="A376" s="15"/>
      <c r="B376" s="35">
        <v>44840</v>
      </c>
      <c r="C376" s="14">
        <v>297</v>
      </c>
      <c r="D376" s="85" t="s">
        <v>3862</v>
      </c>
      <c r="E376" s="14" t="s">
        <v>316</v>
      </c>
      <c r="F376" s="74" t="s">
        <v>13</v>
      </c>
      <c r="G376" s="17" t="s">
        <v>1805</v>
      </c>
      <c r="H376" s="17" t="s">
        <v>1787</v>
      </c>
      <c r="I376" s="145" t="s">
        <v>39</v>
      </c>
      <c r="J376" s="14" t="s">
        <v>26</v>
      </c>
      <c r="K376" s="14" t="s">
        <v>1287</v>
      </c>
      <c r="L376" s="14" t="s">
        <v>2</v>
      </c>
      <c r="M376" s="37">
        <v>8126310857</v>
      </c>
      <c r="N376" s="38">
        <v>863756050056525</v>
      </c>
      <c r="O376" s="38" t="s">
        <v>3864</v>
      </c>
      <c r="P376" s="14" t="s">
        <v>3863</v>
      </c>
      <c r="Q376" s="17" t="s">
        <v>4174</v>
      </c>
      <c r="R376" s="40">
        <v>1999.84</v>
      </c>
      <c r="S376" s="19" t="s">
        <v>3584</v>
      </c>
      <c r="T376" s="42">
        <v>44834</v>
      </c>
      <c r="U376" s="43">
        <v>44834</v>
      </c>
      <c r="V376" s="15" t="s">
        <v>1004</v>
      </c>
      <c r="W376" s="15"/>
    </row>
    <row r="377" spans="1:23" s="34" customFormat="1" ht="29" x14ac:dyDescent="0.35">
      <c r="A377" s="15"/>
      <c r="B377" s="35">
        <v>44842</v>
      </c>
      <c r="C377" s="14">
        <v>298</v>
      </c>
      <c r="D377" s="85" t="s">
        <v>3587</v>
      </c>
      <c r="E377" s="14" t="s">
        <v>315</v>
      </c>
      <c r="F377" s="74" t="s">
        <v>13</v>
      </c>
      <c r="G377" s="17" t="s">
        <v>1805</v>
      </c>
      <c r="H377" s="17" t="s">
        <v>1787</v>
      </c>
      <c r="I377" s="145" t="s">
        <v>39</v>
      </c>
      <c r="J377" s="17" t="s">
        <v>3609</v>
      </c>
      <c r="K377" s="14" t="s">
        <v>1286</v>
      </c>
      <c r="L377" s="14" t="s">
        <v>103</v>
      </c>
      <c r="M377" s="37">
        <v>8116840550</v>
      </c>
      <c r="N377" s="38">
        <v>863756050065245</v>
      </c>
      <c r="O377" s="38" t="s">
        <v>39</v>
      </c>
      <c r="P377" s="14" t="s">
        <v>314</v>
      </c>
      <c r="Q377" s="17" t="s">
        <v>2559</v>
      </c>
      <c r="R377" s="40">
        <v>1999.84</v>
      </c>
      <c r="S377" s="19" t="s">
        <v>3584</v>
      </c>
      <c r="T377" s="42">
        <v>44834</v>
      </c>
      <c r="U377" s="43">
        <v>44834</v>
      </c>
      <c r="V377" s="15" t="s">
        <v>1004</v>
      </c>
      <c r="W377" s="15"/>
    </row>
    <row r="378" spans="1:23" s="34" customFormat="1" ht="29" x14ac:dyDescent="0.35">
      <c r="A378" s="15"/>
      <c r="B378" s="35">
        <v>44845</v>
      </c>
      <c r="C378" s="14">
        <v>299</v>
      </c>
      <c r="D378" s="85" t="s">
        <v>3866</v>
      </c>
      <c r="E378" s="14" t="s">
        <v>313</v>
      </c>
      <c r="F378" s="74" t="s">
        <v>13</v>
      </c>
      <c r="G378" s="17" t="s">
        <v>1805</v>
      </c>
      <c r="H378" s="17" t="s">
        <v>1787</v>
      </c>
      <c r="I378" s="145" t="s">
        <v>39</v>
      </c>
      <c r="J378" s="14" t="s">
        <v>24</v>
      </c>
      <c r="K378" s="14" t="s">
        <v>1285</v>
      </c>
      <c r="L378" s="14" t="s">
        <v>103</v>
      </c>
      <c r="M378" s="37">
        <v>8118226605</v>
      </c>
      <c r="N378" s="38">
        <v>863756050072779</v>
      </c>
      <c r="O378" s="38" t="s">
        <v>3868</v>
      </c>
      <c r="P378" s="14" t="s">
        <v>3867</v>
      </c>
      <c r="Q378" s="17" t="s">
        <v>4174</v>
      </c>
      <c r="R378" s="40">
        <v>1999.84</v>
      </c>
      <c r="S378" s="19" t="s">
        <v>3584</v>
      </c>
      <c r="T378" s="42">
        <v>44834</v>
      </c>
      <c r="U378" s="43">
        <v>44834</v>
      </c>
      <c r="V378" s="15" t="s">
        <v>1004</v>
      </c>
      <c r="W378" s="15"/>
    </row>
    <row r="379" spans="1:23" s="34" customFormat="1" ht="29" x14ac:dyDescent="0.35">
      <c r="A379" s="15"/>
      <c r="B379" s="35">
        <v>44846</v>
      </c>
      <c r="C379" s="14">
        <v>300</v>
      </c>
      <c r="D379" s="39" t="s">
        <v>2620</v>
      </c>
      <c r="E379" s="14" t="s">
        <v>312</v>
      </c>
      <c r="F379" s="74" t="s">
        <v>180</v>
      </c>
      <c r="G379" s="14" t="s">
        <v>311</v>
      </c>
      <c r="H379" s="14" t="s">
        <v>310</v>
      </c>
      <c r="I379" s="144" t="s">
        <v>39</v>
      </c>
      <c r="J379" s="14" t="s">
        <v>3565</v>
      </c>
      <c r="K379" s="14" t="s">
        <v>1037</v>
      </c>
      <c r="L379" s="14" t="s">
        <v>2</v>
      </c>
      <c r="M379" s="37">
        <v>345901012158881</v>
      </c>
      <c r="N379" s="38">
        <v>865011032759343</v>
      </c>
      <c r="O379" s="38" t="s">
        <v>309</v>
      </c>
      <c r="P379" s="14" t="s">
        <v>39</v>
      </c>
      <c r="Q379" s="14" t="s">
        <v>3566</v>
      </c>
      <c r="R379" s="40">
        <v>0</v>
      </c>
      <c r="S379" s="41" t="s">
        <v>1024</v>
      </c>
      <c r="T379" s="42">
        <v>44848</v>
      </c>
      <c r="U379" s="43">
        <v>44848</v>
      </c>
      <c r="V379" s="15"/>
      <c r="W379" s="15"/>
    </row>
    <row r="380" spans="1:23" s="34" customFormat="1" ht="29" x14ac:dyDescent="0.35">
      <c r="A380" s="15"/>
      <c r="B380" s="35">
        <v>44846</v>
      </c>
      <c r="C380" s="14">
        <v>301</v>
      </c>
      <c r="D380" s="85" t="s">
        <v>3031</v>
      </c>
      <c r="E380" s="14" t="s">
        <v>308</v>
      </c>
      <c r="F380" s="74" t="s">
        <v>13</v>
      </c>
      <c r="G380" s="14" t="s">
        <v>21</v>
      </c>
      <c r="H380" s="14" t="s">
        <v>1786</v>
      </c>
      <c r="I380" s="144" t="s">
        <v>39</v>
      </c>
      <c r="J380" s="17" t="s">
        <v>3032</v>
      </c>
      <c r="K380" s="14" t="s">
        <v>2933</v>
      </c>
      <c r="L380" s="14" t="s">
        <v>103</v>
      </c>
      <c r="M380" s="37">
        <v>8118003443</v>
      </c>
      <c r="N380" s="38">
        <v>863257067777393</v>
      </c>
      <c r="O380" s="38" t="s">
        <v>39</v>
      </c>
      <c r="P380" s="14" t="s">
        <v>307</v>
      </c>
      <c r="Q380" s="17" t="s">
        <v>2559</v>
      </c>
      <c r="R380" s="40">
        <v>1999.84</v>
      </c>
      <c r="S380" s="19" t="s">
        <v>2977</v>
      </c>
      <c r="T380" s="42">
        <v>44834</v>
      </c>
      <c r="U380" s="43">
        <v>44834</v>
      </c>
      <c r="V380" s="15" t="s">
        <v>1004</v>
      </c>
      <c r="W380" s="15"/>
    </row>
    <row r="381" spans="1:23" s="34" customFormat="1" ht="29" x14ac:dyDescent="0.35">
      <c r="A381" s="15"/>
      <c r="B381" s="35">
        <v>44846</v>
      </c>
      <c r="C381" s="14">
        <v>302</v>
      </c>
      <c r="D381" s="39" t="s">
        <v>39</v>
      </c>
      <c r="E381" s="46" t="s">
        <v>39</v>
      </c>
      <c r="F381" s="39" t="s">
        <v>40</v>
      </c>
      <c r="G381" s="14" t="s">
        <v>21</v>
      </c>
      <c r="H381" s="14" t="s">
        <v>4203</v>
      </c>
      <c r="I381" s="144"/>
      <c r="J381" s="14" t="s">
        <v>305</v>
      </c>
      <c r="K381" s="14" t="s">
        <v>2909</v>
      </c>
      <c r="L381" s="14" t="s">
        <v>103</v>
      </c>
      <c r="M381" s="37"/>
      <c r="N381" s="38"/>
      <c r="O381" s="38"/>
      <c r="P381" s="14"/>
      <c r="Q381" s="14" t="s">
        <v>8</v>
      </c>
      <c r="R381" s="40">
        <v>290</v>
      </c>
      <c r="S381" s="41" t="s">
        <v>40</v>
      </c>
      <c r="T381" s="42">
        <v>44848</v>
      </c>
      <c r="U381" s="43">
        <v>44848</v>
      </c>
      <c r="V381" s="15"/>
      <c r="W381" s="15"/>
    </row>
    <row r="382" spans="1:23" s="34" customFormat="1" ht="29" x14ac:dyDescent="0.35">
      <c r="A382" s="15"/>
      <c r="B382" s="35">
        <v>44847</v>
      </c>
      <c r="C382" s="14">
        <v>303</v>
      </c>
      <c r="D382" s="39" t="s">
        <v>39</v>
      </c>
      <c r="E382" s="46" t="s">
        <v>39</v>
      </c>
      <c r="F382" s="39" t="s">
        <v>40</v>
      </c>
      <c r="G382" s="14" t="s">
        <v>21</v>
      </c>
      <c r="H382" s="14" t="s">
        <v>1793</v>
      </c>
      <c r="I382" s="144"/>
      <c r="J382" s="14" t="s">
        <v>305</v>
      </c>
      <c r="K382" s="14" t="s">
        <v>2909</v>
      </c>
      <c r="L382" s="14" t="s">
        <v>103</v>
      </c>
      <c r="M382" s="37"/>
      <c r="N382" s="38"/>
      <c r="O382" s="38"/>
      <c r="P382" s="14"/>
      <c r="Q382" s="14" t="s">
        <v>8</v>
      </c>
      <c r="R382" s="40">
        <v>290</v>
      </c>
      <c r="S382" s="41" t="s">
        <v>40</v>
      </c>
      <c r="T382" s="42">
        <v>44848</v>
      </c>
      <c r="U382" s="43">
        <v>44848</v>
      </c>
      <c r="V382" s="15"/>
      <c r="W382" s="15"/>
    </row>
    <row r="383" spans="1:23" s="34" customFormat="1" ht="29" x14ac:dyDescent="0.35">
      <c r="A383" s="15"/>
      <c r="B383" s="35">
        <v>44848</v>
      </c>
      <c r="C383" s="14">
        <v>304</v>
      </c>
      <c r="D383" s="85" t="s">
        <v>3378</v>
      </c>
      <c r="E383" s="14" t="s">
        <v>306</v>
      </c>
      <c r="F383" s="74" t="s">
        <v>13</v>
      </c>
      <c r="G383" s="14" t="s">
        <v>21</v>
      </c>
      <c r="H383" s="14" t="s">
        <v>1793</v>
      </c>
      <c r="I383" s="144" t="s">
        <v>39</v>
      </c>
      <c r="J383" s="121" t="s">
        <v>3430</v>
      </c>
      <c r="K383" s="14" t="s">
        <v>3337</v>
      </c>
      <c r="L383" s="14" t="s">
        <v>103</v>
      </c>
      <c r="M383" s="37">
        <v>8111658070</v>
      </c>
      <c r="N383" s="38">
        <v>359857084336320</v>
      </c>
      <c r="O383" s="38" t="s">
        <v>3429</v>
      </c>
      <c r="P383" s="14" t="s">
        <v>3428</v>
      </c>
      <c r="Q383" s="17" t="s">
        <v>2559</v>
      </c>
      <c r="R383" s="40">
        <v>1999.84</v>
      </c>
      <c r="S383" s="19" t="s">
        <v>3329</v>
      </c>
      <c r="T383" s="42">
        <v>44834</v>
      </c>
      <c r="U383" s="43">
        <v>44834</v>
      </c>
      <c r="V383" s="15" t="s">
        <v>1004</v>
      </c>
      <c r="W383" s="15"/>
    </row>
    <row r="384" spans="1:23" s="34" customFormat="1" ht="29" x14ac:dyDescent="0.35">
      <c r="A384" s="15"/>
      <c r="B384" s="35">
        <v>44852</v>
      </c>
      <c r="C384" s="14">
        <v>305</v>
      </c>
      <c r="D384" s="85" t="s">
        <v>3034</v>
      </c>
      <c r="E384" s="14" t="s">
        <v>304</v>
      </c>
      <c r="F384" s="74" t="s">
        <v>13</v>
      </c>
      <c r="G384" s="14" t="s">
        <v>21</v>
      </c>
      <c r="H384" s="14" t="s">
        <v>1786</v>
      </c>
      <c r="I384" s="144" t="s">
        <v>39</v>
      </c>
      <c r="J384" s="17" t="s">
        <v>3164</v>
      </c>
      <c r="K384" s="17" t="s">
        <v>3035</v>
      </c>
      <c r="L384" s="14" t="s">
        <v>2</v>
      </c>
      <c r="M384" s="37">
        <v>8112096871</v>
      </c>
      <c r="N384" s="38">
        <v>863756050074650</v>
      </c>
      <c r="O384" s="38" t="s">
        <v>3166</v>
      </c>
      <c r="P384" s="14" t="s">
        <v>3165</v>
      </c>
      <c r="Q384" s="17" t="s">
        <v>2559</v>
      </c>
      <c r="R384" s="40">
        <v>1999.84</v>
      </c>
      <c r="S384" s="19" t="s">
        <v>2977</v>
      </c>
      <c r="T384" s="42">
        <v>44865</v>
      </c>
      <c r="U384" s="43">
        <v>44865</v>
      </c>
      <c r="V384" s="44">
        <v>45197.835740740738</v>
      </c>
      <c r="W384" s="15"/>
    </row>
    <row r="385" spans="1:23" s="34" customFormat="1" ht="29" x14ac:dyDescent="0.35">
      <c r="A385" s="15"/>
      <c r="B385" s="35">
        <v>44853</v>
      </c>
      <c r="C385" s="14">
        <v>306</v>
      </c>
      <c r="D385" s="85" t="s">
        <v>3870</v>
      </c>
      <c r="E385" s="14" t="s">
        <v>303</v>
      </c>
      <c r="F385" s="74" t="s">
        <v>13</v>
      </c>
      <c r="G385" s="17" t="s">
        <v>1805</v>
      </c>
      <c r="H385" s="14" t="s">
        <v>1767</v>
      </c>
      <c r="I385" s="145" t="s">
        <v>39</v>
      </c>
      <c r="J385" s="14" t="s">
        <v>141</v>
      </c>
      <c r="K385" s="14" t="s">
        <v>1289</v>
      </c>
      <c r="L385" s="14" t="s">
        <v>2</v>
      </c>
      <c r="M385" s="37">
        <v>8116008105</v>
      </c>
      <c r="N385" s="38">
        <v>868166052932365</v>
      </c>
      <c r="O385" s="38" t="s">
        <v>3872</v>
      </c>
      <c r="P385" s="14" t="s">
        <v>3871</v>
      </c>
      <c r="Q385" s="17" t="s">
        <v>4174</v>
      </c>
      <c r="R385" s="40">
        <v>1999.84</v>
      </c>
      <c r="S385" s="19" t="s">
        <v>3584</v>
      </c>
      <c r="T385" s="42">
        <v>44834</v>
      </c>
      <c r="U385" s="43">
        <v>44834</v>
      </c>
      <c r="V385" s="15" t="s">
        <v>1004</v>
      </c>
      <c r="W385" s="15"/>
    </row>
    <row r="386" spans="1:23" s="34" customFormat="1" ht="29" x14ac:dyDescent="0.35">
      <c r="A386" s="15"/>
      <c r="B386" s="35">
        <v>44858</v>
      </c>
      <c r="C386" s="14">
        <v>307</v>
      </c>
      <c r="D386" s="36" t="s">
        <v>2248</v>
      </c>
      <c r="E386" s="14" t="s">
        <v>302</v>
      </c>
      <c r="F386" s="74" t="s">
        <v>13</v>
      </c>
      <c r="G386" s="14"/>
      <c r="H386" s="17" t="s">
        <v>1787</v>
      </c>
      <c r="I386" s="145"/>
      <c r="J386" s="17" t="s">
        <v>2249</v>
      </c>
      <c r="K386" s="14" t="s">
        <v>2250</v>
      </c>
      <c r="L386" s="14" t="s">
        <v>2</v>
      </c>
      <c r="M386" s="37">
        <v>8115165731</v>
      </c>
      <c r="N386" s="38">
        <v>863756050062978</v>
      </c>
      <c r="O386" s="38"/>
      <c r="P386" s="14" t="s">
        <v>301</v>
      </c>
      <c r="Q386" s="14" t="s">
        <v>8</v>
      </c>
      <c r="R386" s="40">
        <v>1999.84</v>
      </c>
      <c r="S386" s="19" t="s">
        <v>2200</v>
      </c>
      <c r="T386" s="42">
        <v>44834</v>
      </c>
      <c r="U386" s="43">
        <v>44834</v>
      </c>
      <c r="V386" s="15" t="s">
        <v>1004</v>
      </c>
      <c r="W386" s="15"/>
    </row>
    <row r="387" spans="1:23" s="34" customFormat="1" ht="29" x14ac:dyDescent="0.35">
      <c r="A387" s="15"/>
      <c r="B387" s="35">
        <v>44860</v>
      </c>
      <c r="C387" s="14">
        <v>308</v>
      </c>
      <c r="D387" s="85" t="s">
        <v>3375</v>
      </c>
      <c r="E387" s="14" t="s">
        <v>300</v>
      </c>
      <c r="F387" s="74" t="s">
        <v>13</v>
      </c>
      <c r="G387" s="17" t="s">
        <v>1805</v>
      </c>
      <c r="H387" s="14" t="s">
        <v>1767</v>
      </c>
      <c r="I387" s="144" t="s">
        <v>39</v>
      </c>
      <c r="J387" s="121" t="s">
        <v>3352</v>
      </c>
      <c r="K387" s="14" t="s">
        <v>1290</v>
      </c>
      <c r="L387" s="14" t="s">
        <v>103</v>
      </c>
      <c r="M387" s="37">
        <v>8116006518</v>
      </c>
      <c r="N387" s="38">
        <v>863756050070468</v>
      </c>
      <c r="O387" s="16" t="s">
        <v>3432</v>
      </c>
      <c r="P387" s="14" t="s">
        <v>3431</v>
      </c>
      <c r="Q387" s="17" t="s">
        <v>2559</v>
      </c>
      <c r="R387" s="40">
        <v>1999.84</v>
      </c>
      <c r="S387" s="19" t="s">
        <v>3329</v>
      </c>
      <c r="T387" s="42">
        <v>44834</v>
      </c>
      <c r="U387" s="43">
        <v>44834</v>
      </c>
      <c r="V387" s="15" t="s">
        <v>1004</v>
      </c>
      <c r="W387" s="15"/>
    </row>
    <row r="388" spans="1:23" s="34" customFormat="1" ht="29" x14ac:dyDescent="0.35">
      <c r="A388" s="15"/>
      <c r="B388" s="35">
        <v>44865</v>
      </c>
      <c r="C388" s="14">
        <v>309</v>
      </c>
      <c r="D388" s="85" t="s">
        <v>3036</v>
      </c>
      <c r="E388" s="14" t="s">
        <v>299</v>
      </c>
      <c r="F388" s="74" t="s">
        <v>13</v>
      </c>
      <c r="G388" s="17" t="s">
        <v>1805</v>
      </c>
      <c r="H388" s="14" t="s">
        <v>1767</v>
      </c>
      <c r="I388" s="144" t="s">
        <v>39</v>
      </c>
      <c r="J388" s="14" t="s">
        <v>2964</v>
      </c>
      <c r="K388" s="14" t="s">
        <v>2963</v>
      </c>
      <c r="L388" s="14" t="s">
        <v>2</v>
      </c>
      <c r="M388" s="37">
        <v>8116006531</v>
      </c>
      <c r="N388" s="38">
        <v>863756050069536</v>
      </c>
      <c r="O388" s="38" t="s">
        <v>3168</v>
      </c>
      <c r="P388" s="14" t="s">
        <v>3167</v>
      </c>
      <c r="Q388" s="17" t="s">
        <v>2559</v>
      </c>
      <c r="R388" s="40">
        <v>1999.84</v>
      </c>
      <c r="S388" s="19" t="s">
        <v>2977</v>
      </c>
      <c r="T388" s="42">
        <v>44834</v>
      </c>
      <c r="U388" s="43">
        <v>44834</v>
      </c>
      <c r="V388" s="15" t="s">
        <v>1004</v>
      </c>
      <c r="W388" s="15"/>
    </row>
    <row r="389" spans="1:23" s="34" customFormat="1" ht="29" x14ac:dyDescent="0.35">
      <c r="A389" s="15"/>
      <c r="B389" s="35">
        <v>44865</v>
      </c>
      <c r="C389" s="14">
        <v>310</v>
      </c>
      <c r="D389" s="85" t="s">
        <v>3873</v>
      </c>
      <c r="E389" s="14" t="s">
        <v>299</v>
      </c>
      <c r="F389" s="74" t="s">
        <v>13</v>
      </c>
      <c r="G389" s="17" t="s">
        <v>1805</v>
      </c>
      <c r="H389" s="17" t="s">
        <v>1787</v>
      </c>
      <c r="I389" s="145" t="s">
        <v>39</v>
      </c>
      <c r="J389" s="17" t="s">
        <v>24</v>
      </c>
      <c r="K389" s="14" t="s">
        <v>1291</v>
      </c>
      <c r="L389" s="14" t="s">
        <v>2</v>
      </c>
      <c r="M389" s="37">
        <v>8116006510</v>
      </c>
      <c r="N389" s="38">
        <v>863756050059586</v>
      </c>
      <c r="O389" s="38" t="s">
        <v>3875</v>
      </c>
      <c r="P389" s="14" t="s">
        <v>3874</v>
      </c>
      <c r="Q389" s="17" t="s">
        <v>4174</v>
      </c>
      <c r="R389" s="40">
        <v>1999.84</v>
      </c>
      <c r="S389" s="19" t="s">
        <v>3584</v>
      </c>
      <c r="T389" s="42">
        <v>44865</v>
      </c>
      <c r="U389" s="43">
        <v>44865</v>
      </c>
      <c r="V389" s="44">
        <v>45168.756331018521</v>
      </c>
      <c r="W389" s="15"/>
    </row>
    <row r="390" spans="1:23" s="34" customFormat="1" ht="29" x14ac:dyDescent="0.35">
      <c r="A390" s="15"/>
      <c r="B390" s="35">
        <v>44865</v>
      </c>
      <c r="C390" s="14">
        <v>310</v>
      </c>
      <c r="D390" s="85" t="s">
        <v>3873</v>
      </c>
      <c r="E390" s="14" t="s">
        <v>294</v>
      </c>
      <c r="F390" s="74" t="s">
        <v>36</v>
      </c>
      <c r="G390" s="17" t="s">
        <v>1805</v>
      </c>
      <c r="H390" s="17" t="s">
        <v>1787</v>
      </c>
      <c r="I390" s="145" t="s">
        <v>39</v>
      </c>
      <c r="J390" s="17" t="s">
        <v>24</v>
      </c>
      <c r="K390" s="14" t="s">
        <v>1291</v>
      </c>
      <c r="L390" s="14" t="s">
        <v>2</v>
      </c>
      <c r="M390" s="37">
        <v>8116006510</v>
      </c>
      <c r="N390" s="38">
        <v>863756050059586</v>
      </c>
      <c r="O390" s="38" t="s">
        <v>3875</v>
      </c>
      <c r="P390" s="14" t="s">
        <v>3874</v>
      </c>
      <c r="Q390" s="94" t="s">
        <v>298</v>
      </c>
      <c r="R390" s="40">
        <v>0</v>
      </c>
      <c r="S390" s="19" t="s">
        <v>3584</v>
      </c>
      <c r="T390" s="42">
        <v>44865</v>
      </c>
      <c r="U390" s="43">
        <v>44865</v>
      </c>
      <c r="V390" s="15"/>
      <c r="W390" s="15"/>
    </row>
    <row r="391" spans="1:23" s="34" customFormat="1" ht="29" x14ac:dyDescent="0.35">
      <c r="A391" s="15"/>
      <c r="B391" s="35">
        <v>44869</v>
      </c>
      <c r="C391" s="14">
        <v>311</v>
      </c>
      <c r="D391" s="36" t="s">
        <v>1994</v>
      </c>
      <c r="E391" s="85" t="s">
        <v>294</v>
      </c>
      <c r="F391" s="74" t="s">
        <v>13</v>
      </c>
      <c r="G391" s="14" t="s">
        <v>5</v>
      </c>
      <c r="H391" s="14" t="s">
        <v>17</v>
      </c>
      <c r="I391" s="144"/>
      <c r="J391" s="14" t="s">
        <v>297</v>
      </c>
      <c r="K391" s="14" t="s">
        <v>1292</v>
      </c>
      <c r="L391" s="14" t="s">
        <v>2</v>
      </c>
      <c r="M391" s="37">
        <v>8119170609</v>
      </c>
      <c r="N391" s="38">
        <v>863756050116055</v>
      </c>
      <c r="O391" s="38"/>
      <c r="P391" s="14" t="s">
        <v>296</v>
      </c>
      <c r="Q391" s="14" t="s">
        <v>8</v>
      </c>
      <c r="R391" s="40">
        <v>1999.84</v>
      </c>
      <c r="S391" s="41" t="s">
        <v>1931</v>
      </c>
      <c r="T391" s="42">
        <v>44880</v>
      </c>
      <c r="U391" s="43"/>
      <c r="V391" s="44">
        <v>45112.705069444448</v>
      </c>
      <c r="W391" s="15"/>
    </row>
    <row r="392" spans="1:23" s="34" customFormat="1" ht="29" x14ac:dyDescent="0.35">
      <c r="A392" s="15"/>
      <c r="B392" s="35">
        <v>44869</v>
      </c>
      <c r="C392" s="14">
        <v>312</v>
      </c>
      <c r="D392" s="85" t="s">
        <v>3876</v>
      </c>
      <c r="E392" s="14" t="s">
        <v>294</v>
      </c>
      <c r="F392" s="74" t="s">
        <v>13</v>
      </c>
      <c r="G392" s="17" t="s">
        <v>1805</v>
      </c>
      <c r="H392" s="17" t="s">
        <v>1787</v>
      </c>
      <c r="I392" s="145" t="s">
        <v>39</v>
      </c>
      <c r="J392" s="17" t="s">
        <v>26</v>
      </c>
      <c r="K392" s="17" t="s">
        <v>4217</v>
      </c>
      <c r="L392" s="14" t="s">
        <v>103</v>
      </c>
      <c r="M392" s="37">
        <v>8118249772</v>
      </c>
      <c r="N392" s="38">
        <v>863756050122574</v>
      </c>
      <c r="O392" s="16" t="s">
        <v>39</v>
      </c>
      <c r="P392" s="14" t="s">
        <v>295</v>
      </c>
      <c r="Q392" s="17" t="s">
        <v>4174</v>
      </c>
      <c r="R392" s="40">
        <v>1999.84</v>
      </c>
      <c r="S392" s="19" t="s">
        <v>3584</v>
      </c>
      <c r="T392" s="42">
        <v>44880</v>
      </c>
      <c r="U392" s="43"/>
      <c r="V392" s="15" t="s">
        <v>1022</v>
      </c>
      <c r="W392" s="15"/>
    </row>
    <row r="393" spans="1:23" s="34" customFormat="1" ht="29" x14ac:dyDescent="0.35">
      <c r="A393" s="15"/>
      <c r="B393" s="35">
        <v>44869</v>
      </c>
      <c r="C393" s="14">
        <v>313</v>
      </c>
      <c r="D393" s="36" t="s">
        <v>2251</v>
      </c>
      <c r="E393" s="17" t="s">
        <v>1505</v>
      </c>
      <c r="F393" s="74" t="s">
        <v>13</v>
      </c>
      <c r="G393" s="14" t="s">
        <v>5</v>
      </c>
      <c r="H393" s="14" t="s">
        <v>17</v>
      </c>
      <c r="I393" s="145"/>
      <c r="J393" s="17" t="s">
        <v>2252</v>
      </c>
      <c r="K393" s="14" t="s">
        <v>1293</v>
      </c>
      <c r="L393" s="14" t="s">
        <v>2</v>
      </c>
      <c r="M393" s="37">
        <v>8119774593</v>
      </c>
      <c r="N393" s="38">
        <v>863756050116675</v>
      </c>
      <c r="O393" s="38"/>
      <c r="P393" s="14" t="s">
        <v>293</v>
      </c>
      <c r="Q393" s="39" t="s">
        <v>2032</v>
      </c>
      <c r="R393" s="40">
        <v>1999.84</v>
      </c>
      <c r="S393" s="41" t="s">
        <v>1504</v>
      </c>
      <c r="T393" s="42">
        <v>44880</v>
      </c>
      <c r="U393" s="43"/>
      <c r="V393" s="15"/>
      <c r="W393" s="15"/>
    </row>
    <row r="394" spans="1:23" s="34" customFormat="1" ht="29" x14ac:dyDescent="0.35">
      <c r="A394" s="15"/>
      <c r="B394" s="35">
        <v>44869</v>
      </c>
      <c r="C394" s="14">
        <v>314</v>
      </c>
      <c r="D394" s="39" t="s">
        <v>39</v>
      </c>
      <c r="E394" s="57">
        <v>44869</v>
      </c>
      <c r="F394" s="39" t="s">
        <v>40</v>
      </c>
      <c r="G394" s="14" t="s">
        <v>5</v>
      </c>
      <c r="H394" s="14" t="s">
        <v>17</v>
      </c>
      <c r="I394" s="144"/>
      <c r="J394" s="14" t="s">
        <v>292</v>
      </c>
      <c r="K394" s="14" t="s">
        <v>291</v>
      </c>
      <c r="L394" s="14" t="s">
        <v>2</v>
      </c>
      <c r="M394" s="37" t="s">
        <v>39</v>
      </c>
      <c r="N394" s="38" t="s">
        <v>39</v>
      </c>
      <c r="O394" s="38"/>
      <c r="P394" s="14" t="s">
        <v>39</v>
      </c>
      <c r="Q394" s="14" t="s">
        <v>290</v>
      </c>
      <c r="R394" s="40">
        <v>290</v>
      </c>
      <c r="S394" s="41" t="s">
        <v>40</v>
      </c>
      <c r="T394" s="42">
        <v>44880</v>
      </c>
      <c r="U394" s="43"/>
      <c r="V394" s="15"/>
      <c r="W394" s="15"/>
    </row>
    <row r="395" spans="1:23" s="34" customFormat="1" ht="29" x14ac:dyDescent="0.35">
      <c r="A395" s="15"/>
      <c r="B395" s="35">
        <v>44869</v>
      </c>
      <c r="C395" s="14">
        <v>315</v>
      </c>
      <c r="D395" s="39" t="s">
        <v>39</v>
      </c>
      <c r="E395" s="57">
        <v>44869</v>
      </c>
      <c r="F395" s="39" t="s">
        <v>40</v>
      </c>
      <c r="G395" s="14" t="s">
        <v>5</v>
      </c>
      <c r="H395" s="14" t="s">
        <v>11</v>
      </c>
      <c r="I395" s="144"/>
      <c r="J395" s="14" t="s">
        <v>264</v>
      </c>
      <c r="K395" s="14" t="s">
        <v>289</v>
      </c>
      <c r="L395" s="14" t="s">
        <v>103</v>
      </c>
      <c r="M395" s="37" t="s">
        <v>39</v>
      </c>
      <c r="N395" s="38" t="s">
        <v>39</v>
      </c>
      <c r="O395" s="38"/>
      <c r="P395" s="14" t="s">
        <v>39</v>
      </c>
      <c r="Q395" s="14" t="s">
        <v>288</v>
      </c>
      <c r="R395" s="40">
        <v>290</v>
      </c>
      <c r="S395" s="41" t="s">
        <v>40</v>
      </c>
      <c r="T395" s="42">
        <v>44880</v>
      </c>
      <c r="U395" s="43"/>
      <c r="V395" s="15"/>
      <c r="W395" s="15"/>
    </row>
    <row r="396" spans="1:23" s="34" customFormat="1" ht="29" x14ac:dyDescent="0.35">
      <c r="A396" s="15"/>
      <c r="B396" s="35">
        <v>44869</v>
      </c>
      <c r="C396" s="14">
        <v>316</v>
      </c>
      <c r="D396" s="39" t="s">
        <v>39</v>
      </c>
      <c r="E396" s="57">
        <v>44869</v>
      </c>
      <c r="F396" s="39" t="s">
        <v>40</v>
      </c>
      <c r="G396" s="14" t="s">
        <v>5</v>
      </c>
      <c r="H396" s="14" t="s">
        <v>11</v>
      </c>
      <c r="I396" s="144"/>
      <c r="J396" s="14" t="s">
        <v>287</v>
      </c>
      <c r="K396" s="14" t="s">
        <v>286</v>
      </c>
      <c r="L396" s="14" t="s">
        <v>103</v>
      </c>
      <c r="M396" s="37" t="s">
        <v>39</v>
      </c>
      <c r="N396" s="38" t="s">
        <v>39</v>
      </c>
      <c r="O396" s="38"/>
      <c r="P396" s="14" t="s">
        <v>39</v>
      </c>
      <c r="Q396" s="14" t="s">
        <v>285</v>
      </c>
      <c r="R396" s="40">
        <v>290</v>
      </c>
      <c r="S396" s="41" t="s">
        <v>40</v>
      </c>
      <c r="T396" s="42">
        <v>44880</v>
      </c>
      <c r="U396" s="43"/>
      <c r="V396" s="15"/>
      <c r="W396" s="15"/>
    </row>
    <row r="397" spans="1:23" s="34" customFormat="1" ht="29" x14ac:dyDescent="0.35">
      <c r="A397" s="15"/>
      <c r="B397" s="35">
        <v>44869</v>
      </c>
      <c r="C397" s="14">
        <v>317</v>
      </c>
      <c r="D397" s="39" t="s">
        <v>39</v>
      </c>
      <c r="E397" s="57">
        <v>44869</v>
      </c>
      <c r="F397" s="39" t="s">
        <v>40</v>
      </c>
      <c r="G397" s="14" t="s">
        <v>5</v>
      </c>
      <c r="H397" s="14" t="s">
        <v>11</v>
      </c>
      <c r="I397" s="144"/>
      <c r="J397" s="14" t="s">
        <v>284</v>
      </c>
      <c r="K397" s="14" t="s">
        <v>283</v>
      </c>
      <c r="L397" s="14" t="s">
        <v>103</v>
      </c>
      <c r="M397" s="37" t="s">
        <v>39</v>
      </c>
      <c r="N397" s="38" t="s">
        <v>39</v>
      </c>
      <c r="O397" s="38"/>
      <c r="P397" s="14" t="s">
        <v>39</v>
      </c>
      <c r="Q397" s="14" t="s">
        <v>282</v>
      </c>
      <c r="R397" s="40">
        <v>290</v>
      </c>
      <c r="S397" s="41" t="s">
        <v>40</v>
      </c>
      <c r="T397" s="42">
        <v>44880</v>
      </c>
      <c r="U397" s="43"/>
      <c r="V397" s="15"/>
      <c r="W397" s="15"/>
    </row>
    <row r="398" spans="1:23" s="34" customFormat="1" ht="43.5" x14ac:dyDescent="0.35">
      <c r="A398" s="15"/>
      <c r="B398" s="35">
        <v>44869</v>
      </c>
      <c r="C398" s="14">
        <v>318</v>
      </c>
      <c r="D398" s="39" t="s">
        <v>39</v>
      </c>
      <c r="E398" s="57">
        <v>44869</v>
      </c>
      <c r="F398" s="39" t="s">
        <v>40</v>
      </c>
      <c r="G398" s="14" t="s">
        <v>5</v>
      </c>
      <c r="H398" s="14" t="s">
        <v>11</v>
      </c>
      <c r="I398" s="144"/>
      <c r="J398" s="14" t="s">
        <v>281</v>
      </c>
      <c r="K398" s="14" t="s">
        <v>280</v>
      </c>
      <c r="L398" s="14" t="s">
        <v>103</v>
      </c>
      <c r="M398" s="37" t="s">
        <v>39</v>
      </c>
      <c r="N398" s="38" t="s">
        <v>39</v>
      </c>
      <c r="O398" s="38"/>
      <c r="P398" s="14" t="s">
        <v>39</v>
      </c>
      <c r="Q398" s="14" t="s">
        <v>279</v>
      </c>
      <c r="R398" s="40">
        <v>290</v>
      </c>
      <c r="S398" s="41" t="s">
        <v>40</v>
      </c>
      <c r="T398" s="42">
        <v>44880</v>
      </c>
      <c r="U398" s="43"/>
      <c r="V398" s="15"/>
      <c r="W398" s="15"/>
    </row>
    <row r="399" spans="1:23" s="34" customFormat="1" ht="29" x14ac:dyDescent="0.35">
      <c r="A399" s="15"/>
      <c r="B399" s="35">
        <v>44875</v>
      </c>
      <c r="C399" s="14">
        <v>319</v>
      </c>
      <c r="D399" s="36" t="s">
        <v>2001</v>
      </c>
      <c r="E399" s="85" t="s">
        <v>2945</v>
      </c>
      <c r="F399" s="74" t="s">
        <v>13</v>
      </c>
      <c r="G399" s="17" t="s">
        <v>1805</v>
      </c>
      <c r="H399" s="14" t="s">
        <v>1767</v>
      </c>
      <c r="I399" s="145"/>
      <c r="J399" s="17" t="s">
        <v>2946</v>
      </c>
      <c r="K399" s="17" t="s">
        <v>2002</v>
      </c>
      <c r="L399" s="14" t="s">
        <v>2</v>
      </c>
      <c r="M399" s="37">
        <v>8120013133</v>
      </c>
      <c r="N399" s="38">
        <v>863756050055832</v>
      </c>
      <c r="O399" s="38"/>
      <c r="P399" s="14" t="s">
        <v>278</v>
      </c>
      <c r="Q399" s="14" t="s">
        <v>8</v>
      </c>
      <c r="R399" s="40">
        <v>1999.84</v>
      </c>
      <c r="S399" s="41" t="s">
        <v>1931</v>
      </c>
      <c r="T399" s="42">
        <v>44880</v>
      </c>
      <c r="U399" s="43"/>
      <c r="V399" s="15"/>
      <c r="W399" s="15"/>
    </row>
    <row r="400" spans="1:23" s="34" customFormat="1" ht="29" x14ac:dyDescent="0.35">
      <c r="A400" s="15"/>
      <c r="B400" s="35">
        <v>44876</v>
      </c>
      <c r="C400" s="14">
        <v>320</v>
      </c>
      <c r="D400" s="85" t="s">
        <v>3376</v>
      </c>
      <c r="E400" s="47" t="s">
        <v>277</v>
      </c>
      <c r="F400" s="74" t="s">
        <v>13</v>
      </c>
      <c r="G400" s="17" t="s">
        <v>1805</v>
      </c>
      <c r="H400" s="14" t="s">
        <v>1767</v>
      </c>
      <c r="I400" s="144" t="s">
        <v>39</v>
      </c>
      <c r="J400" s="121" t="s">
        <v>3353</v>
      </c>
      <c r="K400" s="14" t="s">
        <v>1294</v>
      </c>
      <c r="L400" s="14" t="s">
        <v>103</v>
      </c>
      <c r="M400" s="37">
        <v>8119166293</v>
      </c>
      <c r="N400" s="38">
        <v>863756050111692</v>
      </c>
      <c r="O400" s="38" t="s">
        <v>39</v>
      </c>
      <c r="P400" s="14" t="s">
        <v>276</v>
      </c>
      <c r="Q400" s="17" t="s">
        <v>2559</v>
      </c>
      <c r="R400" s="40">
        <v>1999.84</v>
      </c>
      <c r="S400" s="19" t="s">
        <v>3329</v>
      </c>
      <c r="T400" s="42">
        <v>44880</v>
      </c>
      <c r="U400" s="43"/>
      <c r="V400" s="44">
        <v>45148.006747685184</v>
      </c>
      <c r="W400" s="15"/>
    </row>
    <row r="401" spans="1:23" s="34" customFormat="1" ht="29" x14ac:dyDescent="0.35">
      <c r="A401" s="15"/>
      <c r="B401" s="35">
        <v>44879</v>
      </c>
      <c r="C401" s="14">
        <v>321</v>
      </c>
      <c r="D401" s="85" t="s">
        <v>3039</v>
      </c>
      <c r="E401" s="47" t="s">
        <v>275</v>
      </c>
      <c r="F401" s="74" t="s">
        <v>13</v>
      </c>
      <c r="G401" s="17" t="s">
        <v>1805</v>
      </c>
      <c r="H401" s="14" t="s">
        <v>17</v>
      </c>
      <c r="I401" s="144" t="s">
        <v>39</v>
      </c>
      <c r="J401" s="14" t="s">
        <v>2936</v>
      </c>
      <c r="K401" s="14" t="s">
        <v>2935</v>
      </c>
      <c r="L401" s="14" t="s">
        <v>2</v>
      </c>
      <c r="M401" s="37">
        <v>8119096190</v>
      </c>
      <c r="N401" s="38">
        <v>869220040531240</v>
      </c>
      <c r="O401" s="38" t="s">
        <v>3169</v>
      </c>
      <c r="P401" s="17" t="s">
        <v>3170</v>
      </c>
      <c r="Q401" s="17" t="s">
        <v>2559</v>
      </c>
      <c r="R401" s="40">
        <v>1999.84</v>
      </c>
      <c r="S401" s="19" t="s">
        <v>2977</v>
      </c>
      <c r="T401" s="42">
        <v>44880</v>
      </c>
      <c r="U401" s="43"/>
      <c r="V401" s="15" t="s">
        <v>1004</v>
      </c>
      <c r="W401" s="15"/>
    </row>
    <row r="402" spans="1:23" s="34" customFormat="1" ht="29" x14ac:dyDescent="0.35">
      <c r="A402" s="15"/>
      <c r="B402" s="35">
        <v>44881</v>
      </c>
      <c r="C402" s="14">
        <v>322</v>
      </c>
      <c r="D402" s="85" t="s">
        <v>3377</v>
      </c>
      <c r="E402" s="14" t="s">
        <v>273</v>
      </c>
      <c r="F402" s="74" t="s">
        <v>13</v>
      </c>
      <c r="G402" s="14" t="s">
        <v>39</v>
      </c>
      <c r="H402" s="14" t="s">
        <v>1767</v>
      </c>
      <c r="I402" s="144" t="s">
        <v>39</v>
      </c>
      <c r="J402" s="121" t="s">
        <v>3354</v>
      </c>
      <c r="K402" s="14" t="s">
        <v>1295</v>
      </c>
      <c r="L402" s="14" t="s">
        <v>103</v>
      </c>
      <c r="M402" s="37">
        <v>8119774673</v>
      </c>
      <c r="N402" s="38">
        <v>863756050111817</v>
      </c>
      <c r="O402" s="38" t="s">
        <v>39</v>
      </c>
      <c r="P402" s="14" t="s">
        <v>274</v>
      </c>
      <c r="Q402" s="17" t="s">
        <v>2559</v>
      </c>
      <c r="R402" s="40">
        <v>1999.84</v>
      </c>
      <c r="S402" s="19" t="s">
        <v>3329</v>
      </c>
      <c r="T402" s="42">
        <v>44880</v>
      </c>
      <c r="U402" s="43"/>
      <c r="V402" s="15" t="s">
        <v>1004</v>
      </c>
      <c r="W402" s="15"/>
    </row>
    <row r="403" spans="1:23" s="34" customFormat="1" ht="29" x14ac:dyDescent="0.35">
      <c r="A403" s="15"/>
      <c r="B403" s="35">
        <v>44881</v>
      </c>
      <c r="C403" s="14">
        <v>323</v>
      </c>
      <c r="D403" s="85" t="s">
        <v>3040</v>
      </c>
      <c r="E403" s="14" t="s">
        <v>273</v>
      </c>
      <c r="F403" s="74" t="s">
        <v>13</v>
      </c>
      <c r="G403" s="14" t="s">
        <v>39</v>
      </c>
      <c r="H403" s="14" t="s">
        <v>1767</v>
      </c>
      <c r="I403" s="144" t="s">
        <v>39</v>
      </c>
      <c r="J403" s="14" t="s">
        <v>2966</v>
      </c>
      <c r="K403" s="14" t="s">
        <v>2965</v>
      </c>
      <c r="L403" s="14" t="s">
        <v>103</v>
      </c>
      <c r="M403" s="37">
        <v>8119774738</v>
      </c>
      <c r="N403" s="38">
        <v>863756050122673</v>
      </c>
      <c r="O403" s="38" t="s">
        <v>3172</v>
      </c>
      <c r="P403" s="14" t="s">
        <v>3171</v>
      </c>
      <c r="Q403" s="17" t="s">
        <v>2559</v>
      </c>
      <c r="R403" s="40">
        <v>1999.84</v>
      </c>
      <c r="S403" s="19" t="s">
        <v>2977</v>
      </c>
      <c r="T403" s="42">
        <v>44880</v>
      </c>
      <c r="U403" s="43"/>
      <c r="V403" s="15" t="s">
        <v>1004</v>
      </c>
      <c r="W403" s="15"/>
    </row>
    <row r="404" spans="1:23" s="34" customFormat="1" ht="29" x14ac:dyDescent="0.35">
      <c r="A404" s="15"/>
      <c r="B404" s="35">
        <v>44883</v>
      </c>
      <c r="C404" s="14">
        <v>324</v>
      </c>
      <c r="D404" s="85" t="s">
        <v>3877</v>
      </c>
      <c r="E404" s="14" t="s">
        <v>272</v>
      </c>
      <c r="F404" s="74" t="s">
        <v>13</v>
      </c>
      <c r="G404" s="17" t="s">
        <v>1805</v>
      </c>
      <c r="H404" s="14" t="s">
        <v>1767</v>
      </c>
      <c r="I404" s="145" t="s">
        <v>39</v>
      </c>
      <c r="J404" s="17" t="s">
        <v>26</v>
      </c>
      <c r="K404" s="14" t="s">
        <v>1296</v>
      </c>
      <c r="L404" s="14" t="s">
        <v>2</v>
      </c>
      <c r="M404" s="37">
        <v>8119774805</v>
      </c>
      <c r="N404" s="38">
        <v>863756050113235</v>
      </c>
      <c r="O404" s="16" t="s">
        <v>271</v>
      </c>
      <c r="P404" s="17" t="s">
        <v>39</v>
      </c>
      <c r="Q404" s="17" t="s">
        <v>4174</v>
      </c>
      <c r="R404" s="40">
        <v>1999.84</v>
      </c>
      <c r="S404" s="19" t="s">
        <v>3584</v>
      </c>
      <c r="T404" s="42">
        <v>44880</v>
      </c>
      <c r="U404" s="43"/>
      <c r="V404" s="15" t="s">
        <v>1004</v>
      </c>
      <c r="W404" s="15"/>
    </row>
    <row r="405" spans="1:23" s="34" customFormat="1" ht="29" x14ac:dyDescent="0.35">
      <c r="A405" s="15"/>
      <c r="B405" s="35">
        <v>44887</v>
      </c>
      <c r="C405" s="14">
        <v>325</v>
      </c>
      <c r="D405" s="39">
        <v>311</v>
      </c>
      <c r="E405" s="14" t="s">
        <v>270</v>
      </c>
      <c r="F405" s="74" t="s">
        <v>6</v>
      </c>
      <c r="G405" s="17" t="s">
        <v>1805</v>
      </c>
      <c r="H405" s="17" t="s">
        <v>1787</v>
      </c>
      <c r="I405" s="145"/>
      <c r="J405" s="14" t="s">
        <v>269</v>
      </c>
      <c r="K405" s="14" t="s">
        <v>1216</v>
      </c>
      <c r="L405" s="14" t="s">
        <v>2</v>
      </c>
      <c r="M405" s="37">
        <v>8118249748</v>
      </c>
      <c r="N405" s="38">
        <v>864893039429611</v>
      </c>
      <c r="O405" s="38"/>
      <c r="P405" s="14" t="s">
        <v>268</v>
      </c>
      <c r="Q405" s="14" t="s">
        <v>8</v>
      </c>
      <c r="R405" s="40">
        <v>754</v>
      </c>
      <c r="S405" s="41" t="s">
        <v>270</v>
      </c>
      <c r="T405" s="42">
        <v>44895</v>
      </c>
      <c r="U405" s="43">
        <v>44895</v>
      </c>
      <c r="V405" s="15"/>
      <c r="W405" s="15"/>
    </row>
    <row r="406" spans="1:23" s="34" customFormat="1" ht="29" x14ac:dyDescent="0.35">
      <c r="A406" s="15"/>
      <c r="B406" s="35">
        <v>44888</v>
      </c>
      <c r="C406" s="14">
        <v>327</v>
      </c>
      <c r="D406" s="36" t="s">
        <v>2254</v>
      </c>
      <c r="E406" s="14" t="s">
        <v>265</v>
      </c>
      <c r="F406" s="74" t="s">
        <v>13</v>
      </c>
      <c r="G406" s="14" t="s">
        <v>5</v>
      </c>
      <c r="H406" s="14" t="s">
        <v>17</v>
      </c>
      <c r="I406" s="144"/>
      <c r="J406" s="14" t="s">
        <v>267</v>
      </c>
      <c r="K406" s="14" t="s">
        <v>1297</v>
      </c>
      <c r="L406" s="14" t="s">
        <v>103</v>
      </c>
      <c r="M406" s="37">
        <v>8115770670</v>
      </c>
      <c r="N406" s="38">
        <v>863756050111361</v>
      </c>
      <c r="O406" s="38"/>
      <c r="P406" s="14" t="s">
        <v>266</v>
      </c>
      <c r="Q406" s="14" t="s">
        <v>8</v>
      </c>
      <c r="R406" s="40">
        <v>1999.84</v>
      </c>
      <c r="S406" s="19" t="s">
        <v>2200</v>
      </c>
      <c r="T406" s="42">
        <v>44895</v>
      </c>
      <c r="U406" s="43">
        <v>44895</v>
      </c>
      <c r="V406" s="44">
        <v>45166.868020833332</v>
      </c>
      <c r="W406" s="15"/>
    </row>
    <row r="407" spans="1:23" s="34" customFormat="1" ht="29" x14ac:dyDescent="0.35">
      <c r="A407" s="15"/>
      <c r="B407" s="35">
        <v>44888</v>
      </c>
      <c r="C407" s="14">
        <v>328</v>
      </c>
      <c r="D407" s="36" t="s">
        <v>2255</v>
      </c>
      <c r="E407" s="14" t="s">
        <v>265</v>
      </c>
      <c r="F407" s="74" t="s">
        <v>13</v>
      </c>
      <c r="G407" s="14" t="s">
        <v>5</v>
      </c>
      <c r="H407" s="14" t="s">
        <v>17</v>
      </c>
      <c r="I407" s="144"/>
      <c r="J407" s="14" t="s">
        <v>264</v>
      </c>
      <c r="K407" s="14" t="s">
        <v>1298</v>
      </c>
      <c r="L407" s="14" t="s">
        <v>103</v>
      </c>
      <c r="M407" s="37">
        <v>8131242768</v>
      </c>
      <c r="N407" s="38">
        <v>863756050122616</v>
      </c>
      <c r="O407" s="38"/>
      <c r="P407" s="14" t="s">
        <v>263</v>
      </c>
      <c r="Q407" s="14" t="s">
        <v>8</v>
      </c>
      <c r="R407" s="40">
        <v>1999.84</v>
      </c>
      <c r="S407" s="19" t="s">
        <v>2200</v>
      </c>
      <c r="T407" s="42">
        <v>44880</v>
      </c>
      <c r="U407" s="43"/>
      <c r="V407" s="15"/>
      <c r="W407" s="15"/>
    </row>
    <row r="408" spans="1:23" s="34" customFormat="1" ht="29" x14ac:dyDescent="0.35">
      <c r="A408" s="15"/>
      <c r="B408" s="35">
        <v>44888</v>
      </c>
      <c r="C408" s="14">
        <v>326</v>
      </c>
      <c r="D408" s="39" t="s">
        <v>39</v>
      </c>
      <c r="E408" s="46" t="s">
        <v>39</v>
      </c>
      <c r="F408" s="39" t="s">
        <v>40</v>
      </c>
      <c r="G408" s="14" t="s">
        <v>5</v>
      </c>
      <c r="H408" s="14" t="s">
        <v>17</v>
      </c>
      <c r="I408" s="144"/>
      <c r="J408" s="14" t="s">
        <v>261</v>
      </c>
      <c r="K408" s="14" t="s">
        <v>148</v>
      </c>
      <c r="L408" s="14" t="s">
        <v>2</v>
      </c>
      <c r="M408" s="37" t="s">
        <v>39</v>
      </c>
      <c r="N408" s="38" t="s">
        <v>39</v>
      </c>
      <c r="O408" s="38"/>
      <c r="P408" s="14" t="s">
        <v>39</v>
      </c>
      <c r="Q408" s="14" t="s">
        <v>262</v>
      </c>
      <c r="R408" s="40">
        <v>290</v>
      </c>
      <c r="S408" s="41" t="s">
        <v>40</v>
      </c>
      <c r="T408" s="42">
        <v>44895</v>
      </c>
      <c r="U408" s="43">
        <v>44895</v>
      </c>
      <c r="V408" s="15"/>
      <c r="W408" s="15"/>
    </row>
    <row r="409" spans="1:23" s="34" customFormat="1" ht="29" x14ac:dyDescent="0.35">
      <c r="A409" s="15"/>
      <c r="B409" s="35">
        <v>44889</v>
      </c>
      <c r="C409" s="14">
        <v>329</v>
      </c>
      <c r="D409" s="39">
        <v>418</v>
      </c>
      <c r="E409" s="14" t="s">
        <v>1537</v>
      </c>
      <c r="F409" s="74" t="s">
        <v>13</v>
      </c>
      <c r="G409" s="14" t="s">
        <v>5</v>
      </c>
      <c r="H409" s="14" t="s">
        <v>250</v>
      </c>
      <c r="I409" s="144"/>
      <c r="J409" s="14" t="s">
        <v>249</v>
      </c>
      <c r="K409" s="58" t="s">
        <v>1299</v>
      </c>
      <c r="L409" s="14" t="s">
        <v>103</v>
      </c>
      <c r="M409" s="37">
        <v>8115777886</v>
      </c>
      <c r="N409" s="38">
        <v>862193027973957</v>
      </c>
      <c r="O409" s="38"/>
      <c r="P409" s="14" t="s">
        <v>248</v>
      </c>
      <c r="Q409" s="39" t="s">
        <v>1540</v>
      </c>
      <c r="R409" s="40">
        <v>1999.84</v>
      </c>
      <c r="S409" s="41" t="s">
        <v>1539</v>
      </c>
      <c r="T409" s="42">
        <v>44880</v>
      </c>
      <c r="U409" s="43"/>
      <c r="V409" s="15" t="s">
        <v>1004</v>
      </c>
      <c r="W409" s="15"/>
    </row>
    <row r="410" spans="1:23" s="34" customFormat="1" ht="29" x14ac:dyDescent="0.35">
      <c r="A410" s="15"/>
      <c r="B410" s="35">
        <v>44889</v>
      </c>
      <c r="C410" s="14">
        <v>330</v>
      </c>
      <c r="D410" s="39">
        <v>419</v>
      </c>
      <c r="E410" s="14" t="s">
        <v>1537</v>
      </c>
      <c r="F410" s="74" t="s">
        <v>13</v>
      </c>
      <c r="G410" s="14" t="s">
        <v>5</v>
      </c>
      <c r="H410" s="14" t="s">
        <v>17</v>
      </c>
      <c r="I410" s="144"/>
      <c r="J410" s="14" t="s">
        <v>261</v>
      </c>
      <c r="K410" s="14" t="s">
        <v>1300</v>
      </c>
      <c r="L410" s="14" t="s">
        <v>103</v>
      </c>
      <c r="M410" s="37">
        <v>8184024915</v>
      </c>
      <c r="N410" s="38">
        <v>863830030717926</v>
      </c>
      <c r="O410" s="38"/>
      <c r="P410" s="14" t="s">
        <v>260</v>
      </c>
      <c r="Q410" s="39" t="s">
        <v>1540</v>
      </c>
      <c r="R410" s="40">
        <v>1999.84</v>
      </c>
      <c r="S410" s="41" t="s">
        <v>1539</v>
      </c>
      <c r="T410" s="42">
        <v>44880</v>
      </c>
      <c r="U410" s="43"/>
      <c r="V410" s="15" t="s">
        <v>1004</v>
      </c>
      <c r="W410" s="15"/>
    </row>
    <row r="411" spans="1:23" s="34" customFormat="1" ht="29" x14ac:dyDescent="0.35">
      <c r="A411" s="15"/>
      <c r="B411" s="35">
        <v>44889</v>
      </c>
      <c r="C411" s="14">
        <v>331</v>
      </c>
      <c r="D411" s="85" t="s">
        <v>3379</v>
      </c>
      <c r="E411" s="14" t="s">
        <v>259</v>
      </c>
      <c r="F411" s="74" t="s">
        <v>13</v>
      </c>
      <c r="G411" s="14" t="s">
        <v>5</v>
      </c>
      <c r="H411" s="14" t="s">
        <v>2522</v>
      </c>
      <c r="I411" s="144" t="s">
        <v>39</v>
      </c>
      <c r="J411" s="121" t="s">
        <v>3486</v>
      </c>
      <c r="K411" s="14" t="s">
        <v>1301</v>
      </c>
      <c r="L411" s="14" t="s">
        <v>2</v>
      </c>
      <c r="M411" s="37">
        <v>8119774744</v>
      </c>
      <c r="N411" s="38">
        <v>863756050112963</v>
      </c>
      <c r="O411" s="38" t="s">
        <v>3434</v>
      </c>
      <c r="P411" s="14" t="s">
        <v>3433</v>
      </c>
      <c r="Q411" s="17" t="s">
        <v>2559</v>
      </c>
      <c r="R411" s="40">
        <v>1999.84</v>
      </c>
      <c r="S411" s="19" t="s">
        <v>3329</v>
      </c>
      <c r="T411" s="42">
        <v>44880</v>
      </c>
      <c r="U411" s="43"/>
      <c r="V411" s="15" t="s">
        <v>1004</v>
      </c>
      <c r="W411" s="15"/>
    </row>
    <row r="412" spans="1:23" s="34" customFormat="1" ht="29" x14ac:dyDescent="0.35">
      <c r="A412" s="15"/>
      <c r="B412" s="35">
        <v>44891</v>
      </c>
      <c r="C412" s="14">
        <v>332</v>
      </c>
      <c r="D412" s="85" t="s">
        <v>3380</v>
      </c>
      <c r="E412" s="14" t="s">
        <v>258</v>
      </c>
      <c r="F412" s="74" t="s">
        <v>13</v>
      </c>
      <c r="G412" s="14" t="s">
        <v>5</v>
      </c>
      <c r="H412" s="14" t="s">
        <v>3488</v>
      </c>
      <c r="I412" s="144" t="s">
        <v>39</v>
      </c>
      <c r="J412" s="121" t="s">
        <v>3487</v>
      </c>
      <c r="K412" s="14" t="s">
        <v>1302</v>
      </c>
      <c r="L412" s="14" t="s">
        <v>2</v>
      </c>
      <c r="M412" s="37">
        <v>8135514806</v>
      </c>
      <c r="N412" s="38">
        <v>359857084512904</v>
      </c>
      <c r="O412" s="38" t="s">
        <v>3436</v>
      </c>
      <c r="P412" s="14" t="s">
        <v>3435</v>
      </c>
      <c r="Q412" s="17" t="s">
        <v>2559</v>
      </c>
      <c r="R412" s="40">
        <v>1999.84</v>
      </c>
      <c r="S412" s="19" t="s">
        <v>3329</v>
      </c>
      <c r="T412" s="42">
        <v>44895</v>
      </c>
      <c r="U412" s="43">
        <v>44895</v>
      </c>
      <c r="V412" s="44">
        <v>45216.77548611111</v>
      </c>
      <c r="W412" s="15"/>
    </row>
    <row r="413" spans="1:23" s="34" customFormat="1" ht="29" x14ac:dyDescent="0.35">
      <c r="A413" s="15"/>
      <c r="B413" s="35">
        <v>44895</v>
      </c>
      <c r="C413" s="14">
        <v>333</v>
      </c>
      <c r="D413" s="85" t="s">
        <v>3878</v>
      </c>
      <c r="E413" s="14" t="s">
        <v>257</v>
      </c>
      <c r="F413" s="74" t="s">
        <v>13</v>
      </c>
      <c r="G413" s="17" t="s">
        <v>1805</v>
      </c>
      <c r="H413" s="17" t="s">
        <v>1787</v>
      </c>
      <c r="I413" s="145" t="s">
        <v>39</v>
      </c>
      <c r="J413" s="17" t="s">
        <v>26</v>
      </c>
      <c r="K413" s="14" t="s">
        <v>1303</v>
      </c>
      <c r="L413" s="14" t="s">
        <v>2</v>
      </c>
      <c r="M413" s="37">
        <v>8180209186</v>
      </c>
      <c r="N413" s="38">
        <v>359857083953190</v>
      </c>
      <c r="O413" s="16" t="s">
        <v>39</v>
      </c>
      <c r="P413" s="17" t="s">
        <v>256</v>
      </c>
      <c r="Q413" s="17" t="s">
        <v>4174</v>
      </c>
      <c r="R413" s="40">
        <v>1999.84</v>
      </c>
      <c r="S413" s="19" t="s">
        <v>3584</v>
      </c>
      <c r="T413" s="42">
        <v>44895</v>
      </c>
      <c r="U413" s="43">
        <v>44895</v>
      </c>
      <c r="V413" s="44">
        <v>45165.220567129632</v>
      </c>
      <c r="W413" s="15"/>
    </row>
    <row r="414" spans="1:23" s="34" customFormat="1" ht="29" x14ac:dyDescent="0.35">
      <c r="A414" s="15"/>
      <c r="B414" s="35">
        <v>44895</v>
      </c>
      <c r="C414" s="14">
        <v>334</v>
      </c>
      <c r="D414" s="74" t="s">
        <v>2881</v>
      </c>
      <c r="E414" s="14" t="s">
        <v>255</v>
      </c>
      <c r="F414" s="74" t="s">
        <v>6</v>
      </c>
      <c r="G414" s="17" t="s">
        <v>1805</v>
      </c>
      <c r="H414" s="14" t="s">
        <v>1767</v>
      </c>
      <c r="I414" s="144"/>
      <c r="J414" s="14" t="s">
        <v>141</v>
      </c>
      <c r="K414" s="14" t="s">
        <v>1202</v>
      </c>
      <c r="L414" s="14" t="s">
        <v>103</v>
      </c>
      <c r="M414" s="38">
        <v>8184662838</v>
      </c>
      <c r="N414" s="38">
        <v>860856040427647</v>
      </c>
      <c r="O414" s="38"/>
      <c r="P414" s="14" t="s">
        <v>158</v>
      </c>
      <c r="Q414" s="14" t="s">
        <v>8</v>
      </c>
      <c r="R414" s="40">
        <v>754</v>
      </c>
      <c r="S414" s="41" t="s">
        <v>2886</v>
      </c>
      <c r="T414" s="42">
        <v>44910</v>
      </c>
      <c r="U414" s="43">
        <v>44910</v>
      </c>
      <c r="V414" s="15"/>
      <c r="W414" s="15"/>
    </row>
    <row r="415" spans="1:23" s="34" customFormat="1" ht="29" x14ac:dyDescent="0.35">
      <c r="A415" s="15"/>
      <c r="B415" s="35">
        <v>44895</v>
      </c>
      <c r="C415" s="14">
        <v>335</v>
      </c>
      <c r="D415" s="85" t="s">
        <v>3041</v>
      </c>
      <c r="E415" s="14" t="s">
        <v>3178</v>
      </c>
      <c r="F415" s="74" t="s">
        <v>13</v>
      </c>
      <c r="G415" s="17" t="s">
        <v>1805</v>
      </c>
      <c r="H415" s="14" t="s">
        <v>1767</v>
      </c>
      <c r="I415" s="144" t="s">
        <v>39</v>
      </c>
      <c r="J415" s="14" t="s">
        <v>26</v>
      </c>
      <c r="K415" s="14" t="s">
        <v>1304</v>
      </c>
      <c r="L415" s="14" t="s">
        <v>103</v>
      </c>
      <c r="M415" s="38">
        <v>8134058859</v>
      </c>
      <c r="N415" s="38">
        <v>863756050115784</v>
      </c>
      <c r="O415" s="38" t="s">
        <v>3177</v>
      </c>
      <c r="P415" s="14" t="s">
        <v>3176</v>
      </c>
      <c r="Q415" s="14" t="s">
        <v>8</v>
      </c>
      <c r="R415" s="41">
        <v>1999.84</v>
      </c>
      <c r="S415" s="41" t="s">
        <v>246</v>
      </c>
      <c r="T415" s="42">
        <v>44910</v>
      </c>
      <c r="U415" s="43">
        <v>44910</v>
      </c>
      <c r="V415" s="15" t="s">
        <v>1308</v>
      </c>
      <c r="W415" s="15" t="s">
        <v>1307</v>
      </c>
    </row>
    <row r="416" spans="1:23" s="34" customFormat="1" ht="29" x14ac:dyDescent="0.35">
      <c r="A416" s="15"/>
      <c r="B416" s="35">
        <v>44898</v>
      </c>
      <c r="C416" s="14">
        <v>336</v>
      </c>
      <c r="D416" s="39">
        <v>424</v>
      </c>
      <c r="E416" s="14" t="s">
        <v>1537</v>
      </c>
      <c r="F416" s="74" t="s">
        <v>13</v>
      </c>
      <c r="G416" s="14" t="s">
        <v>5</v>
      </c>
      <c r="H416" s="14" t="s">
        <v>17</v>
      </c>
      <c r="I416" s="144"/>
      <c r="J416" s="14" t="s">
        <v>254</v>
      </c>
      <c r="K416" s="14" t="s">
        <v>1305</v>
      </c>
      <c r="L416" s="14" t="s">
        <v>103</v>
      </c>
      <c r="M416" s="38">
        <v>8126203023</v>
      </c>
      <c r="N416" s="38">
        <v>860896051469252</v>
      </c>
      <c r="O416" s="38"/>
      <c r="P416" s="14" t="s">
        <v>253</v>
      </c>
      <c r="Q416" s="39" t="s">
        <v>1540</v>
      </c>
      <c r="R416" s="41">
        <v>1999.84</v>
      </c>
      <c r="S416" s="41" t="s">
        <v>1539</v>
      </c>
      <c r="T416" s="42">
        <v>44910</v>
      </c>
      <c r="U416" s="43">
        <v>44910</v>
      </c>
      <c r="V416" s="44">
        <v>45198.403229166666</v>
      </c>
      <c r="W416" s="15"/>
    </row>
    <row r="417" spans="1:23" s="34" customFormat="1" ht="29" x14ac:dyDescent="0.35">
      <c r="A417" s="15"/>
      <c r="B417" s="35">
        <v>44898</v>
      </c>
      <c r="C417" s="14">
        <v>337</v>
      </c>
      <c r="D417" s="85" t="s">
        <v>3042</v>
      </c>
      <c r="E417" s="14" t="s">
        <v>252</v>
      </c>
      <c r="F417" s="74" t="s">
        <v>13</v>
      </c>
      <c r="G417" s="14" t="s">
        <v>5</v>
      </c>
      <c r="H417" s="14" t="s">
        <v>2941</v>
      </c>
      <c r="I417" s="144" t="s">
        <v>39</v>
      </c>
      <c r="J417" s="14" t="s">
        <v>251</v>
      </c>
      <c r="K417" s="14" t="s">
        <v>1306</v>
      </c>
      <c r="L417" s="14" t="s">
        <v>103</v>
      </c>
      <c r="M417" s="38">
        <v>8180927463</v>
      </c>
      <c r="N417" s="38">
        <v>357073296076025</v>
      </c>
      <c r="O417" s="38" t="s">
        <v>3180</v>
      </c>
      <c r="P417" s="14" t="s">
        <v>3179</v>
      </c>
      <c r="Q417" s="17" t="s">
        <v>2559</v>
      </c>
      <c r="R417" s="41">
        <v>1999.84</v>
      </c>
      <c r="S417" s="19" t="s">
        <v>2977</v>
      </c>
      <c r="T417" s="42">
        <v>44910</v>
      </c>
      <c r="U417" s="43">
        <v>44910</v>
      </c>
      <c r="V417" s="15"/>
      <c r="W417" s="15"/>
    </row>
    <row r="418" spans="1:23" s="34" customFormat="1" ht="29" x14ac:dyDescent="0.35">
      <c r="A418" s="15"/>
      <c r="B418" s="35">
        <v>44900</v>
      </c>
      <c r="C418" s="14">
        <v>339</v>
      </c>
      <c r="D418" s="39">
        <v>418</v>
      </c>
      <c r="E418" s="14" t="s">
        <v>1537</v>
      </c>
      <c r="F418" s="74" t="s">
        <v>36</v>
      </c>
      <c r="G418" s="14" t="s">
        <v>5</v>
      </c>
      <c r="H418" s="14" t="s">
        <v>250</v>
      </c>
      <c r="I418" s="144"/>
      <c r="J418" s="14" t="s">
        <v>249</v>
      </c>
      <c r="K418" s="58" t="s">
        <v>1299</v>
      </c>
      <c r="L418" s="14" t="s">
        <v>103</v>
      </c>
      <c r="M418" s="37">
        <v>8115777886</v>
      </c>
      <c r="N418" s="38">
        <v>862193027973957</v>
      </c>
      <c r="O418" s="38"/>
      <c r="P418" s="14" t="s">
        <v>248</v>
      </c>
      <c r="Q418" s="14" t="s">
        <v>247</v>
      </c>
      <c r="R418" s="40">
        <v>522</v>
      </c>
      <c r="S418" s="41" t="s">
        <v>1539</v>
      </c>
      <c r="T418" s="42">
        <v>44910</v>
      </c>
      <c r="U418" s="43">
        <v>44910</v>
      </c>
      <c r="V418" s="15"/>
      <c r="W418" s="15"/>
    </row>
    <row r="419" spans="1:23" s="34" customFormat="1" ht="29" x14ac:dyDescent="0.35">
      <c r="A419" s="15"/>
      <c r="B419" s="35">
        <v>44900</v>
      </c>
      <c r="C419" s="14">
        <v>338</v>
      </c>
      <c r="D419" s="36" t="s">
        <v>2003</v>
      </c>
      <c r="E419" s="85" t="s">
        <v>2917</v>
      </c>
      <c r="F419" s="74" t="s">
        <v>13</v>
      </c>
      <c r="G419" s="14" t="s">
        <v>5</v>
      </c>
      <c r="H419" s="14" t="s">
        <v>11</v>
      </c>
      <c r="I419" s="144"/>
      <c r="J419" s="14" t="s">
        <v>212</v>
      </c>
      <c r="K419" s="14" t="s">
        <v>1309</v>
      </c>
      <c r="L419" s="14" t="s">
        <v>103</v>
      </c>
      <c r="M419" s="38">
        <v>8181122535</v>
      </c>
      <c r="N419" s="38">
        <v>867553057586869</v>
      </c>
      <c r="O419" s="38"/>
      <c r="P419" s="14" t="s">
        <v>211</v>
      </c>
      <c r="Q419" s="14" t="s">
        <v>8</v>
      </c>
      <c r="R419" s="41">
        <v>1999.84</v>
      </c>
      <c r="S419" s="41" t="s">
        <v>1931</v>
      </c>
      <c r="T419" s="42">
        <v>44910</v>
      </c>
      <c r="U419" s="43">
        <v>44910</v>
      </c>
      <c r="V419" s="44"/>
      <c r="W419" s="15"/>
    </row>
    <row r="420" spans="1:23" s="34" customFormat="1" ht="29" x14ac:dyDescent="0.35">
      <c r="A420" s="15"/>
      <c r="B420" s="35">
        <v>44901</v>
      </c>
      <c r="C420" s="14">
        <v>340</v>
      </c>
      <c r="D420" s="85" t="s">
        <v>3041</v>
      </c>
      <c r="E420" s="14" t="s">
        <v>246</v>
      </c>
      <c r="F420" s="74" t="s">
        <v>6</v>
      </c>
      <c r="G420" s="17" t="s">
        <v>1805</v>
      </c>
      <c r="H420" s="14" t="s">
        <v>1767</v>
      </c>
      <c r="I420" s="144" t="s">
        <v>39</v>
      </c>
      <c r="J420" s="14" t="s">
        <v>26</v>
      </c>
      <c r="K420" s="14" t="s">
        <v>1304</v>
      </c>
      <c r="L420" s="14" t="s">
        <v>2</v>
      </c>
      <c r="M420" s="38">
        <v>8134058859</v>
      </c>
      <c r="N420" s="38">
        <v>863756050115784</v>
      </c>
      <c r="O420" s="38" t="s">
        <v>3177</v>
      </c>
      <c r="P420" s="14" t="s">
        <v>3176</v>
      </c>
      <c r="Q420" s="14" t="s">
        <v>3174</v>
      </c>
      <c r="R420" s="40">
        <v>0</v>
      </c>
      <c r="S420" s="41" t="s">
        <v>246</v>
      </c>
      <c r="T420" s="42">
        <v>44910</v>
      </c>
      <c r="U420" s="43">
        <v>44910</v>
      </c>
      <c r="V420" s="15" t="s">
        <v>1308</v>
      </c>
      <c r="W420" s="15" t="s">
        <v>1307</v>
      </c>
    </row>
    <row r="421" spans="1:23" s="34" customFormat="1" ht="29" x14ac:dyDescent="0.35">
      <c r="A421" s="15"/>
      <c r="B421" s="35">
        <v>44901</v>
      </c>
      <c r="C421" s="14">
        <v>341</v>
      </c>
      <c r="D421" s="85" t="s">
        <v>3041</v>
      </c>
      <c r="E421" s="14" t="s">
        <v>245</v>
      </c>
      <c r="F421" s="74" t="s">
        <v>138</v>
      </c>
      <c r="G421" s="17" t="s">
        <v>1805</v>
      </c>
      <c r="H421" s="14" t="s">
        <v>1767</v>
      </c>
      <c r="I421" s="144" t="s">
        <v>39</v>
      </c>
      <c r="J421" s="14" t="s">
        <v>1562</v>
      </c>
      <c r="K421" s="58" t="s">
        <v>2967</v>
      </c>
      <c r="L421" s="14" t="s">
        <v>2</v>
      </c>
      <c r="M421" s="38">
        <v>8134058859</v>
      </c>
      <c r="N421" s="38">
        <v>863756050115784</v>
      </c>
      <c r="O421" s="38" t="s">
        <v>39</v>
      </c>
      <c r="P421" s="14" t="s">
        <v>243</v>
      </c>
      <c r="Q421" s="14" t="s">
        <v>3175</v>
      </c>
      <c r="R421" s="40">
        <v>0</v>
      </c>
      <c r="S421" s="19" t="s">
        <v>2977</v>
      </c>
      <c r="T421" s="42">
        <v>44910</v>
      </c>
      <c r="U421" s="43">
        <v>44910</v>
      </c>
      <c r="V421" s="15" t="s">
        <v>1308</v>
      </c>
      <c r="W421" s="15" t="s">
        <v>1307</v>
      </c>
    </row>
    <row r="422" spans="1:23" s="34" customFormat="1" ht="29" x14ac:dyDescent="0.35">
      <c r="A422" s="15"/>
      <c r="B422" s="35">
        <v>44907</v>
      </c>
      <c r="C422" s="14">
        <v>342</v>
      </c>
      <c r="D422" s="85" t="s">
        <v>2586</v>
      </c>
      <c r="E422" s="14" t="s">
        <v>242</v>
      </c>
      <c r="F422" s="74" t="s">
        <v>13</v>
      </c>
      <c r="G422" s="14" t="s">
        <v>21</v>
      </c>
      <c r="H422" s="14" t="s">
        <v>17</v>
      </c>
      <c r="I422" s="144" t="s">
        <v>39</v>
      </c>
      <c r="J422" s="14" t="s">
        <v>3289</v>
      </c>
      <c r="K422" s="58" t="s">
        <v>1310</v>
      </c>
      <c r="L422" s="14" t="s">
        <v>2</v>
      </c>
      <c r="M422" s="38">
        <v>8110664520</v>
      </c>
      <c r="N422" s="38">
        <v>864606048762909</v>
      </c>
      <c r="O422" s="38" t="s">
        <v>3288</v>
      </c>
      <c r="P422" s="14" t="s">
        <v>3290</v>
      </c>
      <c r="Q422" s="17" t="s">
        <v>2559</v>
      </c>
      <c r="R422" s="40">
        <v>1999.84</v>
      </c>
      <c r="S422" s="19" t="s">
        <v>2560</v>
      </c>
      <c r="T422" s="42">
        <v>44910</v>
      </c>
      <c r="U422" s="43">
        <v>44910</v>
      </c>
      <c r="V422" s="15" t="s">
        <v>1004</v>
      </c>
      <c r="W422" s="15"/>
    </row>
    <row r="423" spans="1:23" s="34" customFormat="1" ht="29" x14ac:dyDescent="0.35">
      <c r="A423" s="15"/>
      <c r="B423" s="35">
        <v>44908</v>
      </c>
      <c r="C423" s="14">
        <v>343</v>
      </c>
      <c r="D423" s="39" t="s">
        <v>39</v>
      </c>
      <c r="E423" s="59" t="s">
        <v>39</v>
      </c>
      <c r="F423" s="39" t="s">
        <v>40</v>
      </c>
      <c r="G423" s="14" t="s">
        <v>5</v>
      </c>
      <c r="H423" s="14" t="s">
        <v>17</v>
      </c>
      <c r="I423" s="144"/>
      <c r="J423" s="14" t="s">
        <v>240</v>
      </c>
      <c r="K423" s="58" t="s">
        <v>239</v>
      </c>
      <c r="L423" s="14" t="s">
        <v>2</v>
      </c>
      <c r="M423" s="38" t="s">
        <v>39</v>
      </c>
      <c r="N423" s="38" t="s">
        <v>39</v>
      </c>
      <c r="O423" s="38"/>
      <c r="P423" s="14" t="s">
        <v>39</v>
      </c>
      <c r="Q423" s="14" t="s">
        <v>38</v>
      </c>
      <c r="R423" s="40">
        <v>350</v>
      </c>
      <c r="S423" s="41" t="s">
        <v>40</v>
      </c>
      <c r="T423" s="42">
        <v>44910</v>
      </c>
      <c r="U423" s="43">
        <v>44910</v>
      </c>
      <c r="V423" s="15"/>
      <c r="W423" s="15"/>
    </row>
    <row r="424" spans="1:23" s="34" customFormat="1" ht="29" x14ac:dyDescent="0.35">
      <c r="A424" s="15"/>
      <c r="B424" s="35">
        <v>44908</v>
      </c>
      <c r="C424" s="14">
        <v>344</v>
      </c>
      <c r="D424" s="36" t="s">
        <v>2013</v>
      </c>
      <c r="E424" s="85" t="s">
        <v>1929</v>
      </c>
      <c r="F424" s="74" t="s">
        <v>13</v>
      </c>
      <c r="G424" s="14" t="s">
        <v>5</v>
      </c>
      <c r="H424" s="14" t="s">
        <v>17</v>
      </c>
      <c r="I424" s="144"/>
      <c r="J424" s="14" t="s">
        <v>240</v>
      </c>
      <c r="K424" s="58" t="s">
        <v>1311</v>
      </c>
      <c r="L424" s="14" t="s">
        <v>2</v>
      </c>
      <c r="M424" s="38">
        <v>8116006935</v>
      </c>
      <c r="N424" s="38">
        <v>864606047593891</v>
      </c>
      <c r="O424" s="38"/>
      <c r="P424" s="14" t="s">
        <v>238</v>
      </c>
      <c r="Q424" s="14" t="s">
        <v>8</v>
      </c>
      <c r="R424" s="40">
        <v>1999.84</v>
      </c>
      <c r="S424" s="41" t="s">
        <v>1931</v>
      </c>
      <c r="T424" s="42">
        <v>44910</v>
      </c>
      <c r="U424" s="43">
        <v>44910</v>
      </c>
      <c r="V424" s="15" t="s">
        <v>1004</v>
      </c>
      <c r="W424" s="15"/>
    </row>
    <row r="425" spans="1:23" s="34" customFormat="1" ht="29" x14ac:dyDescent="0.35">
      <c r="A425" s="15"/>
      <c r="B425" s="35">
        <v>44909</v>
      </c>
      <c r="C425" s="14">
        <v>345</v>
      </c>
      <c r="D425" s="85" t="s">
        <v>3043</v>
      </c>
      <c r="E425" s="42" t="s">
        <v>235</v>
      </c>
      <c r="F425" s="74" t="s">
        <v>13</v>
      </c>
      <c r="G425" s="14" t="s">
        <v>5</v>
      </c>
      <c r="H425" s="14" t="s">
        <v>2942</v>
      </c>
      <c r="I425" s="144" t="s">
        <v>39</v>
      </c>
      <c r="J425" s="14" t="s">
        <v>237</v>
      </c>
      <c r="K425" s="58" t="s">
        <v>1312</v>
      </c>
      <c r="L425" s="14" t="s">
        <v>103</v>
      </c>
      <c r="M425" s="38">
        <v>8126203016</v>
      </c>
      <c r="N425" s="38">
        <v>357073296076108</v>
      </c>
      <c r="O425" s="16" t="s">
        <v>3184</v>
      </c>
      <c r="P425" s="14" t="s">
        <v>3185</v>
      </c>
      <c r="Q425" s="17" t="s">
        <v>2559</v>
      </c>
      <c r="R425" s="40">
        <v>1999.84</v>
      </c>
      <c r="S425" s="19" t="s">
        <v>2977</v>
      </c>
      <c r="T425" s="42">
        <v>44910</v>
      </c>
      <c r="U425" s="43">
        <v>44910</v>
      </c>
      <c r="V425" s="15" t="s">
        <v>1004</v>
      </c>
      <c r="W425" s="15"/>
    </row>
    <row r="426" spans="1:23" s="34" customFormat="1" ht="43.5" x14ac:dyDescent="0.35">
      <c r="A426" s="15"/>
      <c r="B426" s="35">
        <v>44909</v>
      </c>
      <c r="C426" s="14">
        <v>346</v>
      </c>
      <c r="D426" s="39" t="s">
        <v>39</v>
      </c>
      <c r="E426" s="46" t="s">
        <v>39</v>
      </c>
      <c r="F426" s="39" t="s">
        <v>40</v>
      </c>
      <c r="G426" s="14" t="s">
        <v>5</v>
      </c>
      <c r="H426" s="14" t="s">
        <v>11</v>
      </c>
      <c r="I426" s="144"/>
      <c r="J426" s="14" t="s">
        <v>233</v>
      </c>
      <c r="K426" s="58" t="s">
        <v>236</v>
      </c>
      <c r="L426" s="14" t="s">
        <v>2</v>
      </c>
      <c r="M426" s="37" t="s">
        <v>39</v>
      </c>
      <c r="N426" s="38" t="s">
        <v>39</v>
      </c>
      <c r="O426" s="38"/>
      <c r="P426" s="14" t="s">
        <v>39</v>
      </c>
      <c r="Q426" s="14" t="s">
        <v>8</v>
      </c>
      <c r="R426" s="40">
        <v>290</v>
      </c>
      <c r="S426" s="41" t="s">
        <v>40</v>
      </c>
      <c r="T426" s="42">
        <v>44910</v>
      </c>
      <c r="U426" s="43">
        <v>44910</v>
      </c>
      <c r="V426" s="15"/>
      <c r="W426" s="15"/>
    </row>
    <row r="427" spans="1:23" s="34" customFormat="1" ht="29" x14ac:dyDescent="0.35">
      <c r="A427" s="15"/>
      <c r="B427" s="35">
        <v>44909</v>
      </c>
      <c r="C427" s="14">
        <v>347</v>
      </c>
      <c r="D427" s="85" t="s">
        <v>3879</v>
      </c>
      <c r="E427" s="14" t="s">
        <v>235</v>
      </c>
      <c r="F427" s="74" t="s">
        <v>13</v>
      </c>
      <c r="G427" s="17" t="s">
        <v>1805</v>
      </c>
      <c r="H427" s="14" t="s">
        <v>1767</v>
      </c>
      <c r="I427" s="145" t="s">
        <v>39</v>
      </c>
      <c r="J427" s="14" t="s">
        <v>26</v>
      </c>
      <c r="K427" s="58" t="s">
        <v>1313</v>
      </c>
      <c r="L427" s="14" t="s">
        <v>2</v>
      </c>
      <c r="M427" s="37">
        <v>8134058863</v>
      </c>
      <c r="N427" s="38">
        <v>869220040532156</v>
      </c>
      <c r="O427" s="38" t="s">
        <v>3881</v>
      </c>
      <c r="P427" s="14" t="s">
        <v>3880</v>
      </c>
      <c r="Q427" s="17" t="s">
        <v>4174</v>
      </c>
      <c r="R427" s="40">
        <v>1999.84</v>
      </c>
      <c r="S427" s="19" t="s">
        <v>3584</v>
      </c>
      <c r="T427" s="42">
        <v>44910</v>
      </c>
      <c r="U427" s="43">
        <v>44910</v>
      </c>
      <c r="V427" s="15" t="s">
        <v>1004</v>
      </c>
      <c r="W427" s="15"/>
    </row>
    <row r="428" spans="1:23" s="34" customFormat="1" ht="29" x14ac:dyDescent="0.35">
      <c r="A428" s="15"/>
      <c r="B428" s="35">
        <v>44909</v>
      </c>
      <c r="C428" s="14">
        <v>348</v>
      </c>
      <c r="D428" s="85" t="s">
        <v>3882</v>
      </c>
      <c r="E428" s="14" t="s">
        <v>235</v>
      </c>
      <c r="F428" s="74" t="s">
        <v>13</v>
      </c>
      <c r="G428" s="17" t="s">
        <v>1805</v>
      </c>
      <c r="H428" s="14" t="s">
        <v>1767</v>
      </c>
      <c r="I428" s="144" t="s">
        <v>39</v>
      </c>
      <c r="J428" s="14" t="s">
        <v>26</v>
      </c>
      <c r="K428" s="58" t="s">
        <v>1314</v>
      </c>
      <c r="L428" s="14" t="s">
        <v>2</v>
      </c>
      <c r="M428" s="37">
        <v>8123210884</v>
      </c>
      <c r="N428" s="38">
        <v>869220040532479</v>
      </c>
      <c r="O428" s="38" t="s">
        <v>3177</v>
      </c>
      <c r="P428" s="14" t="s">
        <v>3176</v>
      </c>
      <c r="Q428" s="17" t="s">
        <v>4174</v>
      </c>
      <c r="R428" s="40">
        <v>1999.84</v>
      </c>
      <c r="S428" s="19" t="s">
        <v>3584</v>
      </c>
      <c r="T428" s="42">
        <v>44910</v>
      </c>
      <c r="U428" s="43">
        <v>44910</v>
      </c>
      <c r="V428" s="15" t="s">
        <v>1004</v>
      </c>
      <c r="W428" s="15"/>
    </row>
    <row r="429" spans="1:23" s="34" customFormat="1" ht="29" x14ac:dyDescent="0.35">
      <c r="A429" s="15"/>
      <c r="B429" s="35">
        <v>44909</v>
      </c>
      <c r="C429" s="14">
        <v>349</v>
      </c>
      <c r="D429" s="85" t="s">
        <v>3883</v>
      </c>
      <c r="E429" s="14" t="s">
        <v>235</v>
      </c>
      <c r="F429" s="74" t="s">
        <v>13</v>
      </c>
      <c r="G429" s="17" t="s">
        <v>1805</v>
      </c>
      <c r="H429" s="14" t="s">
        <v>1767</v>
      </c>
      <c r="I429" s="145" t="s">
        <v>39</v>
      </c>
      <c r="J429" s="17" t="s">
        <v>26</v>
      </c>
      <c r="K429" s="58" t="s">
        <v>1315</v>
      </c>
      <c r="L429" s="14" t="s">
        <v>2</v>
      </c>
      <c r="M429" s="37">
        <v>8123211478</v>
      </c>
      <c r="N429" s="38">
        <v>869220040534582</v>
      </c>
      <c r="O429" s="16" t="s">
        <v>234</v>
      </c>
      <c r="P429" s="17" t="s">
        <v>39</v>
      </c>
      <c r="Q429" s="17" t="s">
        <v>4174</v>
      </c>
      <c r="R429" s="40">
        <v>1999.84</v>
      </c>
      <c r="S429" s="19" t="s">
        <v>3584</v>
      </c>
      <c r="T429" s="42">
        <v>44910</v>
      </c>
      <c r="U429" s="43">
        <v>44910</v>
      </c>
      <c r="V429" s="15" t="s">
        <v>1004</v>
      </c>
      <c r="W429" s="15"/>
    </row>
    <row r="430" spans="1:23" s="34" customFormat="1" ht="43.5" x14ac:dyDescent="0.35">
      <c r="A430" s="15"/>
      <c r="B430" s="35">
        <v>44910</v>
      </c>
      <c r="C430" s="14">
        <v>350</v>
      </c>
      <c r="D430" s="36" t="s">
        <v>2256</v>
      </c>
      <c r="E430" s="14" t="s">
        <v>231</v>
      </c>
      <c r="F430" s="74" t="s">
        <v>13</v>
      </c>
      <c r="G430" s="14" t="s">
        <v>5</v>
      </c>
      <c r="H430" s="14" t="s">
        <v>11</v>
      </c>
      <c r="I430" s="144"/>
      <c r="J430" s="14" t="s">
        <v>233</v>
      </c>
      <c r="K430" s="58" t="s">
        <v>1316</v>
      </c>
      <c r="L430" s="14" t="s">
        <v>2</v>
      </c>
      <c r="M430" s="37">
        <v>8126097196</v>
      </c>
      <c r="N430" s="37">
        <v>869220040535209</v>
      </c>
      <c r="O430" s="37"/>
      <c r="P430" s="14" t="s">
        <v>232</v>
      </c>
      <c r="Q430" s="14" t="s">
        <v>8</v>
      </c>
      <c r="R430" s="40">
        <v>1999.84</v>
      </c>
      <c r="S430" s="19" t="s">
        <v>2200</v>
      </c>
      <c r="T430" s="42">
        <v>44910</v>
      </c>
      <c r="U430" s="43">
        <v>44910</v>
      </c>
      <c r="V430" s="15" t="s">
        <v>1004</v>
      </c>
      <c r="W430" s="15"/>
    </row>
    <row r="431" spans="1:23" s="34" customFormat="1" ht="43.5" x14ac:dyDescent="0.35">
      <c r="A431" s="15"/>
      <c r="B431" s="35">
        <v>44910</v>
      </c>
      <c r="C431" s="14">
        <v>351</v>
      </c>
      <c r="D431" s="85" t="s">
        <v>3381</v>
      </c>
      <c r="E431" s="14" t="s">
        <v>231</v>
      </c>
      <c r="F431" s="74" t="s">
        <v>13</v>
      </c>
      <c r="G431" s="14" t="s">
        <v>5</v>
      </c>
      <c r="H431" s="14" t="s">
        <v>17</v>
      </c>
      <c r="I431" s="144" t="s">
        <v>39</v>
      </c>
      <c r="J431" s="14" t="s">
        <v>230</v>
      </c>
      <c r="K431" s="58" t="s">
        <v>1317</v>
      </c>
      <c r="L431" s="14" t="s">
        <v>2</v>
      </c>
      <c r="M431" s="37">
        <v>8118228909</v>
      </c>
      <c r="N431" s="38">
        <v>869220040534020</v>
      </c>
      <c r="O431" s="38" t="s">
        <v>39</v>
      </c>
      <c r="P431" s="14" t="s">
        <v>39</v>
      </c>
      <c r="Q431" s="17" t="s">
        <v>2559</v>
      </c>
      <c r="R431" s="40">
        <v>1999.84</v>
      </c>
      <c r="S431" s="19" t="s">
        <v>3329</v>
      </c>
      <c r="T431" s="42"/>
      <c r="U431" s="43"/>
      <c r="V431" s="44">
        <v>45197.767696759256</v>
      </c>
      <c r="W431" s="15"/>
    </row>
    <row r="432" spans="1:23" s="34" customFormat="1" ht="29" x14ac:dyDescent="0.35">
      <c r="A432" s="15"/>
      <c r="B432" s="35">
        <v>44911</v>
      </c>
      <c r="C432" s="14">
        <v>352</v>
      </c>
      <c r="D432" s="85" t="s">
        <v>3884</v>
      </c>
      <c r="E432" s="14" t="s">
        <v>227</v>
      </c>
      <c r="F432" s="74" t="s">
        <v>13</v>
      </c>
      <c r="G432" s="17" t="s">
        <v>1805</v>
      </c>
      <c r="H432" s="14" t="s">
        <v>1767</v>
      </c>
      <c r="I432" s="145" t="s">
        <v>39</v>
      </c>
      <c r="J432" s="17" t="s">
        <v>26</v>
      </c>
      <c r="K432" s="58" t="s">
        <v>1318</v>
      </c>
      <c r="L432" s="14" t="s">
        <v>229</v>
      </c>
      <c r="M432" s="37">
        <v>8126201678</v>
      </c>
      <c r="N432" s="38">
        <v>868166053906053</v>
      </c>
      <c r="O432" s="16" t="s">
        <v>228</v>
      </c>
      <c r="P432" s="17" t="s">
        <v>39</v>
      </c>
      <c r="Q432" s="17" t="s">
        <v>4174</v>
      </c>
      <c r="R432" s="40">
        <v>1999.84</v>
      </c>
      <c r="S432" s="19" t="s">
        <v>3584</v>
      </c>
      <c r="T432" s="42">
        <v>44910</v>
      </c>
      <c r="U432" s="43">
        <v>44910</v>
      </c>
      <c r="V432" s="15" t="s">
        <v>1004</v>
      </c>
      <c r="W432" s="15"/>
    </row>
    <row r="433" spans="1:23" s="34" customFormat="1" ht="29" x14ac:dyDescent="0.35">
      <c r="A433" s="15"/>
      <c r="B433" s="35">
        <v>44911</v>
      </c>
      <c r="C433" s="14">
        <v>353</v>
      </c>
      <c r="D433" s="36" t="s">
        <v>2014</v>
      </c>
      <c r="E433" s="85" t="s">
        <v>1929</v>
      </c>
      <c r="F433" s="74" t="s">
        <v>13</v>
      </c>
      <c r="G433" s="14" t="s">
        <v>21</v>
      </c>
      <c r="H433" s="14" t="s">
        <v>1786</v>
      </c>
      <c r="I433" s="144"/>
      <c r="J433" s="14" t="s">
        <v>225</v>
      </c>
      <c r="K433" s="58" t="s">
        <v>1319</v>
      </c>
      <c r="L433" s="14" t="s">
        <v>2</v>
      </c>
      <c r="M433" s="37">
        <v>8120360505</v>
      </c>
      <c r="N433" s="38">
        <v>868166053905584</v>
      </c>
      <c r="O433" s="38"/>
      <c r="P433" s="14" t="s">
        <v>224</v>
      </c>
      <c r="Q433" s="14" t="s">
        <v>8</v>
      </c>
      <c r="R433" s="40">
        <v>1999.84</v>
      </c>
      <c r="S433" s="41" t="s">
        <v>1931</v>
      </c>
      <c r="T433" s="42">
        <v>44910</v>
      </c>
      <c r="U433" s="43">
        <v>44910</v>
      </c>
      <c r="V433" s="15" t="s">
        <v>1004</v>
      </c>
      <c r="W433" s="15"/>
    </row>
    <row r="434" spans="1:23" s="34" customFormat="1" ht="29" x14ac:dyDescent="0.35">
      <c r="A434" s="15"/>
      <c r="B434" s="35">
        <v>44914</v>
      </c>
      <c r="C434" s="14">
        <v>354</v>
      </c>
      <c r="D434" s="36" t="s">
        <v>2015</v>
      </c>
      <c r="E434" s="85" t="s">
        <v>1929</v>
      </c>
      <c r="F434" s="74" t="s">
        <v>13</v>
      </c>
      <c r="G434" s="17" t="s">
        <v>1805</v>
      </c>
      <c r="H434" s="14" t="s">
        <v>1767</v>
      </c>
      <c r="I434" s="145"/>
      <c r="J434" s="17" t="s">
        <v>2016</v>
      </c>
      <c r="K434" s="17" t="s">
        <v>2017</v>
      </c>
      <c r="L434" s="14" t="s">
        <v>103</v>
      </c>
      <c r="M434" s="37">
        <v>8184663520</v>
      </c>
      <c r="N434" s="38">
        <v>860186051803225</v>
      </c>
      <c r="O434" s="38"/>
      <c r="P434" s="14" t="s">
        <v>223</v>
      </c>
      <c r="Q434" s="14" t="s">
        <v>8</v>
      </c>
      <c r="R434" s="40">
        <v>1999.84</v>
      </c>
      <c r="S434" s="41" t="s">
        <v>1931</v>
      </c>
      <c r="T434" s="42"/>
      <c r="U434" s="43"/>
      <c r="V434" s="44">
        <v>45211.929155092592</v>
      </c>
      <c r="W434" s="15"/>
    </row>
    <row r="435" spans="1:23" s="34" customFormat="1" ht="29" x14ac:dyDescent="0.35">
      <c r="A435" s="15"/>
      <c r="B435" s="35">
        <v>44915</v>
      </c>
      <c r="C435" s="14">
        <v>355</v>
      </c>
      <c r="D435" s="74" t="s">
        <v>5004</v>
      </c>
      <c r="E435" s="14" t="s">
        <v>222</v>
      </c>
      <c r="F435" s="74" t="s">
        <v>13</v>
      </c>
      <c r="G435" s="17" t="s">
        <v>1805</v>
      </c>
      <c r="H435" s="14" t="s">
        <v>1767</v>
      </c>
      <c r="I435" s="144" t="s">
        <v>39</v>
      </c>
      <c r="J435" s="14" t="s">
        <v>24</v>
      </c>
      <c r="K435" s="58" t="s">
        <v>5077</v>
      </c>
      <c r="L435" s="14" t="s">
        <v>103</v>
      </c>
      <c r="M435" s="37">
        <v>8120107517</v>
      </c>
      <c r="N435" s="38">
        <v>863830030950774</v>
      </c>
      <c r="O435" s="38" t="s">
        <v>5075</v>
      </c>
      <c r="P435" s="14" t="s">
        <v>5074</v>
      </c>
      <c r="Q435" s="14" t="s">
        <v>8</v>
      </c>
      <c r="R435" s="40">
        <v>1999.84</v>
      </c>
      <c r="S435" s="19" t="s">
        <v>5002</v>
      </c>
      <c r="T435" s="42"/>
      <c r="U435" s="43"/>
      <c r="V435" s="15"/>
      <c r="W435" s="15"/>
    </row>
    <row r="436" spans="1:23" s="34" customFormat="1" ht="29" x14ac:dyDescent="0.35">
      <c r="A436" s="15"/>
      <c r="B436" s="35">
        <v>44921</v>
      </c>
      <c r="C436" s="14">
        <v>356</v>
      </c>
      <c r="D436" s="85" t="s">
        <v>3886</v>
      </c>
      <c r="E436" s="14" t="s">
        <v>221</v>
      </c>
      <c r="F436" s="74" t="s">
        <v>13</v>
      </c>
      <c r="G436" s="17" t="s">
        <v>1805</v>
      </c>
      <c r="H436" s="14" t="s">
        <v>1767</v>
      </c>
      <c r="I436" s="145" t="s">
        <v>39</v>
      </c>
      <c r="J436" s="17" t="s">
        <v>26</v>
      </c>
      <c r="K436" s="58" t="s">
        <v>1320</v>
      </c>
      <c r="L436" s="14" t="s">
        <v>103</v>
      </c>
      <c r="M436" s="37">
        <v>8120305289</v>
      </c>
      <c r="N436" s="38">
        <v>863844052820856</v>
      </c>
      <c r="O436" s="38" t="s">
        <v>3888</v>
      </c>
      <c r="P436" s="14" t="s">
        <v>3887</v>
      </c>
      <c r="Q436" s="17" t="s">
        <v>4174</v>
      </c>
      <c r="R436" s="40">
        <v>1999.84</v>
      </c>
      <c r="S436" s="19" t="s">
        <v>3584</v>
      </c>
      <c r="T436" s="42"/>
      <c r="U436" s="43"/>
      <c r="V436" s="15" t="s">
        <v>1004</v>
      </c>
      <c r="W436" s="15"/>
    </row>
    <row r="437" spans="1:23" s="34" customFormat="1" ht="29" x14ac:dyDescent="0.35">
      <c r="A437" s="15"/>
      <c r="B437" s="35">
        <v>44921</v>
      </c>
      <c r="C437" s="14">
        <v>357</v>
      </c>
      <c r="D437" s="74">
        <v>440</v>
      </c>
      <c r="E437" s="14" t="s">
        <v>221</v>
      </c>
      <c r="F437" s="74" t="s">
        <v>13</v>
      </c>
      <c r="G437" s="17" t="s">
        <v>1805</v>
      </c>
      <c r="H437" s="17" t="s">
        <v>1787</v>
      </c>
      <c r="I437" s="145"/>
      <c r="J437" s="14" t="s">
        <v>26</v>
      </c>
      <c r="K437" s="58" t="s">
        <v>1321</v>
      </c>
      <c r="L437" s="14" t="s">
        <v>103</v>
      </c>
      <c r="M437" s="37">
        <v>8120323495</v>
      </c>
      <c r="N437" s="38">
        <v>863844052821185</v>
      </c>
      <c r="O437" s="38"/>
      <c r="P437" s="14" t="s">
        <v>220</v>
      </c>
      <c r="Q437" s="14" t="s">
        <v>8</v>
      </c>
      <c r="R437" s="40">
        <v>1999.84</v>
      </c>
      <c r="S437" s="41">
        <v>174</v>
      </c>
      <c r="T437" s="42"/>
      <c r="U437" s="43"/>
      <c r="V437" s="15" t="s">
        <v>1004</v>
      </c>
      <c r="W437" s="15"/>
    </row>
    <row r="438" spans="1:23" s="34" customFormat="1" ht="29" x14ac:dyDescent="0.35">
      <c r="A438" s="15"/>
      <c r="B438" s="35">
        <v>44922</v>
      </c>
      <c r="C438" s="14">
        <v>358</v>
      </c>
      <c r="D438" s="85" t="s">
        <v>3889</v>
      </c>
      <c r="E438" s="14" t="s">
        <v>219</v>
      </c>
      <c r="F438" s="74" t="s">
        <v>13</v>
      </c>
      <c r="G438" s="17" t="s">
        <v>1805</v>
      </c>
      <c r="H438" s="17" t="s">
        <v>1787</v>
      </c>
      <c r="I438" s="145" t="s">
        <v>39</v>
      </c>
      <c r="J438" s="17" t="s">
        <v>74</v>
      </c>
      <c r="K438" s="58" t="s">
        <v>1322</v>
      </c>
      <c r="L438" s="14" t="s">
        <v>103</v>
      </c>
      <c r="M438" s="16">
        <v>8110770067</v>
      </c>
      <c r="N438" s="38">
        <v>865011034400326</v>
      </c>
      <c r="O438" s="16" t="s">
        <v>39</v>
      </c>
      <c r="P438" s="17" t="s">
        <v>3890</v>
      </c>
      <c r="Q438" s="17" t="s">
        <v>4174</v>
      </c>
      <c r="R438" s="40">
        <v>1999.84</v>
      </c>
      <c r="S438" s="19" t="s">
        <v>3584</v>
      </c>
      <c r="T438" s="42"/>
      <c r="U438" s="43"/>
      <c r="V438" s="44"/>
      <c r="W438" s="15"/>
    </row>
    <row r="439" spans="1:23" s="34" customFormat="1" ht="29" x14ac:dyDescent="0.35">
      <c r="A439" s="15"/>
      <c r="B439" s="35">
        <v>44923</v>
      </c>
      <c r="C439" s="14">
        <v>359</v>
      </c>
      <c r="D439" s="36">
        <v>442</v>
      </c>
      <c r="E439" s="17" t="s">
        <v>1505</v>
      </c>
      <c r="F439" s="74" t="s">
        <v>13</v>
      </c>
      <c r="G439" s="14" t="s">
        <v>5</v>
      </c>
      <c r="H439" s="14" t="s">
        <v>11</v>
      </c>
      <c r="I439" s="144"/>
      <c r="J439" s="14" t="s">
        <v>218</v>
      </c>
      <c r="K439" s="58" t="s">
        <v>1323</v>
      </c>
      <c r="L439" s="14" t="s">
        <v>103</v>
      </c>
      <c r="M439" s="37">
        <v>8120395632</v>
      </c>
      <c r="N439" s="38">
        <v>869220040534160</v>
      </c>
      <c r="O439" s="38"/>
      <c r="P439" s="14" t="s">
        <v>34</v>
      </c>
      <c r="Q439" s="39" t="s">
        <v>1506</v>
      </c>
      <c r="R439" s="40">
        <v>1999.84</v>
      </c>
      <c r="S439" s="41" t="s">
        <v>1504</v>
      </c>
      <c r="T439" s="42"/>
      <c r="U439" s="43"/>
      <c r="V439" s="44"/>
      <c r="W439" s="15"/>
    </row>
    <row r="440" spans="1:23" s="34" customFormat="1" ht="29" x14ac:dyDescent="0.35">
      <c r="A440" s="15"/>
      <c r="B440" s="35">
        <v>44924</v>
      </c>
      <c r="C440" s="14">
        <v>360</v>
      </c>
      <c r="D440" s="85" t="s">
        <v>3045</v>
      </c>
      <c r="E440" s="14" t="s">
        <v>217</v>
      </c>
      <c r="F440" s="74" t="s">
        <v>13</v>
      </c>
      <c r="G440" s="14" t="s">
        <v>5</v>
      </c>
      <c r="H440" s="14" t="s">
        <v>3186</v>
      </c>
      <c r="I440" s="144" t="s">
        <v>39</v>
      </c>
      <c r="J440" s="14" t="s">
        <v>216</v>
      </c>
      <c r="K440" s="58" t="s">
        <v>2968</v>
      </c>
      <c r="L440" s="14" t="s">
        <v>103</v>
      </c>
      <c r="M440" s="37">
        <v>8120398838</v>
      </c>
      <c r="N440" s="38">
        <v>869220040531828</v>
      </c>
      <c r="O440" s="38" t="s">
        <v>3187</v>
      </c>
      <c r="P440" s="14" t="s">
        <v>3046</v>
      </c>
      <c r="Q440" s="17" t="s">
        <v>2559</v>
      </c>
      <c r="R440" s="40">
        <v>1999.84</v>
      </c>
      <c r="S440" s="19" t="s">
        <v>2977</v>
      </c>
      <c r="T440" s="42"/>
      <c r="U440" s="43"/>
      <c r="V440" s="15" t="s">
        <v>1004</v>
      </c>
      <c r="W440" s="15"/>
    </row>
    <row r="441" spans="1:23" s="34" customFormat="1" ht="29" x14ac:dyDescent="0.35">
      <c r="A441" s="15"/>
      <c r="B441" s="35">
        <v>44925</v>
      </c>
      <c r="C441" s="14">
        <v>361</v>
      </c>
      <c r="D441" s="39" t="s">
        <v>39</v>
      </c>
      <c r="E441" s="46" t="s">
        <v>39</v>
      </c>
      <c r="F441" s="39" t="s">
        <v>40</v>
      </c>
      <c r="G441" s="14" t="s">
        <v>5</v>
      </c>
      <c r="H441" s="14" t="s">
        <v>17</v>
      </c>
      <c r="I441" s="144"/>
      <c r="J441" s="14" t="s">
        <v>194</v>
      </c>
      <c r="K441" s="58" t="s">
        <v>193</v>
      </c>
      <c r="L441" s="14" t="s">
        <v>103</v>
      </c>
      <c r="M441" s="37" t="s">
        <v>39</v>
      </c>
      <c r="N441" s="38" t="s">
        <v>39</v>
      </c>
      <c r="O441" s="38"/>
      <c r="P441" s="14" t="s">
        <v>39</v>
      </c>
      <c r="Q441" s="14" t="s">
        <v>38</v>
      </c>
      <c r="R441" s="40">
        <v>290</v>
      </c>
      <c r="S441" s="41" t="s">
        <v>40</v>
      </c>
      <c r="T441" s="42"/>
      <c r="U441" s="43"/>
      <c r="V441" s="15"/>
      <c r="W441" s="15"/>
    </row>
    <row r="442" spans="1:23" s="34" customFormat="1" ht="29" x14ac:dyDescent="0.35">
      <c r="A442" s="15"/>
      <c r="B442" s="35">
        <v>44928</v>
      </c>
      <c r="C442" s="14">
        <v>362</v>
      </c>
      <c r="D442" s="85" t="s">
        <v>3047</v>
      </c>
      <c r="E442" s="14" t="s">
        <v>215</v>
      </c>
      <c r="F442" s="74" t="s">
        <v>13</v>
      </c>
      <c r="G442" s="14" t="s">
        <v>21</v>
      </c>
      <c r="H442" s="14" t="s">
        <v>3188</v>
      </c>
      <c r="I442" s="144" t="s">
        <v>39</v>
      </c>
      <c r="J442" s="14" t="s">
        <v>214</v>
      </c>
      <c r="K442" s="58" t="s">
        <v>1324</v>
      </c>
      <c r="L442" s="14" t="s">
        <v>2</v>
      </c>
      <c r="M442" s="37">
        <v>8121997902</v>
      </c>
      <c r="N442" s="38">
        <v>869220040533105</v>
      </c>
      <c r="O442" s="38" t="s">
        <v>3189</v>
      </c>
      <c r="P442" s="14" t="s">
        <v>3048</v>
      </c>
      <c r="Q442" s="17" t="s">
        <v>2559</v>
      </c>
      <c r="R442" s="40">
        <v>1999.84</v>
      </c>
      <c r="S442" s="19" t="s">
        <v>2977</v>
      </c>
      <c r="T442" s="42"/>
      <c r="U442" s="43"/>
      <c r="V442" s="15" t="s">
        <v>1004</v>
      </c>
      <c r="W442" s="15"/>
    </row>
    <row r="443" spans="1:23" s="34" customFormat="1" ht="29" x14ac:dyDescent="0.35">
      <c r="A443" s="15"/>
      <c r="B443" s="35">
        <v>44929</v>
      </c>
      <c r="C443" s="14">
        <v>363</v>
      </c>
      <c r="D443" s="36" t="s">
        <v>2003</v>
      </c>
      <c r="E443" s="46" t="s">
        <v>213</v>
      </c>
      <c r="F443" s="39" t="s">
        <v>40</v>
      </c>
      <c r="G443" s="14" t="s">
        <v>5</v>
      </c>
      <c r="H443" s="14" t="s">
        <v>11</v>
      </c>
      <c r="I443" s="144"/>
      <c r="J443" s="14" t="s">
        <v>212</v>
      </c>
      <c r="K443" s="14" t="s">
        <v>1309</v>
      </c>
      <c r="L443" s="14" t="s">
        <v>103</v>
      </c>
      <c r="M443" s="38">
        <v>8181122535</v>
      </c>
      <c r="N443" s="38">
        <v>867553057586869</v>
      </c>
      <c r="O443" s="38"/>
      <c r="P443" s="14" t="s">
        <v>211</v>
      </c>
      <c r="Q443" s="14" t="s">
        <v>8</v>
      </c>
      <c r="R443" s="40">
        <v>290</v>
      </c>
      <c r="S443" s="41" t="s">
        <v>40</v>
      </c>
      <c r="T443" s="42"/>
      <c r="U443" s="43"/>
      <c r="V443" s="15"/>
      <c r="W443" s="15"/>
    </row>
    <row r="444" spans="1:23" s="34" customFormat="1" ht="29" x14ac:dyDescent="0.35">
      <c r="A444" s="15"/>
      <c r="B444" s="35">
        <v>44930</v>
      </c>
      <c r="C444" s="14">
        <v>364</v>
      </c>
      <c r="D444" s="85" t="s">
        <v>3891</v>
      </c>
      <c r="E444" s="14" t="s">
        <v>210</v>
      </c>
      <c r="F444" s="74" t="s">
        <v>13</v>
      </c>
      <c r="G444" s="14" t="s">
        <v>21</v>
      </c>
      <c r="H444" s="14" t="s">
        <v>1767</v>
      </c>
      <c r="I444" s="144" t="s">
        <v>39</v>
      </c>
      <c r="J444" s="14" t="s">
        <v>209</v>
      </c>
      <c r="K444" s="14" t="s">
        <v>1325</v>
      </c>
      <c r="L444" s="14" t="s">
        <v>2</v>
      </c>
      <c r="M444" s="38">
        <v>8120324958</v>
      </c>
      <c r="N444" s="38">
        <v>869220040534111</v>
      </c>
      <c r="O444" s="38" t="s">
        <v>3893</v>
      </c>
      <c r="P444" s="14" t="s">
        <v>3892</v>
      </c>
      <c r="Q444" s="17" t="s">
        <v>4174</v>
      </c>
      <c r="R444" s="40">
        <v>1999.84</v>
      </c>
      <c r="S444" s="19" t="s">
        <v>3584</v>
      </c>
      <c r="T444" s="42"/>
      <c r="U444" s="43"/>
      <c r="V444" s="15" t="s">
        <v>1004</v>
      </c>
      <c r="W444" s="15"/>
    </row>
    <row r="445" spans="1:23" s="34" customFormat="1" ht="29" x14ac:dyDescent="0.35">
      <c r="A445" s="15"/>
      <c r="B445" s="35">
        <v>44931</v>
      </c>
      <c r="C445" s="14">
        <v>365</v>
      </c>
      <c r="D445" s="85" t="s">
        <v>3895</v>
      </c>
      <c r="E445" s="14" t="s">
        <v>207</v>
      </c>
      <c r="F445" s="74" t="s">
        <v>13</v>
      </c>
      <c r="G445" s="17" t="s">
        <v>1805</v>
      </c>
      <c r="H445" s="14" t="s">
        <v>1767</v>
      </c>
      <c r="I445" s="145" t="s">
        <v>39</v>
      </c>
      <c r="J445" s="17" t="s">
        <v>26</v>
      </c>
      <c r="K445" s="14" t="s">
        <v>1326</v>
      </c>
      <c r="L445" s="14" t="s">
        <v>103</v>
      </c>
      <c r="M445" s="38">
        <v>8123218992</v>
      </c>
      <c r="N445" s="38">
        <v>865011034742545</v>
      </c>
      <c r="O445" s="16" t="s">
        <v>208</v>
      </c>
      <c r="P445" s="17" t="s">
        <v>39</v>
      </c>
      <c r="Q445" s="17" t="s">
        <v>4174</v>
      </c>
      <c r="R445" s="40">
        <v>1999.84</v>
      </c>
      <c r="S445" s="19" t="s">
        <v>3584</v>
      </c>
      <c r="T445" s="42"/>
      <c r="U445" s="43"/>
      <c r="V445" s="15" t="s">
        <v>1004</v>
      </c>
      <c r="W445" s="15"/>
    </row>
    <row r="446" spans="1:23" s="34" customFormat="1" ht="29" x14ac:dyDescent="0.35">
      <c r="A446" s="15"/>
      <c r="B446" s="35">
        <v>44931</v>
      </c>
      <c r="C446" s="14">
        <v>366</v>
      </c>
      <c r="D446" s="85" t="s">
        <v>3382</v>
      </c>
      <c r="E446" s="14" t="s">
        <v>207</v>
      </c>
      <c r="F446" s="74" t="s">
        <v>13</v>
      </c>
      <c r="G446" s="17" t="s">
        <v>1805</v>
      </c>
      <c r="H446" s="14" t="s">
        <v>1767</v>
      </c>
      <c r="I446" s="144" t="s">
        <v>39</v>
      </c>
      <c r="J446" s="121" t="s">
        <v>3355</v>
      </c>
      <c r="K446" s="14" t="s">
        <v>1327</v>
      </c>
      <c r="L446" s="14" t="s">
        <v>103</v>
      </c>
      <c r="M446" s="38">
        <v>8126212993</v>
      </c>
      <c r="N446" s="38">
        <v>863844052840326</v>
      </c>
      <c r="O446" s="38" t="s">
        <v>39</v>
      </c>
      <c r="P446" s="14" t="s">
        <v>206</v>
      </c>
      <c r="Q446" s="17" t="s">
        <v>2559</v>
      </c>
      <c r="R446" s="40">
        <v>1999.84</v>
      </c>
      <c r="S446" s="19" t="s">
        <v>3329</v>
      </c>
      <c r="T446" s="42"/>
      <c r="U446" s="43"/>
      <c r="V446" s="44">
        <v>44993.649537037039</v>
      </c>
      <c r="W446" s="15"/>
    </row>
    <row r="447" spans="1:23" s="34" customFormat="1" ht="29" x14ac:dyDescent="0.35">
      <c r="A447" s="15"/>
      <c r="B447" s="35">
        <v>44935</v>
      </c>
      <c r="C447" s="14">
        <v>368</v>
      </c>
      <c r="D447" s="39" t="s">
        <v>2915</v>
      </c>
      <c r="E447" s="14" t="s">
        <v>205</v>
      </c>
      <c r="F447" s="74" t="s">
        <v>6</v>
      </c>
      <c r="G447" s="17" t="s">
        <v>1805</v>
      </c>
      <c r="H447" s="14" t="s">
        <v>1788</v>
      </c>
      <c r="I447" s="144"/>
      <c r="J447" s="14" t="s">
        <v>203</v>
      </c>
      <c r="K447" s="14" t="s">
        <v>1253</v>
      </c>
      <c r="L447" s="14" t="s">
        <v>103</v>
      </c>
      <c r="M447" s="37">
        <v>8120013048</v>
      </c>
      <c r="N447" s="38">
        <v>865011034739814</v>
      </c>
      <c r="O447" s="38"/>
      <c r="P447" s="14" t="s">
        <v>202</v>
      </c>
      <c r="Q447" s="94" t="s">
        <v>204</v>
      </c>
      <c r="R447" s="40">
        <v>0</v>
      </c>
      <c r="S447" s="41" t="s">
        <v>205</v>
      </c>
      <c r="T447" s="42"/>
      <c r="U447" s="43"/>
      <c r="V447" s="15"/>
      <c r="W447" s="15"/>
    </row>
    <row r="448" spans="1:23" s="34" customFormat="1" ht="29" x14ac:dyDescent="0.35">
      <c r="A448" s="15"/>
      <c r="B448" s="35">
        <v>44935</v>
      </c>
      <c r="C448" s="14">
        <v>369</v>
      </c>
      <c r="D448" s="85" t="s">
        <v>3007</v>
      </c>
      <c r="E448" s="14" t="s">
        <v>198</v>
      </c>
      <c r="F448" s="74" t="s">
        <v>138</v>
      </c>
      <c r="G448" s="17" t="s">
        <v>1805</v>
      </c>
      <c r="H448" s="14" t="s">
        <v>3133</v>
      </c>
      <c r="I448" s="144" t="s">
        <v>39</v>
      </c>
      <c r="J448" s="14" t="s">
        <v>203</v>
      </c>
      <c r="K448" s="17" t="s">
        <v>1259</v>
      </c>
      <c r="L448" s="14" t="s">
        <v>103</v>
      </c>
      <c r="M448" s="37">
        <v>8181805917</v>
      </c>
      <c r="N448" s="38">
        <v>863756050069635</v>
      </c>
      <c r="O448" s="38" t="s">
        <v>3136</v>
      </c>
      <c r="P448" s="14" t="s">
        <v>3135</v>
      </c>
      <c r="Q448" s="17" t="s">
        <v>2559</v>
      </c>
      <c r="R448" s="40">
        <v>1999.84</v>
      </c>
      <c r="S448" s="19" t="s">
        <v>2977</v>
      </c>
      <c r="T448" s="42"/>
      <c r="U448" s="43"/>
      <c r="V448" s="15" t="s">
        <v>1022</v>
      </c>
      <c r="W448" s="15"/>
    </row>
    <row r="449" spans="1:23" s="34" customFormat="1" ht="29" x14ac:dyDescent="0.35">
      <c r="A449" s="15"/>
      <c r="B449" s="35">
        <v>44935</v>
      </c>
      <c r="C449" s="14">
        <v>370</v>
      </c>
      <c r="D449" s="85" t="s">
        <v>3049</v>
      </c>
      <c r="E449" s="14" t="s">
        <v>198</v>
      </c>
      <c r="F449" s="74" t="s">
        <v>13</v>
      </c>
      <c r="G449" s="17" t="s">
        <v>1805</v>
      </c>
      <c r="H449" s="17" t="s">
        <v>1787</v>
      </c>
      <c r="I449" s="145" t="s">
        <v>39</v>
      </c>
      <c r="J449" s="14" t="s">
        <v>2944</v>
      </c>
      <c r="K449" s="14" t="s">
        <v>2943</v>
      </c>
      <c r="L449" s="14" t="s">
        <v>2</v>
      </c>
      <c r="M449" s="14">
        <v>8116006908</v>
      </c>
      <c r="N449" s="38">
        <v>865011034397720</v>
      </c>
      <c r="O449" s="38" t="s">
        <v>39</v>
      </c>
      <c r="P449" s="14" t="s">
        <v>201</v>
      </c>
      <c r="Q449" s="17" t="s">
        <v>2559</v>
      </c>
      <c r="R449" s="40">
        <v>1999.84</v>
      </c>
      <c r="S449" s="19" t="s">
        <v>2977</v>
      </c>
      <c r="T449" s="42"/>
      <c r="U449" s="43"/>
      <c r="V449" s="15" t="s">
        <v>1022</v>
      </c>
      <c r="W449" s="15" t="s">
        <v>200</v>
      </c>
    </row>
    <row r="450" spans="1:23" s="34" customFormat="1" ht="29" x14ac:dyDescent="0.35">
      <c r="A450" s="15"/>
      <c r="B450" s="35">
        <v>44935</v>
      </c>
      <c r="C450" s="14">
        <v>370</v>
      </c>
      <c r="D450" s="85" t="s">
        <v>3897</v>
      </c>
      <c r="E450" s="14" t="s">
        <v>198</v>
      </c>
      <c r="F450" s="74" t="s">
        <v>13</v>
      </c>
      <c r="G450" s="14" t="s">
        <v>21</v>
      </c>
      <c r="H450" s="17" t="s">
        <v>1787</v>
      </c>
      <c r="I450" s="145" t="s">
        <v>39</v>
      </c>
      <c r="J450" s="14" t="s">
        <v>199</v>
      </c>
      <c r="K450" s="14" t="s">
        <v>1328</v>
      </c>
      <c r="L450" s="14" t="s">
        <v>2</v>
      </c>
      <c r="M450" s="38">
        <v>8180521025</v>
      </c>
      <c r="N450" s="38">
        <v>868166053315370</v>
      </c>
      <c r="O450" s="16" t="s">
        <v>39</v>
      </c>
      <c r="P450" s="17" t="s">
        <v>3898</v>
      </c>
      <c r="Q450" s="17" t="s">
        <v>4174</v>
      </c>
      <c r="R450" s="40">
        <v>1999.84</v>
      </c>
      <c r="S450" s="19" t="s">
        <v>3584</v>
      </c>
      <c r="T450" s="42"/>
      <c r="U450" s="43"/>
      <c r="V450" s="44">
        <v>45060.128993055558</v>
      </c>
      <c r="W450" s="15"/>
    </row>
    <row r="451" spans="1:23" s="34" customFormat="1" ht="29" x14ac:dyDescent="0.35">
      <c r="A451" s="15"/>
      <c r="B451" s="35">
        <v>44935</v>
      </c>
      <c r="C451" s="14">
        <v>371</v>
      </c>
      <c r="D451" s="36" t="s">
        <v>2257</v>
      </c>
      <c r="E451" s="14" t="s">
        <v>198</v>
      </c>
      <c r="F451" s="74" t="s">
        <v>13</v>
      </c>
      <c r="G451" s="14" t="s">
        <v>21</v>
      </c>
      <c r="H451" s="17" t="s">
        <v>1787</v>
      </c>
      <c r="I451" s="145"/>
      <c r="J451" s="17" t="s">
        <v>2258</v>
      </c>
      <c r="K451" s="14" t="s">
        <v>2259</v>
      </c>
      <c r="L451" s="14" t="s">
        <v>2</v>
      </c>
      <c r="M451" s="38">
        <v>8126296921</v>
      </c>
      <c r="N451" s="38">
        <v>868166053314688</v>
      </c>
      <c r="O451" s="38"/>
      <c r="P451" s="14" t="s">
        <v>197</v>
      </c>
      <c r="Q451" s="14" t="s">
        <v>8</v>
      </c>
      <c r="R451" s="40">
        <v>1999.84</v>
      </c>
      <c r="S451" s="19" t="s">
        <v>2200</v>
      </c>
      <c r="T451" s="42"/>
      <c r="U451" s="43"/>
      <c r="V451" s="15" t="s">
        <v>1022</v>
      </c>
      <c r="W451" s="15"/>
    </row>
    <row r="452" spans="1:23" s="34" customFormat="1" ht="29" x14ac:dyDescent="0.35">
      <c r="A452" s="15"/>
      <c r="B452" s="35">
        <v>44936</v>
      </c>
      <c r="C452" s="14">
        <v>372</v>
      </c>
      <c r="D452" s="85" t="s">
        <v>3901</v>
      </c>
      <c r="E452" s="14" t="s">
        <v>195</v>
      </c>
      <c r="F452" s="74" t="s">
        <v>13</v>
      </c>
      <c r="G452" s="17" t="s">
        <v>1805</v>
      </c>
      <c r="H452" s="14" t="s">
        <v>1767</v>
      </c>
      <c r="I452" s="145" t="s">
        <v>39</v>
      </c>
      <c r="J452" s="17" t="s">
        <v>26</v>
      </c>
      <c r="K452" s="17" t="s">
        <v>3900</v>
      </c>
      <c r="L452" s="14" t="s">
        <v>103</v>
      </c>
      <c r="M452" s="38">
        <v>8116007045</v>
      </c>
      <c r="N452" s="38">
        <v>359857084513480</v>
      </c>
      <c r="O452" s="16" t="s">
        <v>196</v>
      </c>
      <c r="P452" s="17" t="s">
        <v>39</v>
      </c>
      <c r="Q452" s="17" t="s">
        <v>4174</v>
      </c>
      <c r="R452" s="40">
        <v>1999.84</v>
      </c>
      <c r="S452" s="19" t="s">
        <v>3584</v>
      </c>
      <c r="T452" s="42"/>
      <c r="U452" s="43"/>
      <c r="V452" s="15" t="s">
        <v>1022</v>
      </c>
      <c r="W452" s="15"/>
    </row>
    <row r="453" spans="1:23" s="34" customFormat="1" ht="29" x14ac:dyDescent="0.35">
      <c r="A453" s="15"/>
      <c r="B453" s="35">
        <v>44936</v>
      </c>
      <c r="C453" s="14">
        <v>373</v>
      </c>
      <c r="D453" s="36" t="s">
        <v>2260</v>
      </c>
      <c r="E453" s="14" t="s">
        <v>195</v>
      </c>
      <c r="F453" s="74" t="s">
        <v>13</v>
      </c>
      <c r="G453" s="14" t="s">
        <v>5</v>
      </c>
      <c r="H453" s="14" t="s">
        <v>17</v>
      </c>
      <c r="I453" s="144"/>
      <c r="J453" s="14" t="s">
        <v>194</v>
      </c>
      <c r="K453" s="14" t="s">
        <v>1329</v>
      </c>
      <c r="L453" s="14" t="s">
        <v>103</v>
      </c>
      <c r="M453" s="38">
        <v>8180117813</v>
      </c>
      <c r="N453" s="38">
        <v>868166053314977</v>
      </c>
      <c r="O453" s="38"/>
      <c r="P453" s="14" t="s">
        <v>192</v>
      </c>
      <c r="Q453" s="14" t="s">
        <v>8</v>
      </c>
      <c r="R453" s="40">
        <v>1999.84</v>
      </c>
      <c r="S453" s="19" t="s">
        <v>2200</v>
      </c>
      <c r="T453" s="42"/>
      <c r="U453" s="43"/>
      <c r="V453" s="15" t="s">
        <v>1022</v>
      </c>
      <c r="W453" s="15"/>
    </row>
    <row r="454" spans="1:23" s="34" customFormat="1" ht="29" x14ac:dyDescent="0.35">
      <c r="A454" s="15"/>
      <c r="B454" s="35">
        <v>44937</v>
      </c>
      <c r="C454" s="14">
        <v>374</v>
      </c>
      <c r="D454" s="85" t="s">
        <v>3902</v>
      </c>
      <c r="E454" s="14" t="s">
        <v>191</v>
      </c>
      <c r="F454" s="74" t="s">
        <v>13</v>
      </c>
      <c r="G454" s="17" t="s">
        <v>1805</v>
      </c>
      <c r="H454" s="14" t="s">
        <v>1767</v>
      </c>
      <c r="I454" s="145" t="s">
        <v>39</v>
      </c>
      <c r="J454" s="17" t="s">
        <v>26</v>
      </c>
      <c r="K454" s="14" t="s">
        <v>1330</v>
      </c>
      <c r="L454" s="14" t="s">
        <v>103</v>
      </c>
      <c r="M454" s="38">
        <v>8126220342</v>
      </c>
      <c r="N454" s="38">
        <v>868166053314845</v>
      </c>
      <c r="O454" s="38" t="s">
        <v>3904</v>
      </c>
      <c r="P454" s="14" t="s">
        <v>3903</v>
      </c>
      <c r="Q454" s="17" t="s">
        <v>4174</v>
      </c>
      <c r="R454" s="40">
        <v>1999.84</v>
      </c>
      <c r="S454" s="19" t="s">
        <v>3584</v>
      </c>
      <c r="T454" s="42"/>
      <c r="U454" s="43"/>
      <c r="V454" s="15"/>
      <c r="W454" s="15"/>
    </row>
    <row r="455" spans="1:23" s="34" customFormat="1" ht="29" x14ac:dyDescent="0.35">
      <c r="A455" s="15"/>
      <c r="B455" s="35">
        <v>44938</v>
      </c>
      <c r="C455" s="14">
        <v>375</v>
      </c>
      <c r="D455" s="138" t="s">
        <v>4432</v>
      </c>
      <c r="E455" s="14" t="s">
        <v>190</v>
      </c>
      <c r="F455" s="74" t="s">
        <v>13</v>
      </c>
      <c r="G455" s="17" t="s">
        <v>1805</v>
      </c>
      <c r="H455" s="14" t="s">
        <v>1767</v>
      </c>
      <c r="I455" s="144"/>
      <c r="J455" s="135" t="s">
        <v>4439</v>
      </c>
      <c r="K455" s="14" t="s">
        <v>1331</v>
      </c>
      <c r="L455" s="14" t="s">
        <v>103</v>
      </c>
      <c r="M455" s="38">
        <v>8126225782</v>
      </c>
      <c r="N455" s="38">
        <v>868166053311783</v>
      </c>
      <c r="O455" s="38" t="s">
        <v>4440</v>
      </c>
      <c r="P455" s="14" t="s">
        <v>4441</v>
      </c>
      <c r="Q455" s="17" t="s">
        <v>2559</v>
      </c>
      <c r="R455" s="40">
        <v>1999.84</v>
      </c>
      <c r="S455" s="19" t="s">
        <v>4438</v>
      </c>
      <c r="T455" s="42"/>
      <c r="U455" s="43"/>
      <c r="V455" s="15" t="s">
        <v>1022</v>
      </c>
      <c r="W455" s="15"/>
    </row>
    <row r="456" spans="1:23" s="34" customFormat="1" ht="29" x14ac:dyDescent="0.35">
      <c r="A456" s="15"/>
      <c r="B456" s="35">
        <v>44939</v>
      </c>
      <c r="C456" s="14">
        <v>376</v>
      </c>
      <c r="D456" s="85" t="s">
        <v>3051</v>
      </c>
      <c r="E456" s="14" t="s">
        <v>186</v>
      </c>
      <c r="F456" s="74" t="s">
        <v>13</v>
      </c>
      <c r="G456" s="14" t="s">
        <v>21</v>
      </c>
      <c r="H456" s="14" t="s">
        <v>1767</v>
      </c>
      <c r="I456" s="144" t="s">
        <v>39</v>
      </c>
      <c r="J456" s="14" t="s">
        <v>189</v>
      </c>
      <c r="K456" s="17" t="s">
        <v>3052</v>
      </c>
      <c r="L456" s="14" t="s">
        <v>103</v>
      </c>
      <c r="M456" s="38">
        <v>8128601122</v>
      </c>
      <c r="N456" s="38">
        <v>868166053313755</v>
      </c>
      <c r="O456" s="38" t="s">
        <v>3191</v>
      </c>
      <c r="P456" s="14" t="s">
        <v>3190</v>
      </c>
      <c r="Q456" s="17" t="s">
        <v>2559</v>
      </c>
      <c r="R456" s="40">
        <v>1999.84</v>
      </c>
      <c r="S456" s="19" t="s">
        <v>2977</v>
      </c>
      <c r="T456" s="42"/>
      <c r="U456" s="43"/>
      <c r="V456" s="15" t="s">
        <v>1022</v>
      </c>
      <c r="W456" s="15"/>
    </row>
    <row r="457" spans="1:23" s="34" customFormat="1" ht="29" x14ac:dyDescent="0.35">
      <c r="A457" s="15"/>
      <c r="B457" s="35">
        <v>44939</v>
      </c>
      <c r="C457" s="14">
        <v>377</v>
      </c>
      <c r="D457" s="36" t="s">
        <v>2240</v>
      </c>
      <c r="E457" s="14" t="s">
        <v>186</v>
      </c>
      <c r="F457" s="74" t="s">
        <v>36</v>
      </c>
      <c r="G457" s="14" t="s">
        <v>21</v>
      </c>
      <c r="H457" s="14" t="s">
        <v>1767</v>
      </c>
      <c r="I457" s="144"/>
      <c r="J457" s="14" t="s">
        <v>188</v>
      </c>
      <c r="K457" s="14" t="s">
        <v>1332</v>
      </c>
      <c r="L457" s="14" t="s">
        <v>103</v>
      </c>
      <c r="M457" s="37">
        <v>8180103762</v>
      </c>
      <c r="N457" s="38">
        <v>865011034396490</v>
      </c>
      <c r="O457" s="38"/>
      <c r="P457" s="14" t="s">
        <v>2241</v>
      </c>
      <c r="Q457" s="14" t="s">
        <v>187</v>
      </c>
      <c r="R457" s="40">
        <v>522</v>
      </c>
      <c r="S457" s="41" t="s">
        <v>2200</v>
      </c>
      <c r="T457" s="42"/>
      <c r="U457" s="43"/>
      <c r="V457" s="15"/>
      <c r="W457" s="15"/>
    </row>
    <row r="458" spans="1:23" s="34" customFormat="1" ht="29" x14ac:dyDescent="0.35">
      <c r="A458" s="15"/>
      <c r="B458" s="35">
        <v>44939</v>
      </c>
      <c r="C458" s="14">
        <v>378</v>
      </c>
      <c r="D458" s="36">
        <v>456</v>
      </c>
      <c r="E458" s="17" t="s">
        <v>1505</v>
      </c>
      <c r="F458" s="74" t="s">
        <v>13</v>
      </c>
      <c r="G458" s="14" t="s">
        <v>21</v>
      </c>
      <c r="H458" s="14" t="s">
        <v>4204</v>
      </c>
      <c r="I458" s="144"/>
      <c r="J458" s="14" t="s">
        <v>185</v>
      </c>
      <c r="K458" s="14" t="s">
        <v>1333</v>
      </c>
      <c r="L458" s="14" t="s">
        <v>103</v>
      </c>
      <c r="M458" s="38">
        <v>8118226610</v>
      </c>
      <c r="N458" s="38">
        <v>868166053311916</v>
      </c>
      <c r="O458" s="38"/>
      <c r="P458" s="14" t="s">
        <v>184</v>
      </c>
      <c r="Q458" s="39" t="s">
        <v>1506</v>
      </c>
      <c r="R458" s="40">
        <v>1999.84</v>
      </c>
      <c r="S458" s="41" t="s">
        <v>1504</v>
      </c>
      <c r="T458" s="42"/>
      <c r="U458" s="43"/>
      <c r="V458" s="15"/>
      <c r="W458" s="15"/>
    </row>
    <row r="459" spans="1:23" s="34" customFormat="1" ht="29" x14ac:dyDescent="0.35">
      <c r="A459" s="15"/>
      <c r="B459" s="35">
        <v>44940</v>
      </c>
      <c r="C459" s="14">
        <v>379</v>
      </c>
      <c r="D459" s="85" t="s">
        <v>3053</v>
      </c>
      <c r="E459" s="14" t="s">
        <v>183</v>
      </c>
      <c r="F459" s="74" t="s">
        <v>13</v>
      </c>
      <c r="G459" s="14" t="s">
        <v>5</v>
      </c>
      <c r="H459" s="14" t="s">
        <v>11</v>
      </c>
      <c r="I459" s="144" t="s">
        <v>39</v>
      </c>
      <c r="J459" s="14" t="s">
        <v>167</v>
      </c>
      <c r="K459" s="14" t="s">
        <v>1334</v>
      </c>
      <c r="L459" s="14" t="s">
        <v>103</v>
      </c>
      <c r="M459" s="38">
        <v>8118249783</v>
      </c>
      <c r="N459" s="38">
        <v>868166053313243</v>
      </c>
      <c r="O459" s="38" t="s">
        <v>3193</v>
      </c>
      <c r="P459" s="14" t="s">
        <v>3192</v>
      </c>
      <c r="Q459" s="17" t="s">
        <v>2559</v>
      </c>
      <c r="R459" s="40">
        <v>1999.84</v>
      </c>
      <c r="S459" s="19" t="s">
        <v>2977</v>
      </c>
      <c r="T459" s="42"/>
      <c r="U459" s="43"/>
      <c r="V459" s="15" t="s">
        <v>1022</v>
      </c>
      <c r="W459" s="15"/>
    </row>
    <row r="460" spans="1:23" s="34" customFormat="1" ht="29" x14ac:dyDescent="0.35">
      <c r="A460" s="15"/>
      <c r="B460" s="35">
        <v>44940</v>
      </c>
      <c r="C460" s="14">
        <v>380</v>
      </c>
      <c r="D460" s="36" t="s">
        <v>2018</v>
      </c>
      <c r="E460" s="85" t="s">
        <v>1929</v>
      </c>
      <c r="F460" s="74" t="s">
        <v>13</v>
      </c>
      <c r="G460" s="17" t="s">
        <v>1805</v>
      </c>
      <c r="H460" s="14" t="s">
        <v>1767</v>
      </c>
      <c r="I460" s="145"/>
      <c r="J460" s="17" t="s">
        <v>2019</v>
      </c>
      <c r="K460" s="14" t="s">
        <v>1335</v>
      </c>
      <c r="L460" s="14" t="s">
        <v>2</v>
      </c>
      <c r="M460" s="38">
        <v>8126212643</v>
      </c>
      <c r="N460" s="38">
        <v>868166053314746</v>
      </c>
      <c r="O460" s="38"/>
      <c r="P460" s="14" t="s">
        <v>182</v>
      </c>
      <c r="Q460" s="14" t="s">
        <v>8</v>
      </c>
      <c r="R460" s="40">
        <v>1999.84</v>
      </c>
      <c r="S460" s="41" t="s">
        <v>1931</v>
      </c>
      <c r="T460" s="42"/>
      <c r="U460" s="43"/>
      <c r="V460" s="15" t="s">
        <v>1022</v>
      </c>
      <c r="W460" s="15"/>
    </row>
    <row r="461" spans="1:23" s="34" customFormat="1" ht="29" x14ac:dyDescent="0.35">
      <c r="A461" s="15"/>
      <c r="B461" s="35">
        <v>44942</v>
      </c>
      <c r="C461" s="14">
        <v>381</v>
      </c>
      <c r="D461" s="39">
        <v>394</v>
      </c>
      <c r="E461" s="14" t="s">
        <v>181</v>
      </c>
      <c r="F461" s="74" t="s">
        <v>180</v>
      </c>
      <c r="G461" s="17" t="s">
        <v>1805</v>
      </c>
      <c r="H461" s="17" t="s">
        <v>1787</v>
      </c>
      <c r="I461" s="145"/>
      <c r="J461" s="14" t="s">
        <v>24</v>
      </c>
      <c r="K461" s="14" t="s">
        <v>1336</v>
      </c>
      <c r="L461" s="14" t="s">
        <v>2</v>
      </c>
      <c r="M461" s="37">
        <v>8122027795</v>
      </c>
      <c r="N461" s="38">
        <v>863756050044208</v>
      </c>
      <c r="O461" s="38"/>
      <c r="P461" s="14" t="s">
        <v>178</v>
      </c>
      <c r="Q461" s="14" t="s">
        <v>8</v>
      </c>
      <c r="R461" s="40">
        <v>0</v>
      </c>
      <c r="S461" s="41" t="s">
        <v>181</v>
      </c>
      <c r="T461" s="42"/>
      <c r="U461" s="43"/>
      <c r="V461" s="15" t="s">
        <v>177</v>
      </c>
      <c r="W461" s="15"/>
    </row>
    <row r="462" spans="1:23" s="34" customFormat="1" ht="29" x14ac:dyDescent="0.35">
      <c r="A462" s="15"/>
      <c r="B462" s="35">
        <v>44946</v>
      </c>
      <c r="C462" s="14">
        <v>382</v>
      </c>
      <c r="D462" s="36" t="s">
        <v>2021</v>
      </c>
      <c r="E462" s="85" t="s">
        <v>1929</v>
      </c>
      <c r="F462" s="74" t="s">
        <v>13</v>
      </c>
      <c r="G462" s="14" t="s">
        <v>5</v>
      </c>
      <c r="H462" s="14" t="s">
        <v>11</v>
      </c>
      <c r="I462" s="144"/>
      <c r="J462" s="14" t="s">
        <v>176</v>
      </c>
      <c r="K462" s="14" t="s">
        <v>1337</v>
      </c>
      <c r="L462" s="14" t="s">
        <v>2</v>
      </c>
      <c r="M462" s="37">
        <v>8182532965</v>
      </c>
      <c r="N462" s="38">
        <v>868166053315149</v>
      </c>
      <c r="O462" s="38"/>
      <c r="P462" s="14" t="s">
        <v>175</v>
      </c>
      <c r="Q462" s="14" t="s">
        <v>8</v>
      </c>
      <c r="R462" s="41">
        <v>1999.84</v>
      </c>
      <c r="S462" s="41" t="s">
        <v>1931</v>
      </c>
      <c r="T462" s="42"/>
      <c r="U462" s="43"/>
      <c r="V462" s="15" t="s">
        <v>1022</v>
      </c>
      <c r="W462" s="15"/>
    </row>
    <row r="463" spans="1:23" s="34" customFormat="1" ht="29" x14ac:dyDescent="0.35">
      <c r="A463" s="15"/>
      <c r="B463" s="35">
        <v>44947</v>
      </c>
      <c r="C463" s="14">
        <v>383</v>
      </c>
      <c r="D463" s="85" t="s">
        <v>3905</v>
      </c>
      <c r="E463" s="14" t="s">
        <v>174</v>
      </c>
      <c r="F463" s="74" t="s">
        <v>13</v>
      </c>
      <c r="G463" s="14" t="s">
        <v>5</v>
      </c>
      <c r="H463" s="14" t="s">
        <v>17</v>
      </c>
      <c r="I463" s="144" t="s">
        <v>39</v>
      </c>
      <c r="J463" s="14" t="s">
        <v>173</v>
      </c>
      <c r="K463" s="14" t="s">
        <v>1338</v>
      </c>
      <c r="L463" s="14" t="s">
        <v>103</v>
      </c>
      <c r="M463" s="37">
        <v>8119887372</v>
      </c>
      <c r="N463" s="38">
        <v>863756050122632</v>
      </c>
      <c r="O463" s="38" t="s">
        <v>3907</v>
      </c>
      <c r="P463" s="14" t="s">
        <v>4218</v>
      </c>
      <c r="Q463" s="17" t="s">
        <v>4174</v>
      </c>
      <c r="R463" s="41">
        <v>1999.84</v>
      </c>
      <c r="S463" s="19" t="s">
        <v>3584</v>
      </c>
      <c r="T463" s="42"/>
      <c r="U463" s="43"/>
      <c r="V463" s="44"/>
      <c r="W463" s="15"/>
    </row>
    <row r="464" spans="1:23" s="34" customFormat="1" ht="29" x14ac:dyDescent="0.35">
      <c r="A464" s="15"/>
      <c r="B464" s="35">
        <v>44950</v>
      </c>
      <c r="C464" s="14">
        <v>384</v>
      </c>
      <c r="D464" s="74">
        <v>461</v>
      </c>
      <c r="E464" s="14" t="s">
        <v>916</v>
      </c>
      <c r="F464" s="74" t="s">
        <v>13</v>
      </c>
      <c r="G464" s="17" t="s">
        <v>1805</v>
      </c>
      <c r="H464" s="14" t="s">
        <v>1767</v>
      </c>
      <c r="I464" s="144"/>
      <c r="J464" s="14" t="s">
        <v>74</v>
      </c>
      <c r="K464" s="14" t="s">
        <v>1339</v>
      </c>
      <c r="L464" s="14" t="s">
        <v>103</v>
      </c>
      <c r="M464" s="37">
        <v>8118228912</v>
      </c>
      <c r="N464" s="38">
        <v>869220040532214</v>
      </c>
      <c r="O464" s="38"/>
      <c r="P464" s="14" t="s">
        <v>918</v>
      </c>
      <c r="Q464" s="14" t="s">
        <v>8</v>
      </c>
      <c r="R464" s="41">
        <v>1999.84</v>
      </c>
      <c r="S464" s="41" t="s">
        <v>916</v>
      </c>
      <c r="T464" s="42"/>
      <c r="U464" s="43"/>
      <c r="V464" s="15"/>
      <c r="W464" s="15"/>
    </row>
    <row r="465" spans="1:23" s="34" customFormat="1" ht="29" x14ac:dyDescent="0.35">
      <c r="A465" s="15"/>
      <c r="B465" s="35">
        <v>44951</v>
      </c>
      <c r="C465" s="14">
        <v>385</v>
      </c>
      <c r="D465" s="85" t="s">
        <v>3054</v>
      </c>
      <c r="E465" s="14" t="s">
        <v>172</v>
      </c>
      <c r="F465" s="74" t="s">
        <v>13</v>
      </c>
      <c r="G465" s="14" t="s">
        <v>5</v>
      </c>
      <c r="H465" s="14" t="s">
        <v>11</v>
      </c>
      <c r="I465" s="144" t="s">
        <v>39</v>
      </c>
      <c r="J465" s="14" t="s">
        <v>170</v>
      </c>
      <c r="K465" s="14" t="s">
        <v>1340</v>
      </c>
      <c r="L465" s="14" t="s">
        <v>2</v>
      </c>
      <c r="M465" s="37">
        <v>8118229127</v>
      </c>
      <c r="N465" s="38">
        <v>868166053314696</v>
      </c>
      <c r="O465" s="38" t="s">
        <v>3197</v>
      </c>
      <c r="P465" s="14" t="s">
        <v>3196</v>
      </c>
      <c r="Q465" s="17" t="s">
        <v>2559</v>
      </c>
      <c r="R465" s="41">
        <v>1999.84</v>
      </c>
      <c r="S465" s="19" t="s">
        <v>2977</v>
      </c>
      <c r="T465" s="42"/>
      <c r="U465" s="43"/>
      <c r="V465" s="15"/>
      <c r="W465" s="15"/>
    </row>
    <row r="466" spans="1:23" s="34" customFormat="1" ht="29" x14ac:dyDescent="0.35">
      <c r="A466" s="15"/>
      <c r="B466" s="35">
        <v>44953</v>
      </c>
      <c r="C466" s="14">
        <v>386</v>
      </c>
      <c r="D466" s="85" t="s">
        <v>3054</v>
      </c>
      <c r="E466" s="14" t="s">
        <v>171</v>
      </c>
      <c r="F466" s="74" t="s">
        <v>36</v>
      </c>
      <c r="G466" s="14" t="s">
        <v>5</v>
      </c>
      <c r="H466" s="14" t="s">
        <v>3195</v>
      </c>
      <c r="I466" s="144" t="s">
        <v>39</v>
      </c>
      <c r="J466" s="14" t="s">
        <v>170</v>
      </c>
      <c r="K466" s="14" t="s">
        <v>1340</v>
      </c>
      <c r="L466" s="14" t="s">
        <v>103</v>
      </c>
      <c r="M466" s="37">
        <v>8118229127</v>
      </c>
      <c r="N466" s="38">
        <v>868166053314696</v>
      </c>
      <c r="O466" s="38" t="s">
        <v>3197</v>
      </c>
      <c r="P466" s="14" t="s">
        <v>3196</v>
      </c>
      <c r="Q466" s="94" t="s">
        <v>169</v>
      </c>
      <c r="R466" s="41">
        <v>406</v>
      </c>
      <c r="S466" s="19" t="s">
        <v>2977</v>
      </c>
      <c r="T466" s="42"/>
      <c r="U466" s="43"/>
      <c r="V466" s="15"/>
      <c r="W466" s="15"/>
    </row>
    <row r="467" spans="1:23" s="34" customFormat="1" ht="29" x14ac:dyDescent="0.35">
      <c r="A467" s="15"/>
      <c r="B467" s="35">
        <v>44954</v>
      </c>
      <c r="C467" s="14">
        <v>387</v>
      </c>
      <c r="D467" s="85" t="s">
        <v>3053</v>
      </c>
      <c r="E467" s="14" t="s">
        <v>168</v>
      </c>
      <c r="F467" s="74" t="s">
        <v>36</v>
      </c>
      <c r="G467" s="14" t="s">
        <v>5</v>
      </c>
      <c r="H467" s="14" t="s">
        <v>11</v>
      </c>
      <c r="I467" s="144" t="s">
        <v>39</v>
      </c>
      <c r="J467" s="14" t="s">
        <v>167</v>
      </c>
      <c r="K467" s="14" t="s">
        <v>1334</v>
      </c>
      <c r="L467" s="14" t="s">
        <v>2</v>
      </c>
      <c r="M467" s="38">
        <v>8118249783</v>
      </c>
      <c r="N467" s="38">
        <v>868166053313243</v>
      </c>
      <c r="O467" s="38" t="s">
        <v>3193</v>
      </c>
      <c r="P467" s="14" t="s">
        <v>3194</v>
      </c>
      <c r="Q467" s="94" t="s">
        <v>166</v>
      </c>
      <c r="R467" s="41">
        <v>0</v>
      </c>
      <c r="S467" s="19" t="s">
        <v>2977</v>
      </c>
      <c r="T467" s="42"/>
      <c r="U467" s="43"/>
      <c r="V467" s="15"/>
      <c r="W467" s="15"/>
    </row>
    <row r="468" spans="1:23" s="34" customFormat="1" ht="29" x14ac:dyDescent="0.35">
      <c r="A468" s="15"/>
      <c r="B468" s="35">
        <v>44956</v>
      </c>
      <c r="C468" s="14">
        <v>388</v>
      </c>
      <c r="D468" s="85" t="s">
        <v>3908</v>
      </c>
      <c r="E468" s="14" t="s">
        <v>165</v>
      </c>
      <c r="F468" s="74" t="s">
        <v>13</v>
      </c>
      <c r="G468" s="14" t="s">
        <v>5</v>
      </c>
      <c r="H468" s="14" t="s">
        <v>11</v>
      </c>
      <c r="I468" s="145" t="s">
        <v>39</v>
      </c>
      <c r="J468" s="14" t="s">
        <v>164</v>
      </c>
      <c r="K468" s="14" t="s">
        <v>1341</v>
      </c>
      <c r="L468" s="14" t="s">
        <v>103</v>
      </c>
      <c r="M468" s="37">
        <v>8134058885</v>
      </c>
      <c r="N468" s="38">
        <v>868166053312799</v>
      </c>
      <c r="O468" s="38" t="s">
        <v>3910</v>
      </c>
      <c r="P468" s="14" t="s">
        <v>3909</v>
      </c>
      <c r="Q468" s="17" t="s">
        <v>4174</v>
      </c>
      <c r="R468" s="41">
        <v>1999.84</v>
      </c>
      <c r="S468" s="19" t="s">
        <v>3584</v>
      </c>
      <c r="T468" s="42"/>
      <c r="U468" s="43"/>
      <c r="V468" s="15"/>
      <c r="W468" s="15"/>
    </row>
    <row r="469" spans="1:23" s="34" customFormat="1" ht="29" x14ac:dyDescent="0.35">
      <c r="A469" s="15"/>
      <c r="B469" s="35">
        <v>44958</v>
      </c>
      <c r="C469" s="14">
        <v>389</v>
      </c>
      <c r="D469" s="85" t="s">
        <v>3911</v>
      </c>
      <c r="E469" s="14" t="s">
        <v>161</v>
      </c>
      <c r="F469" s="74" t="s">
        <v>13</v>
      </c>
      <c r="G469" s="14" t="s">
        <v>21</v>
      </c>
      <c r="H469" s="14" t="s">
        <v>4205</v>
      </c>
      <c r="I469" s="144" t="s">
        <v>39</v>
      </c>
      <c r="J469" s="14" t="s">
        <v>163</v>
      </c>
      <c r="K469" s="14" t="s">
        <v>1342</v>
      </c>
      <c r="L469" s="14" t="s">
        <v>2</v>
      </c>
      <c r="M469" s="37">
        <v>8135518603</v>
      </c>
      <c r="N469" s="38">
        <v>868166053311064</v>
      </c>
      <c r="O469" s="16" t="s">
        <v>39</v>
      </c>
      <c r="P469" s="17" t="s">
        <v>162</v>
      </c>
      <c r="Q469" s="17" t="s">
        <v>4174</v>
      </c>
      <c r="R469" s="41">
        <v>1999.84</v>
      </c>
      <c r="S469" s="19" t="s">
        <v>3584</v>
      </c>
      <c r="T469" s="42"/>
      <c r="U469" s="43"/>
      <c r="V469" s="15" t="s">
        <v>1022</v>
      </c>
      <c r="W469" s="15"/>
    </row>
    <row r="470" spans="1:23" s="34" customFormat="1" ht="29" x14ac:dyDescent="0.35">
      <c r="A470" s="15"/>
      <c r="B470" s="35">
        <v>44958</v>
      </c>
      <c r="C470" s="14">
        <v>390</v>
      </c>
      <c r="D470" s="36" t="s">
        <v>2022</v>
      </c>
      <c r="E470" s="85" t="s">
        <v>1929</v>
      </c>
      <c r="F470" s="74" t="s">
        <v>13</v>
      </c>
      <c r="G470" s="14" t="s">
        <v>21</v>
      </c>
      <c r="H470" s="14" t="s">
        <v>4206</v>
      </c>
      <c r="I470" s="144"/>
      <c r="J470" s="14" t="s">
        <v>160</v>
      </c>
      <c r="K470" s="14" t="s">
        <v>1343</v>
      </c>
      <c r="L470" s="14" t="s">
        <v>103</v>
      </c>
      <c r="M470" s="37">
        <v>8184661257</v>
      </c>
      <c r="N470" s="38">
        <v>868166053312617</v>
      </c>
      <c r="O470" s="38"/>
      <c r="P470" s="14" t="s">
        <v>159</v>
      </c>
      <c r="Q470" s="14" t="s">
        <v>8</v>
      </c>
      <c r="R470" s="41">
        <v>1999.84</v>
      </c>
      <c r="S470" s="41" t="s">
        <v>1931</v>
      </c>
      <c r="T470" s="42"/>
      <c r="U470" s="43"/>
      <c r="V470" s="15" t="s">
        <v>1022</v>
      </c>
      <c r="W470" s="15"/>
    </row>
    <row r="471" spans="1:23" s="34" customFormat="1" ht="29" x14ac:dyDescent="0.35">
      <c r="A471" s="15"/>
      <c r="B471" s="35">
        <v>44959</v>
      </c>
      <c r="C471" s="14">
        <v>391</v>
      </c>
      <c r="D471" s="74" t="s">
        <v>2950</v>
      </c>
      <c r="E471" s="14" t="s">
        <v>157</v>
      </c>
      <c r="F471" s="74" t="s">
        <v>13</v>
      </c>
      <c r="G471" s="17" t="s">
        <v>1805</v>
      </c>
      <c r="H471" s="14" t="s">
        <v>1767</v>
      </c>
      <c r="I471" s="145"/>
      <c r="J471" s="17" t="s">
        <v>1562</v>
      </c>
      <c r="K471" s="17" t="s">
        <v>1563</v>
      </c>
      <c r="L471" s="14" t="s">
        <v>103</v>
      </c>
      <c r="M471" s="37">
        <v>8123574781</v>
      </c>
      <c r="N471" s="38">
        <v>863756050057945</v>
      </c>
      <c r="O471" s="38"/>
      <c r="P471" s="14" t="s">
        <v>158</v>
      </c>
      <c r="Q471" s="39" t="s">
        <v>2559</v>
      </c>
      <c r="R471" s="41">
        <v>1999.84</v>
      </c>
      <c r="S471" s="41" t="s">
        <v>1539</v>
      </c>
      <c r="T471" s="42"/>
      <c r="U471" s="43"/>
      <c r="V471" s="15" t="s">
        <v>1022</v>
      </c>
      <c r="W471" s="15"/>
    </row>
    <row r="472" spans="1:23" s="34" customFormat="1" ht="29" x14ac:dyDescent="0.35">
      <c r="A472" s="15"/>
      <c r="B472" s="35">
        <v>44959</v>
      </c>
      <c r="C472" s="14">
        <v>392</v>
      </c>
      <c r="D472" s="85" t="s">
        <v>3055</v>
      </c>
      <c r="E472" s="14" t="s">
        <v>157</v>
      </c>
      <c r="F472" s="74" t="s">
        <v>13</v>
      </c>
      <c r="G472" s="17" t="s">
        <v>1805</v>
      </c>
      <c r="H472" s="17" t="s">
        <v>1787</v>
      </c>
      <c r="I472" s="145" t="s">
        <v>39</v>
      </c>
      <c r="J472" s="14" t="s">
        <v>2947</v>
      </c>
      <c r="K472" s="14" t="s">
        <v>2948</v>
      </c>
      <c r="L472" s="14" t="s">
        <v>103</v>
      </c>
      <c r="M472" s="37">
        <v>8134058729</v>
      </c>
      <c r="N472" s="38">
        <v>863830030061234</v>
      </c>
      <c r="O472" s="38" t="s">
        <v>3198</v>
      </c>
      <c r="P472" s="14" t="s">
        <v>3199</v>
      </c>
      <c r="Q472" s="17" t="s">
        <v>2559</v>
      </c>
      <c r="R472" s="41">
        <v>1999.84</v>
      </c>
      <c r="S472" s="19" t="s">
        <v>2977</v>
      </c>
      <c r="T472" s="42"/>
      <c r="U472" s="43"/>
      <c r="V472" s="15" t="s">
        <v>1022</v>
      </c>
      <c r="W472" s="15"/>
    </row>
    <row r="473" spans="1:23" s="34" customFormat="1" ht="29" x14ac:dyDescent="0.35">
      <c r="A473" s="15"/>
      <c r="B473" s="35">
        <v>44959</v>
      </c>
      <c r="C473" s="14">
        <v>394</v>
      </c>
      <c r="D473" s="85" t="s">
        <v>3912</v>
      </c>
      <c r="E473" s="14" t="s">
        <v>157</v>
      </c>
      <c r="F473" s="74" t="s">
        <v>13</v>
      </c>
      <c r="G473" s="17" t="s">
        <v>1805</v>
      </c>
      <c r="H473" s="17" t="s">
        <v>1787</v>
      </c>
      <c r="I473" s="145" t="s">
        <v>39</v>
      </c>
      <c r="J473" s="14" t="s">
        <v>24</v>
      </c>
      <c r="K473" s="14" t="s">
        <v>1347</v>
      </c>
      <c r="L473" s="14" t="s">
        <v>2</v>
      </c>
      <c r="M473" s="38">
        <v>8120013058</v>
      </c>
      <c r="N473" s="38">
        <v>865011033031395</v>
      </c>
      <c r="O473" s="38" t="s">
        <v>4219</v>
      </c>
      <c r="P473" s="14" t="s">
        <v>3913</v>
      </c>
      <c r="Q473" s="17" t="s">
        <v>4174</v>
      </c>
      <c r="R473" s="41">
        <v>1999.84</v>
      </c>
      <c r="S473" s="19" t="s">
        <v>3584</v>
      </c>
      <c r="T473" s="42"/>
      <c r="U473" s="43"/>
      <c r="V473" s="15" t="s">
        <v>1022</v>
      </c>
      <c r="W473" s="15" t="s">
        <v>156</v>
      </c>
    </row>
    <row r="474" spans="1:23" s="34" customFormat="1" ht="29" x14ac:dyDescent="0.35">
      <c r="A474" s="15"/>
      <c r="B474" s="35">
        <v>44960</v>
      </c>
      <c r="C474" s="14">
        <v>395</v>
      </c>
      <c r="D474" s="39" t="s">
        <v>39</v>
      </c>
      <c r="E474" s="46"/>
      <c r="F474" s="39" t="s">
        <v>40</v>
      </c>
      <c r="G474" s="14" t="s">
        <v>21</v>
      </c>
      <c r="H474" s="14" t="s">
        <v>1786</v>
      </c>
      <c r="I474" s="144"/>
      <c r="J474" s="14" t="s">
        <v>151</v>
      </c>
      <c r="K474" s="14" t="s">
        <v>93</v>
      </c>
      <c r="L474" s="14" t="s">
        <v>103</v>
      </c>
      <c r="M474" s="37" t="s">
        <v>39</v>
      </c>
      <c r="N474" s="38" t="s">
        <v>39</v>
      </c>
      <c r="O474" s="38"/>
      <c r="P474" s="14" t="s">
        <v>39</v>
      </c>
      <c r="Q474" s="14" t="s">
        <v>155</v>
      </c>
      <c r="R474" s="41">
        <v>290</v>
      </c>
      <c r="S474" s="41" t="s">
        <v>40</v>
      </c>
      <c r="T474" s="42"/>
      <c r="U474" s="43"/>
      <c r="V474" s="15"/>
      <c r="W474" s="15"/>
    </row>
    <row r="475" spans="1:23" s="34" customFormat="1" ht="29" x14ac:dyDescent="0.35">
      <c r="A475" s="15"/>
      <c r="B475" s="35">
        <v>44960</v>
      </c>
      <c r="C475" s="14">
        <v>396</v>
      </c>
      <c r="D475" s="36" t="s">
        <v>2261</v>
      </c>
      <c r="E475" s="14" t="s">
        <v>152</v>
      </c>
      <c r="F475" s="74" t="s">
        <v>13</v>
      </c>
      <c r="G475" s="14" t="s">
        <v>5</v>
      </c>
      <c r="H475" s="14" t="s">
        <v>11</v>
      </c>
      <c r="I475" s="144"/>
      <c r="J475" s="14" t="s">
        <v>154</v>
      </c>
      <c r="K475" s="14" t="s">
        <v>1344</v>
      </c>
      <c r="L475" s="14" t="s">
        <v>103</v>
      </c>
      <c r="M475" s="37">
        <v>8115778024</v>
      </c>
      <c r="N475" s="38">
        <v>868166053312724</v>
      </c>
      <c r="O475" s="38"/>
      <c r="P475" s="14" t="s">
        <v>153</v>
      </c>
      <c r="Q475" s="14" t="s">
        <v>8</v>
      </c>
      <c r="R475" s="41">
        <v>1999.84</v>
      </c>
      <c r="S475" s="19" t="s">
        <v>2200</v>
      </c>
      <c r="T475" s="42"/>
      <c r="U475" s="43"/>
      <c r="V475" s="44">
        <v>45081.078136574077</v>
      </c>
      <c r="W475" s="15"/>
    </row>
    <row r="476" spans="1:23" s="34" customFormat="1" ht="29" x14ac:dyDescent="0.35">
      <c r="A476" s="15"/>
      <c r="B476" s="35">
        <v>44960</v>
      </c>
      <c r="C476" s="14">
        <v>395</v>
      </c>
      <c r="D476" s="36" t="s">
        <v>2262</v>
      </c>
      <c r="E476" s="14" t="s">
        <v>152</v>
      </c>
      <c r="F476" s="74" t="s">
        <v>13</v>
      </c>
      <c r="G476" s="14" t="s">
        <v>21</v>
      </c>
      <c r="H476" s="14" t="s">
        <v>1786</v>
      </c>
      <c r="I476" s="144"/>
      <c r="J476" s="14" t="s">
        <v>151</v>
      </c>
      <c r="K476" s="14" t="s">
        <v>1345</v>
      </c>
      <c r="L476" s="14" t="s">
        <v>103</v>
      </c>
      <c r="M476" s="37">
        <v>8118003620</v>
      </c>
      <c r="N476" s="38">
        <v>868166053311072</v>
      </c>
      <c r="O476" s="38"/>
      <c r="P476" s="14" t="s">
        <v>150</v>
      </c>
      <c r="Q476" s="14" t="s">
        <v>8</v>
      </c>
      <c r="R476" s="41">
        <v>1999.84</v>
      </c>
      <c r="S476" s="19" t="s">
        <v>2200</v>
      </c>
      <c r="T476" s="42"/>
      <c r="U476" s="43"/>
      <c r="V476" s="44">
        <v>45176.974224537036</v>
      </c>
      <c r="W476" s="15"/>
    </row>
    <row r="477" spans="1:23" s="34" customFormat="1" ht="43.5" x14ac:dyDescent="0.35">
      <c r="A477" s="15"/>
      <c r="B477" s="35">
        <v>44961</v>
      </c>
      <c r="C477" s="14">
        <v>396</v>
      </c>
      <c r="D477" s="85" t="s">
        <v>3383</v>
      </c>
      <c r="E477" s="14" t="s">
        <v>149</v>
      </c>
      <c r="F477" s="74" t="s">
        <v>13</v>
      </c>
      <c r="G477" s="14" t="s">
        <v>5</v>
      </c>
      <c r="H477" s="14" t="s">
        <v>3489</v>
      </c>
      <c r="I477" s="144" t="s">
        <v>39</v>
      </c>
      <c r="J477" s="14" t="s">
        <v>3490</v>
      </c>
      <c r="K477" s="14" t="s">
        <v>1346</v>
      </c>
      <c r="L477" s="14" t="s">
        <v>103</v>
      </c>
      <c r="M477" s="37">
        <v>8123800989</v>
      </c>
      <c r="N477" s="38">
        <v>863257067764714</v>
      </c>
      <c r="O477" s="38" t="s">
        <v>3438</v>
      </c>
      <c r="P477" s="14" t="s">
        <v>3437</v>
      </c>
      <c r="Q477" s="17" t="s">
        <v>2559</v>
      </c>
      <c r="R477" s="41">
        <v>1999.84</v>
      </c>
      <c r="S477" s="19" t="s">
        <v>3329</v>
      </c>
      <c r="T477" s="42"/>
      <c r="U477" s="43"/>
      <c r="V477" s="44">
        <v>45082.817280092589</v>
      </c>
      <c r="W477" s="15"/>
    </row>
    <row r="478" spans="1:23" s="34" customFormat="1" ht="29" x14ac:dyDescent="0.35">
      <c r="A478" s="15"/>
      <c r="B478" s="35">
        <v>44961</v>
      </c>
      <c r="C478" s="14">
        <v>397</v>
      </c>
      <c r="D478" s="74" t="s">
        <v>3202</v>
      </c>
      <c r="E478" s="14" t="s">
        <v>3203</v>
      </c>
      <c r="F478" s="74" t="s">
        <v>13</v>
      </c>
      <c r="G478" s="14" t="s">
        <v>21</v>
      </c>
      <c r="H478" s="14" t="s">
        <v>1786</v>
      </c>
      <c r="I478" s="144" t="s">
        <v>39</v>
      </c>
      <c r="J478" s="14" t="s">
        <v>20</v>
      </c>
      <c r="K478" s="14" t="s">
        <v>1349</v>
      </c>
      <c r="L478" s="14" t="s">
        <v>103</v>
      </c>
      <c r="M478" s="37">
        <v>8184663577</v>
      </c>
      <c r="N478" s="38">
        <v>865011030825856</v>
      </c>
      <c r="O478" s="38" t="s">
        <v>3208</v>
      </c>
      <c r="P478" s="14" t="s">
        <v>3210</v>
      </c>
      <c r="Q478" s="14" t="s">
        <v>8</v>
      </c>
      <c r="R478" s="41">
        <v>1999.84</v>
      </c>
      <c r="S478" s="41" t="s">
        <v>1348</v>
      </c>
      <c r="T478" s="42"/>
      <c r="U478" s="43"/>
      <c r="V478" s="15"/>
      <c r="W478" s="15"/>
    </row>
    <row r="479" spans="1:23" s="34" customFormat="1" ht="29" x14ac:dyDescent="0.35">
      <c r="A479" s="15"/>
      <c r="B479" s="35">
        <v>44967</v>
      </c>
      <c r="C479" s="14">
        <v>398</v>
      </c>
      <c r="D479" s="74" t="s">
        <v>3202</v>
      </c>
      <c r="E479" s="14" t="s">
        <v>147</v>
      </c>
      <c r="F479" s="74" t="s">
        <v>6</v>
      </c>
      <c r="G479" s="14" t="s">
        <v>21</v>
      </c>
      <c r="H479" s="14" t="s">
        <v>1786</v>
      </c>
      <c r="I479" s="144" t="s">
        <v>39</v>
      </c>
      <c r="J479" s="14" t="s">
        <v>20</v>
      </c>
      <c r="K479" s="14" t="s">
        <v>1349</v>
      </c>
      <c r="L479" s="14" t="s">
        <v>103</v>
      </c>
      <c r="M479" s="37">
        <v>8184663577</v>
      </c>
      <c r="N479" s="38">
        <v>865011030825856</v>
      </c>
      <c r="O479" s="38" t="s">
        <v>3208</v>
      </c>
      <c r="P479" s="14" t="s">
        <v>3210</v>
      </c>
      <c r="Q479" s="14" t="s">
        <v>3206</v>
      </c>
      <c r="R479" s="41">
        <v>754</v>
      </c>
      <c r="S479" s="41" t="s">
        <v>1348</v>
      </c>
      <c r="T479" s="42" t="s">
        <v>3207</v>
      </c>
      <c r="U479" s="43"/>
      <c r="V479" s="15"/>
      <c r="W479" s="15"/>
    </row>
    <row r="480" spans="1:23" s="34" customFormat="1" ht="29" x14ac:dyDescent="0.35">
      <c r="A480" s="15"/>
      <c r="B480" s="35">
        <v>44967</v>
      </c>
      <c r="C480" s="14">
        <v>399</v>
      </c>
      <c r="D480" s="85" t="s">
        <v>3057</v>
      </c>
      <c r="E480" s="14" t="s">
        <v>146</v>
      </c>
      <c r="F480" s="74" t="s">
        <v>13</v>
      </c>
      <c r="G480" s="14" t="s">
        <v>21</v>
      </c>
      <c r="H480" s="14" t="s">
        <v>4207</v>
      </c>
      <c r="I480" s="144" t="s">
        <v>39</v>
      </c>
      <c r="J480" s="14" t="s">
        <v>145</v>
      </c>
      <c r="K480" s="14" t="s">
        <v>1350</v>
      </c>
      <c r="L480" s="14" t="s">
        <v>103</v>
      </c>
      <c r="M480" s="37">
        <v>8131242296</v>
      </c>
      <c r="N480" s="38">
        <v>868166053312237</v>
      </c>
      <c r="O480" s="38" t="s">
        <v>3200</v>
      </c>
      <c r="P480" s="14" t="s">
        <v>3201</v>
      </c>
      <c r="Q480" s="17" t="s">
        <v>2559</v>
      </c>
      <c r="R480" s="41">
        <v>1999.84</v>
      </c>
      <c r="S480" s="19" t="s">
        <v>2977</v>
      </c>
      <c r="T480" s="42"/>
      <c r="U480" s="43"/>
      <c r="V480" s="15" t="s">
        <v>1022</v>
      </c>
      <c r="W480" s="15"/>
    </row>
    <row r="481" spans="1:23" s="34" customFormat="1" ht="29" x14ac:dyDescent="0.35">
      <c r="A481" s="15"/>
      <c r="B481" s="64">
        <v>44967</v>
      </c>
      <c r="C481" s="17" t="s">
        <v>39</v>
      </c>
      <c r="D481" s="85" t="s">
        <v>39</v>
      </c>
      <c r="E481" s="17" t="s">
        <v>22</v>
      </c>
      <c r="F481" s="85" t="s">
        <v>39</v>
      </c>
      <c r="G481" s="17" t="s">
        <v>21</v>
      </c>
      <c r="H481" s="17" t="s">
        <v>17</v>
      </c>
      <c r="I481" s="145"/>
      <c r="J481" s="17" t="s">
        <v>20</v>
      </c>
      <c r="K481" s="17" t="s">
        <v>19</v>
      </c>
      <c r="L481" s="17" t="s">
        <v>39</v>
      </c>
      <c r="M481" s="65" t="s">
        <v>39</v>
      </c>
      <c r="N481" s="16" t="s">
        <v>39</v>
      </c>
      <c r="O481" s="16"/>
      <c r="P481" s="17" t="s">
        <v>39</v>
      </c>
      <c r="Q481" s="14" t="s">
        <v>18</v>
      </c>
      <c r="R481" s="19">
        <v>0</v>
      </c>
      <c r="S481" s="19">
        <v>0</v>
      </c>
      <c r="T481" s="83"/>
      <c r="U481" s="84"/>
      <c r="V481" s="15"/>
      <c r="W481" s="15"/>
    </row>
    <row r="482" spans="1:23" s="34" customFormat="1" ht="29" x14ac:dyDescent="0.35">
      <c r="A482" s="15"/>
      <c r="B482" s="35">
        <v>44968</v>
      </c>
      <c r="C482" s="14">
        <v>400</v>
      </c>
      <c r="D482" s="85" t="s">
        <v>3060</v>
      </c>
      <c r="E482" s="14" t="s">
        <v>144</v>
      </c>
      <c r="F482" s="74" t="s">
        <v>138</v>
      </c>
      <c r="G482" s="14" t="s">
        <v>5</v>
      </c>
      <c r="H482" s="14" t="s">
        <v>3204</v>
      </c>
      <c r="I482" s="144" t="s">
        <v>39</v>
      </c>
      <c r="J482" s="14" t="s">
        <v>143</v>
      </c>
      <c r="K482" s="14" t="s">
        <v>1351</v>
      </c>
      <c r="L482" s="14" t="s">
        <v>103</v>
      </c>
      <c r="M482" s="37">
        <v>8184663577</v>
      </c>
      <c r="N482" s="38">
        <v>865011030825856</v>
      </c>
      <c r="O482" s="38" t="s">
        <v>3209</v>
      </c>
      <c r="P482" s="14" t="s">
        <v>3211</v>
      </c>
      <c r="Q482" s="14" t="s">
        <v>3205</v>
      </c>
      <c r="R482" s="41">
        <v>1999.84</v>
      </c>
      <c r="S482" s="19" t="s">
        <v>2977</v>
      </c>
      <c r="T482" s="42"/>
      <c r="U482" s="43"/>
      <c r="V482" s="15"/>
      <c r="W482" s="15"/>
    </row>
    <row r="483" spans="1:23" s="34" customFormat="1" ht="29" x14ac:dyDescent="0.35">
      <c r="A483" s="15"/>
      <c r="B483" s="35">
        <v>44970</v>
      </c>
      <c r="C483" s="14">
        <v>401</v>
      </c>
      <c r="D483" s="85" t="s">
        <v>4220</v>
      </c>
      <c r="E483" s="14" t="s">
        <v>142</v>
      </c>
      <c r="F483" s="74" t="s">
        <v>6</v>
      </c>
      <c r="G483" s="14" t="s">
        <v>5</v>
      </c>
      <c r="H483" s="14" t="s">
        <v>17</v>
      </c>
      <c r="I483" s="145" t="s">
        <v>39</v>
      </c>
      <c r="J483" s="17" t="s">
        <v>26</v>
      </c>
      <c r="K483" s="14" t="s">
        <v>1352</v>
      </c>
      <c r="L483" s="14" t="s">
        <v>2</v>
      </c>
      <c r="M483" s="37">
        <v>8119085184</v>
      </c>
      <c r="N483" s="38">
        <v>865011034740945</v>
      </c>
      <c r="O483" s="38" t="s">
        <v>4222</v>
      </c>
      <c r="P483" s="14" t="s">
        <v>4221</v>
      </c>
      <c r="Q483" s="14" t="s">
        <v>4223</v>
      </c>
      <c r="R483" s="41">
        <v>754</v>
      </c>
      <c r="S483" s="41" t="s">
        <v>142</v>
      </c>
      <c r="T483" s="41" t="s">
        <v>4224</v>
      </c>
      <c r="U483" s="43"/>
      <c r="V483" s="15"/>
      <c r="W483" s="15"/>
    </row>
    <row r="484" spans="1:23" s="34" customFormat="1" ht="29" x14ac:dyDescent="0.35">
      <c r="A484" s="15"/>
      <c r="B484" s="35">
        <v>44971</v>
      </c>
      <c r="C484" s="14">
        <v>402</v>
      </c>
      <c r="D484" s="85" t="s">
        <v>3916</v>
      </c>
      <c r="E484" s="14" t="s">
        <v>140</v>
      </c>
      <c r="F484" s="74" t="s">
        <v>13</v>
      </c>
      <c r="G484" s="17" t="s">
        <v>39</v>
      </c>
      <c r="H484" s="14" t="s">
        <v>1767</v>
      </c>
      <c r="I484" s="145" t="s">
        <v>39</v>
      </c>
      <c r="J484" s="17" t="s">
        <v>26</v>
      </c>
      <c r="K484" s="14" t="s">
        <v>1353</v>
      </c>
      <c r="L484" s="14" t="s">
        <v>103</v>
      </c>
      <c r="M484" s="37">
        <v>8118249878</v>
      </c>
      <c r="N484" s="38">
        <v>865011032759798</v>
      </c>
      <c r="O484" s="38" t="s">
        <v>3918</v>
      </c>
      <c r="P484" s="14" t="s">
        <v>3917</v>
      </c>
      <c r="Q484" s="17" t="s">
        <v>4174</v>
      </c>
      <c r="R484" s="41">
        <v>1999.84</v>
      </c>
      <c r="S484" s="19" t="s">
        <v>3584</v>
      </c>
      <c r="T484" s="42"/>
      <c r="U484" s="43"/>
      <c r="V484" s="15" t="s">
        <v>1022</v>
      </c>
      <c r="W484" s="15"/>
    </row>
    <row r="485" spans="1:23" s="34" customFormat="1" ht="29" x14ac:dyDescent="0.35">
      <c r="A485" s="15"/>
      <c r="B485" s="35">
        <v>44972</v>
      </c>
      <c r="C485" s="14">
        <v>403</v>
      </c>
      <c r="D485" s="85" t="s">
        <v>3919</v>
      </c>
      <c r="E485" s="14" t="s">
        <v>139</v>
      </c>
      <c r="F485" s="74" t="s">
        <v>138</v>
      </c>
      <c r="G485" s="17" t="s">
        <v>39</v>
      </c>
      <c r="H485" s="14" t="s">
        <v>1767</v>
      </c>
      <c r="I485" s="145" t="s">
        <v>39</v>
      </c>
      <c r="J485" s="17" t="s">
        <v>26</v>
      </c>
      <c r="K485" s="14" t="s">
        <v>1462</v>
      </c>
      <c r="L485" s="14" t="s">
        <v>2</v>
      </c>
      <c r="M485" s="37">
        <v>8119085184</v>
      </c>
      <c r="N485" s="38">
        <v>865011034740945</v>
      </c>
      <c r="O485" s="16" t="s">
        <v>137</v>
      </c>
      <c r="P485" s="17" t="s">
        <v>39</v>
      </c>
      <c r="Q485" s="17" t="s">
        <v>4174</v>
      </c>
      <c r="R485" s="41">
        <v>696</v>
      </c>
      <c r="S485" s="41" t="s">
        <v>4225</v>
      </c>
      <c r="T485" s="19" t="s">
        <v>3584</v>
      </c>
      <c r="U485" s="43"/>
      <c r="V485" s="15" t="s">
        <v>1022</v>
      </c>
      <c r="W485" s="15"/>
    </row>
    <row r="486" spans="1:23" s="34" customFormat="1" ht="29" x14ac:dyDescent="0.35">
      <c r="A486" s="15"/>
      <c r="B486" s="35">
        <v>44973</v>
      </c>
      <c r="C486" s="14">
        <v>405</v>
      </c>
      <c r="D486" s="85" t="s">
        <v>3061</v>
      </c>
      <c r="E486" s="14" t="s">
        <v>123</v>
      </c>
      <c r="F486" s="74" t="s">
        <v>13</v>
      </c>
      <c r="G486" s="14" t="s">
        <v>39</v>
      </c>
      <c r="H486" s="14" t="s">
        <v>1767</v>
      </c>
      <c r="I486" s="144" t="s">
        <v>39</v>
      </c>
      <c r="J486" s="14" t="s">
        <v>2952</v>
      </c>
      <c r="K486" s="14" t="s">
        <v>2951</v>
      </c>
      <c r="L486" s="14" t="s">
        <v>2</v>
      </c>
      <c r="M486" s="37">
        <v>8112399300</v>
      </c>
      <c r="N486" s="38">
        <v>868166053312849</v>
      </c>
      <c r="O486" s="38" t="s">
        <v>3212</v>
      </c>
      <c r="P486" s="14" t="s">
        <v>3213</v>
      </c>
      <c r="Q486" s="17" t="s">
        <v>2559</v>
      </c>
      <c r="R486" s="41">
        <v>1999.84</v>
      </c>
      <c r="S486" s="19" t="s">
        <v>2977</v>
      </c>
      <c r="T486" s="42"/>
      <c r="U486" s="43"/>
      <c r="V486" s="15" t="s">
        <v>1022</v>
      </c>
      <c r="W486" s="15"/>
    </row>
    <row r="487" spans="1:23" s="34" customFormat="1" ht="29" x14ac:dyDescent="0.35">
      <c r="A487" s="15"/>
      <c r="B487" s="35">
        <v>44973</v>
      </c>
      <c r="C487" s="14">
        <v>406</v>
      </c>
      <c r="D487" s="36" t="s">
        <v>2023</v>
      </c>
      <c r="E487" s="85" t="s">
        <v>1929</v>
      </c>
      <c r="F487" s="74" t="s">
        <v>13</v>
      </c>
      <c r="G487" s="14"/>
      <c r="H487" s="17" t="s">
        <v>1787</v>
      </c>
      <c r="I487" s="145"/>
      <c r="J487" s="17" t="s">
        <v>2024</v>
      </c>
      <c r="K487" s="17" t="s">
        <v>2025</v>
      </c>
      <c r="L487" s="14" t="s">
        <v>2</v>
      </c>
      <c r="M487" s="37">
        <v>8110203222</v>
      </c>
      <c r="N487" s="38">
        <v>868166053311585</v>
      </c>
      <c r="O487" s="38"/>
      <c r="P487" s="14" t="s">
        <v>136</v>
      </c>
      <c r="Q487" s="14" t="s">
        <v>8</v>
      </c>
      <c r="R487" s="41">
        <v>1999.84</v>
      </c>
      <c r="S487" s="41" t="s">
        <v>1931</v>
      </c>
      <c r="T487" s="42"/>
      <c r="U487" s="43"/>
      <c r="V487" s="15" t="s">
        <v>1022</v>
      </c>
      <c r="W487" s="15"/>
    </row>
    <row r="488" spans="1:23" s="34" customFormat="1" ht="29" x14ac:dyDescent="0.35">
      <c r="A488" s="15"/>
      <c r="B488" s="35">
        <v>44973</v>
      </c>
      <c r="C488" s="14">
        <v>407</v>
      </c>
      <c r="D488" s="85" t="s">
        <v>3920</v>
      </c>
      <c r="E488" s="14" t="s">
        <v>123</v>
      </c>
      <c r="F488" s="74" t="s">
        <v>13</v>
      </c>
      <c r="G488" s="17" t="s">
        <v>39</v>
      </c>
      <c r="H488" s="17" t="s">
        <v>1787</v>
      </c>
      <c r="I488" s="145" t="s">
        <v>39</v>
      </c>
      <c r="J488" s="14" t="s">
        <v>24</v>
      </c>
      <c r="K488" s="14" t="s">
        <v>1356</v>
      </c>
      <c r="L488" s="14" t="s">
        <v>2</v>
      </c>
      <c r="M488" s="37">
        <v>8110222686</v>
      </c>
      <c r="N488" s="38">
        <v>868166053313797</v>
      </c>
      <c r="O488" s="16" t="s">
        <v>39</v>
      </c>
      <c r="P488" s="17" t="s">
        <v>135</v>
      </c>
      <c r="Q488" s="17" t="s">
        <v>4174</v>
      </c>
      <c r="R488" s="41">
        <v>1999.84</v>
      </c>
      <c r="S488" s="19" t="s">
        <v>3584</v>
      </c>
      <c r="T488" s="42"/>
      <c r="U488" s="43"/>
      <c r="V488" s="15" t="s">
        <v>1022</v>
      </c>
      <c r="W488" s="15"/>
    </row>
    <row r="489" spans="1:23" s="34" customFormat="1" ht="29" x14ac:dyDescent="0.35">
      <c r="A489" s="15"/>
      <c r="B489" s="35">
        <v>44977</v>
      </c>
      <c r="C489" s="14">
        <v>408</v>
      </c>
      <c r="D489" s="85" t="s">
        <v>5253</v>
      </c>
      <c r="E489" s="14" t="s">
        <v>134</v>
      </c>
      <c r="F489" s="74" t="s">
        <v>13</v>
      </c>
      <c r="G489" s="14" t="s">
        <v>5</v>
      </c>
      <c r="H489" s="14" t="s">
        <v>11</v>
      </c>
      <c r="I489" s="144" t="s">
        <v>39</v>
      </c>
      <c r="J489" s="14" t="s">
        <v>133</v>
      </c>
      <c r="K489" s="14" t="s">
        <v>1354</v>
      </c>
      <c r="L489" s="14" t="s">
        <v>103</v>
      </c>
      <c r="M489" s="37">
        <v>8182596326</v>
      </c>
      <c r="N489" s="38">
        <v>863844055237934</v>
      </c>
      <c r="O489" s="14" t="s">
        <v>132</v>
      </c>
      <c r="P489" s="14" t="s">
        <v>39</v>
      </c>
      <c r="Q489" s="14" t="s">
        <v>8</v>
      </c>
      <c r="R489" s="41">
        <v>1999.84</v>
      </c>
      <c r="S489" s="19" t="s">
        <v>5264</v>
      </c>
      <c r="T489" s="42"/>
      <c r="U489" s="43"/>
      <c r="V489" s="15"/>
      <c r="W489" s="15"/>
    </row>
    <row r="490" spans="1:23" s="34" customFormat="1" ht="29" x14ac:dyDescent="0.35">
      <c r="A490" s="15"/>
      <c r="B490" s="35">
        <v>44979</v>
      </c>
      <c r="C490" s="14">
        <v>409</v>
      </c>
      <c r="D490" s="85" t="s">
        <v>3062</v>
      </c>
      <c r="E490" s="14" t="s">
        <v>131</v>
      </c>
      <c r="F490" s="74" t="s">
        <v>13</v>
      </c>
      <c r="G490" s="14" t="s">
        <v>21</v>
      </c>
      <c r="H490" s="17" t="s">
        <v>1720</v>
      </c>
      <c r="I490" s="145" t="s">
        <v>39</v>
      </c>
      <c r="J490" s="14" t="s">
        <v>130</v>
      </c>
      <c r="K490" s="14" t="s">
        <v>2969</v>
      </c>
      <c r="L490" s="14" t="s">
        <v>103</v>
      </c>
      <c r="M490" s="37">
        <v>8110689284</v>
      </c>
      <c r="N490" s="38">
        <v>868166053313524</v>
      </c>
      <c r="O490" s="38" t="s">
        <v>3214</v>
      </c>
      <c r="P490" s="14" t="s">
        <v>3215</v>
      </c>
      <c r="Q490" s="17" t="s">
        <v>2559</v>
      </c>
      <c r="R490" s="41">
        <v>1999.84</v>
      </c>
      <c r="S490" s="19" t="s">
        <v>2977</v>
      </c>
      <c r="T490" s="42"/>
      <c r="U490" s="43"/>
      <c r="V490" s="15" t="s">
        <v>1022</v>
      </c>
      <c r="W490" s="15"/>
    </row>
    <row r="491" spans="1:23" s="34" customFormat="1" ht="29" x14ac:dyDescent="0.35">
      <c r="A491" s="15"/>
      <c r="B491" s="35">
        <v>44980</v>
      </c>
      <c r="C491" s="14">
        <v>410</v>
      </c>
      <c r="D491" s="85" t="s">
        <v>2587</v>
      </c>
      <c r="E491" s="14" t="s">
        <v>129</v>
      </c>
      <c r="F491" s="74" t="s">
        <v>13</v>
      </c>
      <c r="G491" s="14" t="s">
        <v>5</v>
      </c>
      <c r="H491" s="14" t="s">
        <v>11</v>
      </c>
      <c r="I491" s="144" t="s">
        <v>39</v>
      </c>
      <c r="J491" s="17" t="s">
        <v>2589</v>
      </c>
      <c r="K491" s="14" t="s">
        <v>1355</v>
      </c>
      <c r="L491" s="14" t="s">
        <v>103</v>
      </c>
      <c r="M491" s="37">
        <v>8112553324</v>
      </c>
      <c r="N491" s="38">
        <v>868166053313953</v>
      </c>
      <c r="O491" s="38" t="s">
        <v>3291</v>
      </c>
      <c r="P491" s="14" t="s">
        <v>3292</v>
      </c>
      <c r="Q491" s="17" t="s">
        <v>2559</v>
      </c>
      <c r="R491" s="41">
        <v>1999.84</v>
      </c>
      <c r="S491" s="19" t="s">
        <v>2560</v>
      </c>
      <c r="T491" s="42"/>
      <c r="U491" s="43"/>
      <c r="V491" s="15" t="s">
        <v>1022</v>
      </c>
      <c r="W491" s="15"/>
    </row>
    <row r="492" spans="1:23" s="34" customFormat="1" ht="29" x14ac:dyDescent="0.35">
      <c r="A492" s="15"/>
      <c r="B492" s="35">
        <v>44981</v>
      </c>
      <c r="C492" s="14">
        <v>411</v>
      </c>
      <c r="D492" s="85" t="s">
        <v>3921</v>
      </c>
      <c r="E492" s="14" t="s">
        <v>128</v>
      </c>
      <c r="F492" s="74" t="s">
        <v>13</v>
      </c>
      <c r="G492" s="14" t="s">
        <v>5</v>
      </c>
      <c r="H492" s="14" t="s">
        <v>1786</v>
      </c>
      <c r="I492" s="145" t="s">
        <v>39</v>
      </c>
      <c r="J492" s="14" t="s">
        <v>127</v>
      </c>
      <c r="K492" s="17" t="s">
        <v>4227</v>
      </c>
      <c r="L492" s="14" t="s">
        <v>103</v>
      </c>
      <c r="M492" s="37">
        <v>8112520193</v>
      </c>
      <c r="N492" s="38">
        <v>868166053312690</v>
      </c>
      <c r="O492" s="16" t="s">
        <v>3923</v>
      </c>
      <c r="P492" s="17" t="s">
        <v>3922</v>
      </c>
      <c r="Q492" s="17" t="s">
        <v>4174</v>
      </c>
      <c r="R492" s="41">
        <v>1999.84</v>
      </c>
      <c r="S492" s="19" t="s">
        <v>3584</v>
      </c>
      <c r="T492" s="42"/>
      <c r="U492" s="43"/>
      <c r="V492" s="15" t="s">
        <v>1022</v>
      </c>
      <c r="W492" s="15"/>
    </row>
    <row r="493" spans="1:23" s="34" customFormat="1" ht="29" x14ac:dyDescent="0.35">
      <c r="A493" s="15"/>
      <c r="B493" s="35">
        <v>44973</v>
      </c>
      <c r="C493" s="14" t="s">
        <v>39</v>
      </c>
      <c r="D493" s="39" t="s">
        <v>126</v>
      </c>
      <c r="E493" s="14" t="s">
        <v>123</v>
      </c>
      <c r="F493" s="74" t="s">
        <v>13</v>
      </c>
      <c r="G493" s="17" t="s">
        <v>1805</v>
      </c>
      <c r="H493" s="14" t="s">
        <v>1767</v>
      </c>
      <c r="I493" s="145" t="s">
        <v>39</v>
      </c>
      <c r="J493" s="14" t="s">
        <v>24</v>
      </c>
      <c r="K493" s="14" t="s">
        <v>125</v>
      </c>
      <c r="L493" s="14" t="s">
        <v>2</v>
      </c>
      <c r="M493" s="37">
        <v>8112259758</v>
      </c>
      <c r="N493" s="38">
        <v>868166053312898</v>
      </c>
      <c r="O493" s="14" t="s">
        <v>124</v>
      </c>
      <c r="P493" s="14" t="s">
        <v>39</v>
      </c>
      <c r="Q493" s="14" t="s">
        <v>8</v>
      </c>
      <c r="R493" s="41">
        <v>1999.84</v>
      </c>
      <c r="S493" s="41">
        <v>0</v>
      </c>
      <c r="T493" s="42"/>
      <c r="U493" s="43"/>
      <c r="V493" s="15"/>
      <c r="W493" s="15"/>
    </row>
    <row r="494" spans="1:23" s="34" customFormat="1" ht="29" x14ac:dyDescent="0.35">
      <c r="A494" s="15"/>
      <c r="B494" s="35">
        <v>44973</v>
      </c>
      <c r="C494" s="14" t="s">
        <v>39</v>
      </c>
      <c r="D494" s="39" t="s">
        <v>126</v>
      </c>
      <c r="E494" s="14" t="s">
        <v>123</v>
      </c>
      <c r="F494" s="74" t="s">
        <v>6</v>
      </c>
      <c r="G494" s="17" t="s">
        <v>1805</v>
      </c>
      <c r="H494" s="14" t="s">
        <v>1767</v>
      </c>
      <c r="I494" s="145" t="s">
        <v>39</v>
      </c>
      <c r="J494" s="14" t="s">
        <v>24</v>
      </c>
      <c r="K494" s="14" t="s">
        <v>125</v>
      </c>
      <c r="L494" s="14" t="s">
        <v>103</v>
      </c>
      <c r="M494" s="37">
        <v>8112259758</v>
      </c>
      <c r="N494" s="38">
        <v>868166053312898</v>
      </c>
      <c r="O494" s="14" t="s">
        <v>124</v>
      </c>
      <c r="P494" s="14" t="s">
        <v>39</v>
      </c>
      <c r="Q494" s="14" t="s">
        <v>8</v>
      </c>
      <c r="R494" s="41">
        <v>754</v>
      </c>
      <c r="S494" s="41">
        <v>0</v>
      </c>
      <c r="T494" s="42"/>
      <c r="U494" s="43"/>
      <c r="V494" s="15"/>
      <c r="W494" s="15"/>
    </row>
    <row r="495" spans="1:23" s="34" customFormat="1" ht="29" x14ac:dyDescent="0.35">
      <c r="A495" s="15"/>
      <c r="B495" s="35">
        <v>44973</v>
      </c>
      <c r="C495" s="14">
        <v>412</v>
      </c>
      <c r="D495" s="85" t="s">
        <v>3924</v>
      </c>
      <c r="E495" s="14" t="s">
        <v>123</v>
      </c>
      <c r="F495" s="74" t="s">
        <v>13</v>
      </c>
      <c r="G495" s="17" t="s">
        <v>1805</v>
      </c>
      <c r="H495" s="14" t="s">
        <v>1767</v>
      </c>
      <c r="I495" s="145" t="s">
        <v>39</v>
      </c>
      <c r="J495" s="14" t="s">
        <v>24</v>
      </c>
      <c r="K495" s="14" t="s">
        <v>1357</v>
      </c>
      <c r="L495" s="14" t="s">
        <v>103</v>
      </c>
      <c r="M495" s="37">
        <v>8112259758</v>
      </c>
      <c r="N495" s="38">
        <v>868166053312898</v>
      </c>
      <c r="O495" s="16" t="s">
        <v>3926</v>
      </c>
      <c r="P495" s="17" t="s">
        <v>3925</v>
      </c>
      <c r="Q495" s="17" t="s">
        <v>4174</v>
      </c>
      <c r="R495" s="41">
        <v>696</v>
      </c>
      <c r="S495" s="19" t="s">
        <v>3584</v>
      </c>
      <c r="T495" s="42"/>
      <c r="U495" s="43"/>
      <c r="V495" s="15" t="s">
        <v>1022</v>
      </c>
      <c r="W495" s="15"/>
    </row>
    <row r="496" spans="1:23" s="34" customFormat="1" ht="29" x14ac:dyDescent="0.35">
      <c r="A496" s="15"/>
      <c r="B496" s="35">
        <v>44985</v>
      </c>
      <c r="C496" s="14">
        <v>413</v>
      </c>
      <c r="D496" s="85" t="s">
        <v>3063</v>
      </c>
      <c r="E496" s="14" t="s">
        <v>122</v>
      </c>
      <c r="F496" s="74" t="s">
        <v>13</v>
      </c>
      <c r="G496" s="17" t="s">
        <v>1805</v>
      </c>
      <c r="H496" s="14" t="s">
        <v>1767</v>
      </c>
      <c r="I496" s="144" t="s">
        <v>39</v>
      </c>
      <c r="J496" s="14" t="s">
        <v>2954</v>
      </c>
      <c r="K496" s="14" t="s">
        <v>2953</v>
      </c>
      <c r="L496" s="14" t="s">
        <v>103</v>
      </c>
      <c r="M496" s="37">
        <v>8126212153</v>
      </c>
      <c r="N496" s="38">
        <v>869220040808390</v>
      </c>
      <c r="O496" s="38" t="s">
        <v>3216</v>
      </c>
      <c r="P496" s="14" t="s">
        <v>3217</v>
      </c>
      <c r="Q496" s="17" t="s">
        <v>2559</v>
      </c>
      <c r="R496" s="41">
        <v>1999.84</v>
      </c>
      <c r="S496" s="19" t="s">
        <v>2977</v>
      </c>
      <c r="T496" s="42"/>
      <c r="U496" s="43"/>
      <c r="V496" s="15" t="s">
        <v>1022</v>
      </c>
      <c r="W496" s="15"/>
    </row>
    <row r="497" spans="1:23" s="34" customFormat="1" ht="29" x14ac:dyDescent="0.35">
      <c r="A497" s="15"/>
      <c r="B497" s="35">
        <v>44987</v>
      </c>
      <c r="C497" s="14">
        <v>414</v>
      </c>
      <c r="D497" s="36">
        <v>486</v>
      </c>
      <c r="E497" s="14" t="s">
        <v>902</v>
      </c>
      <c r="F497" s="74" t="s">
        <v>13</v>
      </c>
      <c r="G497" s="17" t="s">
        <v>1805</v>
      </c>
      <c r="H497" s="14" t="s">
        <v>1767</v>
      </c>
      <c r="I497" s="145"/>
      <c r="J497" s="17" t="s">
        <v>1512</v>
      </c>
      <c r="K497" s="17" t="s">
        <v>1515</v>
      </c>
      <c r="L497" s="14" t="s">
        <v>2</v>
      </c>
      <c r="M497" s="37">
        <v>8126206901</v>
      </c>
      <c r="N497" s="38">
        <v>869220040811238</v>
      </c>
      <c r="O497" s="38"/>
      <c r="P497" s="14" t="s">
        <v>901</v>
      </c>
      <c r="Q497" s="60" t="s">
        <v>1511</v>
      </c>
      <c r="R497" s="41">
        <v>1999.84</v>
      </c>
      <c r="S497" s="41" t="s">
        <v>899</v>
      </c>
      <c r="T497" s="42"/>
      <c r="U497" s="43"/>
      <c r="V497" s="15" t="s">
        <v>1514</v>
      </c>
      <c r="W497" s="15"/>
    </row>
    <row r="498" spans="1:23" s="34" customFormat="1" ht="29" x14ac:dyDescent="0.35">
      <c r="A498" s="15"/>
      <c r="B498" s="35">
        <v>44988</v>
      </c>
      <c r="C498" s="14">
        <v>415</v>
      </c>
      <c r="D498" s="85" t="s">
        <v>3384</v>
      </c>
      <c r="E498" s="14" t="s">
        <v>120</v>
      </c>
      <c r="F498" s="74" t="s">
        <v>13</v>
      </c>
      <c r="G498" s="14" t="s">
        <v>5</v>
      </c>
      <c r="H498" s="14" t="s">
        <v>3491</v>
      </c>
      <c r="I498" s="144" t="s">
        <v>39</v>
      </c>
      <c r="J498" s="14" t="s">
        <v>121</v>
      </c>
      <c r="K498" s="14" t="s">
        <v>1358</v>
      </c>
      <c r="L498" s="14" t="s">
        <v>103</v>
      </c>
      <c r="M498" s="37">
        <v>8135514807</v>
      </c>
      <c r="N498" s="38">
        <v>860896051491090</v>
      </c>
      <c r="O498" s="38" t="s">
        <v>3440</v>
      </c>
      <c r="P498" s="14" t="s">
        <v>3439</v>
      </c>
      <c r="Q498" s="17" t="s">
        <v>2559</v>
      </c>
      <c r="R498" s="41">
        <v>1999.84</v>
      </c>
      <c r="S498" s="19" t="s">
        <v>3329</v>
      </c>
      <c r="T498" s="42"/>
      <c r="U498" s="43"/>
      <c r="V498" s="44"/>
      <c r="W498" s="15"/>
    </row>
    <row r="499" spans="1:23" s="34" customFormat="1" ht="29" x14ac:dyDescent="0.35">
      <c r="A499" s="15"/>
      <c r="B499" s="35">
        <v>44988</v>
      </c>
      <c r="C499" s="14">
        <v>416</v>
      </c>
      <c r="D499" s="85" t="s">
        <v>3064</v>
      </c>
      <c r="E499" s="14" t="s">
        <v>120</v>
      </c>
      <c r="F499" s="74" t="s">
        <v>13</v>
      </c>
      <c r="G499" s="14" t="s">
        <v>21</v>
      </c>
      <c r="H499" s="14" t="s">
        <v>1786</v>
      </c>
      <c r="I499" s="144" t="s">
        <v>39</v>
      </c>
      <c r="J499" s="14" t="s">
        <v>119</v>
      </c>
      <c r="K499" s="14" t="s">
        <v>1359</v>
      </c>
      <c r="L499" s="14" t="s">
        <v>103</v>
      </c>
      <c r="M499" s="37">
        <v>8123508071</v>
      </c>
      <c r="N499" s="38">
        <v>860896052055696</v>
      </c>
      <c r="O499" s="38" t="s">
        <v>39</v>
      </c>
      <c r="P499" s="14" t="s">
        <v>118</v>
      </c>
      <c r="Q499" s="17" t="s">
        <v>2559</v>
      </c>
      <c r="R499" s="41">
        <v>1999.84</v>
      </c>
      <c r="S499" s="19" t="s">
        <v>2977</v>
      </c>
      <c r="T499" s="42"/>
      <c r="U499" s="43"/>
      <c r="V499" s="15"/>
      <c r="W499" s="15"/>
    </row>
    <row r="500" spans="1:23" s="34" customFormat="1" ht="29" x14ac:dyDescent="0.35">
      <c r="A500" s="15"/>
      <c r="B500" s="35">
        <v>44989</v>
      </c>
      <c r="C500" s="14">
        <v>417</v>
      </c>
      <c r="D500" s="85" t="s">
        <v>3385</v>
      </c>
      <c r="E500" s="14" t="s">
        <v>115</v>
      </c>
      <c r="F500" s="74" t="s">
        <v>13</v>
      </c>
      <c r="G500" s="14" t="s">
        <v>5</v>
      </c>
      <c r="H500" s="14" t="s">
        <v>3492</v>
      </c>
      <c r="I500" s="144" t="s">
        <v>39</v>
      </c>
      <c r="J500" s="14" t="s">
        <v>117</v>
      </c>
      <c r="K500" s="14" t="s">
        <v>1360</v>
      </c>
      <c r="L500" s="14" t="s">
        <v>2</v>
      </c>
      <c r="M500" s="37">
        <v>8126212246</v>
      </c>
      <c r="N500" s="38">
        <v>860896051613446</v>
      </c>
      <c r="O500" s="14" t="s">
        <v>116</v>
      </c>
      <c r="P500" s="14" t="s">
        <v>39</v>
      </c>
      <c r="Q500" s="17" t="s">
        <v>2559</v>
      </c>
      <c r="R500" s="41">
        <v>1999.84</v>
      </c>
      <c r="S500" s="19" t="s">
        <v>3329</v>
      </c>
      <c r="T500" s="42"/>
      <c r="U500" s="43"/>
      <c r="V500" s="44">
        <v>45205.70516203704</v>
      </c>
      <c r="W500" s="15"/>
    </row>
    <row r="501" spans="1:23" s="34" customFormat="1" ht="29" x14ac:dyDescent="0.35">
      <c r="A501" s="15"/>
      <c r="B501" s="35">
        <v>44989</v>
      </c>
      <c r="C501" s="14">
        <v>418</v>
      </c>
      <c r="D501" s="85" t="s">
        <v>3927</v>
      </c>
      <c r="E501" s="14" t="s">
        <v>115</v>
      </c>
      <c r="F501" s="74" t="s">
        <v>13</v>
      </c>
      <c r="G501" s="17" t="s">
        <v>1805</v>
      </c>
      <c r="H501" s="17" t="s">
        <v>1787</v>
      </c>
      <c r="I501" s="145" t="s">
        <v>39</v>
      </c>
      <c r="J501" s="14" t="s">
        <v>26</v>
      </c>
      <c r="K501" s="14" t="s">
        <v>1361</v>
      </c>
      <c r="L501" s="14" t="s">
        <v>103</v>
      </c>
      <c r="M501" s="37">
        <v>8184659886</v>
      </c>
      <c r="N501" s="38">
        <v>860896052034808</v>
      </c>
      <c r="O501" s="38" t="s">
        <v>3929</v>
      </c>
      <c r="P501" s="14" t="s">
        <v>4228</v>
      </c>
      <c r="Q501" s="17" t="s">
        <v>4174</v>
      </c>
      <c r="R501" s="41">
        <v>1999.84</v>
      </c>
      <c r="S501" s="19" t="s">
        <v>3584</v>
      </c>
      <c r="T501" s="42"/>
      <c r="U501" s="43"/>
      <c r="V501" s="15" t="s">
        <v>1004</v>
      </c>
      <c r="W501" s="15"/>
    </row>
    <row r="502" spans="1:23" s="34" customFormat="1" ht="29" x14ac:dyDescent="0.35">
      <c r="A502" s="15"/>
      <c r="B502" s="35">
        <v>44991</v>
      </c>
      <c r="C502" s="14">
        <v>419</v>
      </c>
      <c r="D502" s="85" t="s">
        <v>3931</v>
      </c>
      <c r="E502" s="14" t="s">
        <v>113</v>
      </c>
      <c r="F502" s="74" t="s">
        <v>13</v>
      </c>
      <c r="G502" s="17" t="s">
        <v>1805</v>
      </c>
      <c r="H502" s="14" t="s">
        <v>1767</v>
      </c>
      <c r="I502" s="144" t="s">
        <v>39</v>
      </c>
      <c r="J502" s="17" t="s">
        <v>26</v>
      </c>
      <c r="K502" s="14" t="s">
        <v>1362</v>
      </c>
      <c r="L502" s="14" t="s">
        <v>103</v>
      </c>
      <c r="M502" s="37">
        <v>8135516711</v>
      </c>
      <c r="N502" s="38">
        <v>869220040811188</v>
      </c>
      <c r="O502" s="16" t="s">
        <v>39</v>
      </c>
      <c r="P502" s="17" t="s">
        <v>114</v>
      </c>
      <c r="Q502" s="17" t="s">
        <v>4174</v>
      </c>
      <c r="R502" s="41">
        <v>1999.84</v>
      </c>
      <c r="S502" s="19" t="s">
        <v>3584</v>
      </c>
      <c r="T502" s="42"/>
      <c r="U502" s="43"/>
      <c r="V502" s="15" t="s">
        <v>1004</v>
      </c>
      <c r="W502" s="15"/>
    </row>
    <row r="503" spans="1:23" s="34" customFormat="1" ht="29" x14ac:dyDescent="0.35">
      <c r="A503" s="15"/>
      <c r="B503" s="35">
        <v>44991</v>
      </c>
      <c r="C503" s="14">
        <v>420</v>
      </c>
      <c r="D503" s="85" t="s">
        <v>3065</v>
      </c>
      <c r="E503" s="14" t="s">
        <v>113</v>
      </c>
      <c r="F503" s="74" t="s">
        <v>13</v>
      </c>
      <c r="G503" s="17" t="s">
        <v>1805</v>
      </c>
      <c r="H503" s="14" t="s">
        <v>1767</v>
      </c>
      <c r="I503" s="144" t="s">
        <v>39</v>
      </c>
      <c r="J503" s="14" t="s">
        <v>2955</v>
      </c>
      <c r="K503" s="14" t="s">
        <v>2956</v>
      </c>
      <c r="L503" s="14" t="s">
        <v>103</v>
      </c>
      <c r="M503" s="37">
        <v>8131410036</v>
      </c>
      <c r="N503" s="38">
        <v>869220040808671</v>
      </c>
      <c r="O503" s="38" t="s">
        <v>3218</v>
      </c>
      <c r="P503" s="14" t="s">
        <v>3219</v>
      </c>
      <c r="Q503" s="17" t="s">
        <v>2559</v>
      </c>
      <c r="R503" s="41">
        <v>1999.84</v>
      </c>
      <c r="S503" s="19" t="s">
        <v>2977</v>
      </c>
      <c r="T503" s="42"/>
      <c r="U503" s="43"/>
      <c r="V503" s="44"/>
      <c r="W503" s="15"/>
    </row>
    <row r="504" spans="1:23" s="34" customFormat="1" ht="29" x14ac:dyDescent="0.35">
      <c r="A504" s="15"/>
      <c r="B504" s="35">
        <v>44992</v>
      </c>
      <c r="C504" s="14">
        <v>222</v>
      </c>
      <c r="D504" s="85" t="s">
        <v>2994</v>
      </c>
      <c r="E504" s="14" t="s">
        <v>112</v>
      </c>
      <c r="F504" s="74" t="s">
        <v>36</v>
      </c>
      <c r="G504" s="17" t="s">
        <v>1805</v>
      </c>
      <c r="H504" s="14" t="s">
        <v>3119</v>
      </c>
      <c r="I504" s="144" t="s">
        <v>39</v>
      </c>
      <c r="J504" s="14" t="s">
        <v>111</v>
      </c>
      <c r="K504" s="14" t="s">
        <v>2959</v>
      </c>
      <c r="L504" s="14" t="s">
        <v>103</v>
      </c>
      <c r="M504" s="37">
        <v>8180209042</v>
      </c>
      <c r="N504" s="38">
        <v>865011034400102</v>
      </c>
      <c r="O504" s="38" t="s">
        <v>3120</v>
      </c>
      <c r="P504" s="14" t="s">
        <v>2995</v>
      </c>
      <c r="Q504" s="94" t="s">
        <v>3121</v>
      </c>
      <c r="R504" s="41">
        <v>0</v>
      </c>
      <c r="S504" s="19" t="s">
        <v>2977</v>
      </c>
      <c r="T504" s="42"/>
      <c r="U504" s="43"/>
      <c r="V504" s="15"/>
      <c r="W504" s="15"/>
    </row>
    <row r="505" spans="1:23" s="34" customFormat="1" ht="29" x14ac:dyDescent="0.35">
      <c r="A505" s="15"/>
      <c r="B505" s="35">
        <v>44993</v>
      </c>
      <c r="C505" s="14">
        <v>421</v>
      </c>
      <c r="D505" s="85" t="s">
        <v>3932</v>
      </c>
      <c r="E505" s="14" t="s">
        <v>109</v>
      </c>
      <c r="F505" s="74" t="s">
        <v>13</v>
      </c>
      <c r="G505" s="17" t="s">
        <v>1805</v>
      </c>
      <c r="H505" s="14" t="s">
        <v>1767</v>
      </c>
      <c r="I505" s="144" t="s">
        <v>39</v>
      </c>
      <c r="J505" s="17" t="s">
        <v>26</v>
      </c>
      <c r="K505" s="14" t="s">
        <v>1363</v>
      </c>
      <c r="L505" s="14" t="s">
        <v>50</v>
      </c>
      <c r="M505" s="37">
        <v>8184662876</v>
      </c>
      <c r="N505" s="38">
        <v>868166053313961</v>
      </c>
      <c r="O505" s="16" t="s">
        <v>39</v>
      </c>
      <c r="P505" s="17" t="s">
        <v>39</v>
      </c>
      <c r="Q505" s="17" t="s">
        <v>4174</v>
      </c>
      <c r="R505" s="41">
        <v>1999.84</v>
      </c>
      <c r="S505" s="19" t="s">
        <v>3584</v>
      </c>
      <c r="T505" s="42"/>
      <c r="U505" s="43"/>
      <c r="V505" s="15" t="s">
        <v>1004</v>
      </c>
      <c r="W505" s="15"/>
    </row>
    <row r="506" spans="1:23" s="34" customFormat="1" ht="29" x14ac:dyDescent="0.35">
      <c r="A506" s="15"/>
      <c r="B506" s="35">
        <v>44993</v>
      </c>
      <c r="C506" s="14">
        <v>422</v>
      </c>
      <c r="D506" s="85" t="s">
        <v>3933</v>
      </c>
      <c r="E506" s="14" t="s">
        <v>109</v>
      </c>
      <c r="F506" s="74" t="s">
        <v>13</v>
      </c>
      <c r="G506" s="14" t="s">
        <v>21</v>
      </c>
      <c r="H506" s="14" t="s">
        <v>1789</v>
      </c>
      <c r="I506" s="144" t="s">
        <v>39</v>
      </c>
      <c r="J506" s="14" t="s">
        <v>110</v>
      </c>
      <c r="K506" s="14" t="s">
        <v>1364</v>
      </c>
      <c r="L506" s="14" t="s">
        <v>2</v>
      </c>
      <c r="M506" s="37">
        <v>8120010061</v>
      </c>
      <c r="N506" s="38">
        <v>869220040811048</v>
      </c>
      <c r="O506" s="38" t="s">
        <v>3935</v>
      </c>
      <c r="P506" s="14" t="s">
        <v>3934</v>
      </c>
      <c r="Q506" s="17" t="s">
        <v>4174</v>
      </c>
      <c r="R506" s="41">
        <v>1999.84</v>
      </c>
      <c r="S506" s="19" t="s">
        <v>3584</v>
      </c>
      <c r="T506" s="42"/>
      <c r="U506" s="43"/>
      <c r="V506" s="15" t="s">
        <v>1004</v>
      </c>
      <c r="W506" s="15"/>
    </row>
    <row r="507" spans="1:23" s="34" customFormat="1" ht="29" x14ac:dyDescent="0.35">
      <c r="A507" s="15"/>
      <c r="B507" s="35">
        <v>44993</v>
      </c>
      <c r="C507" s="14">
        <v>423</v>
      </c>
      <c r="D507" s="85" t="s">
        <v>3066</v>
      </c>
      <c r="E507" s="14" t="s">
        <v>109</v>
      </c>
      <c r="F507" s="74" t="s">
        <v>13</v>
      </c>
      <c r="G507" s="14" t="s">
        <v>21</v>
      </c>
      <c r="H507" s="14" t="s">
        <v>1786</v>
      </c>
      <c r="I507" s="144" t="s">
        <v>39</v>
      </c>
      <c r="J507" s="14" t="s">
        <v>108</v>
      </c>
      <c r="K507" s="14" t="s">
        <v>1365</v>
      </c>
      <c r="L507" s="14" t="s">
        <v>103</v>
      </c>
      <c r="M507" s="37">
        <v>8116007150</v>
      </c>
      <c r="N507" s="37">
        <v>865011032922065</v>
      </c>
      <c r="O507" s="16" t="s">
        <v>3221</v>
      </c>
      <c r="P507" s="14" t="s">
        <v>3220</v>
      </c>
      <c r="Q507" s="17" t="s">
        <v>2559</v>
      </c>
      <c r="R507" s="41">
        <v>1999.84</v>
      </c>
      <c r="S507" s="19" t="s">
        <v>2977</v>
      </c>
      <c r="T507" s="42"/>
      <c r="U507" s="43"/>
      <c r="V507" s="15" t="s">
        <v>1004</v>
      </c>
      <c r="W507" s="15"/>
    </row>
    <row r="508" spans="1:23" s="34" customFormat="1" ht="29" x14ac:dyDescent="0.35">
      <c r="A508" s="15"/>
      <c r="B508" s="35">
        <v>44994</v>
      </c>
      <c r="C508" s="14">
        <v>424</v>
      </c>
      <c r="D508" s="36" t="s">
        <v>2263</v>
      </c>
      <c r="E508" s="14" t="s">
        <v>107</v>
      </c>
      <c r="F508" s="74" t="s">
        <v>13</v>
      </c>
      <c r="G508" s="14" t="s">
        <v>5</v>
      </c>
      <c r="H508" s="14" t="s">
        <v>11</v>
      </c>
      <c r="I508" s="144"/>
      <c r="J508" s="14" t="s">
        <v>106</v>
      </c>
      <c r="K508" s="14" t="s">
        <v>1366</v>
      </c>
      <c r="L508" s="14" t="s">
        <v>2</v>
      </c>
      <c r="M508" s="37">
        <v>8134058862</v>
      </c>
      <c r="N508" s="37">
        <v>869220040809240</v>
      </c>
      <c r="O508" s="37"/>
      <c r="P508" s="14" t="s">
        <v>105</v>
      </c>
      <c r="Q508" s="14" t="s">
        <v>8</v>
      </c>
      <c r="R508" s="41">
        <v>1999.84</v>
      </c>
      <c r="S508" s="19" t="s">
        <v>2200</v>
      </c>
      <c r="T508" s="42"/>
      <c r="U508" s="43"/>
      <c r="V508" s="15" t="s">
        <v>1004</v>
      </c>
      <c r="W508" s="15"/>
    </row>
    <row r="509" spans="1:23" s="34" customFormat="1" ht="29" x14ac:dyDescent="0.35">
      <c r="A509" s="15"/>
      <c r="B509" s="35">
        <v>44995</v>
      </c>
      <c r="C509" s="14">
        <v>425</v>
      </c>
      <c r="D509" s="85" t="s">
        <v>2590</v>
      </c>
      <c r="E509" s="14" t="s">
        <v>104</v>
      </c>
      <c r="F509" s="74" t="s">
        <v>13</v>
      </c>
      <c r="G509" s="14" t="s">
        <v>39</v>
      </c>
      <c r="H509" s="14" t="s">
        <v>3294</v>
      </c>
      <c r="I509" s="144" t="s">
        <v>39</v>
      </c>
      <c r="J509" s="14" t="s">
        <v>3293</v>
      </c>
      <c r="K509" s="14" t="s">
        <v>1367</v>
      </c>
      <c r="L509" s="14" t="s">
        <v>103</v>
      </c>
      <c r="M509" s="37">
        <v>8114658663</v>
      </c>
      <c r="N509" s="37">
        <v>869220040810404</v>
      </c>
      <c r="O509" s="37" t="s">
        <v>3295</v>
      </c>
      <c r="P509" s="14" t="s">
        <v>3297</v>
      </c>
      <c r="Q509" s="17" t="s">
        <v>2559</v>
      </c>
      <c r="R509" s="41">
        <v>1999.84</v>
      </c>
      <c r="S509" s="19" t="s">
        <v>2560</v>
      </c>
      <c r="T509" s="42"/>
      <c r="U509" s="43"/>
      <c r="V509" s="15" t="s">
        <v>1004</v>
      </c>
      <c r="W509" s="15"/>
    </row>
    <row r="510" spans="1:23" s="34" customFormat="1" ht="29" x14ac:dyDescent="0.35">
      <c r="A510" s="15"/>
      <c r="B510" s="35">
        <v>44996</v>
      </c>
      <c r="C510" s="14">
        <v>426</v>
      </c>
      <c r="D510" s="39" t="s">
        <v>39</v>
      </c>
      <c r="E510" s="46" t="s">
        <v>39</v>
      </c>
      <c r="F510" s="39" t="s">
        <v>40</v>
      </c>
      <c r="G510" s="14" t="s">
        <v>96</v>
      </c>
      <c r="H510" s="14" t="s">
        <v>11</v>
      </c>
      <c r="I510" s="144"/>
      <c r="J510" s="14" t="s">
        <v>95</v>
      </c>
      <c r="K510" s="14" t="s">
        <v>99</v>
      </c>
      <c r="L510" s="14" t="s">
        <v>103</v>
      </c>
      <c r="M510" s="37" t="s">
        <v>39</v>
      </c>
      <c r="N510" s="38" t="s">
        <v>39</v>
      </c>
      <c r="O510" s="38"/>
      <c r="P510" s="14" t="s">
        <v>39</v>
      </c>
      <c r="Q510" s="14" t="s">
        <v>102</v>
      </c>
      <c r="R510" s="41">
        <v>290</v>
      </c>
      <c r="S510" s="41" t="s">
        <v>40</v>
      </c>
      <c r="T510" s="42"/>
      <c r="U510" s="43"/>
      <c r="V510" s="15"/>
      <c r="W510" s="15"/>
    </row>
    <row r="511" spans="1:23" s="34" customFormat="1" ht="29" x14ac:dyDescent="0.35">
      <c r="A511" s="15"/>
      <c r="B511" s="35">
        <v>44998</v>
      </c>
      <c r="C511" s="14">
        <v>427</v>
      </c>
      <c r="D511" s="85" t="s">
        <v>3936</v>
      </c>
      <c r="E511" s="14" t="s">
        <v>101</v>
      </c>
      <c r="F511" s="74" t="s">
        <v>13</v>
      </c>
      <c r="G511" s="17" t="s">
        <v>1805</v>
      </c>
      <c r="H511" s="14" t="s">
        <v>1767</v>
      </c>
      <c r="I511" s="144" t="s">
        <v>39</v>
      </c>
      <c r="J511" s="17" t="s">
        <v>26</v>
      </c>
      <c r="K511" s="14" t="s">
        <v>1368</v>
      </c>
      <c r="L511" s="14" t="s">
        <v>2</v>
      </c>
      <c r="M511" s="37">
        <v>8126201751</v>
      </c>
      <c r="N511" s="38" t="s">
        <v>4229</v>
      </c>
      <c r="O511" s="16" t="s">
        <v>100</v>
      </c>
      <c r="P511" s="17" t="s">
        <v>39</v>
      </c>
      <c r="Q511" s="17" t="s">
        <v>4174</v>
      </c>
      <c r="R511" s="41">
        <v>1999.84</v>
      </c>
      <c r="S511" s="19" t="s">
        <v>3584</v>
      </c>
      <c r="T511" s="42"/>
      <c r="U511" s="43"/>
      <c r="V511" s="15" t="s">
        <v>1004</v>
      </c>
      <c r="W511" s="15"/>
    </row>
    <row r="512" spans="1:23" s="34" customFormat="1" ht="29" x14ac:dyDescent="0.35">
      <c r="A512" s="15"/>
      <c r="B512" s="35">
        <v>44998</v>
      </c>
      <c r="C512" s="14">
        <v>428</v>
      </c>
      <c r="D512" s="39" t="s">
        <v>39</v>
      </c>
      <c r="E512" s="46" t="s">
        <v>39</v>
      </c>
      <c r="F512" s="39" t="s">
        <v>40</v>
      </c>
      <c r="G512" s="14" t="s">
        <v>96</v>
      </c>
      <c r="H512" s="14" t="s">
        <v>11</v>
      </c>
      <c r="I512" s="144"/>
      <c r="J512" s="14" t="s">
        <v>95</v>
      </c>
      <c r="K512" s="14" t="s">
        <v>99</v>
      </c>
      <c r="L512" s="14" t="s">
        <v>50</v>
      </c>
      <c r="M512" s="37" t="s">
        <v>39</v>
      </c>
      <c r="N512" s="38" t="s">
        <v>39</v>
      </c>
      <c r="O512" s="38"/>
      <c r="P512" s="14" t="s">
        <v>39</v>
      </c>
      <c r="Q512" s="14" t="s">
        <v>98</v>
      </c>
      <c r="R512" s="41">
        <v>290</v>
      </c>
      <c r="S512" s="41" t="s">
        <v>40</v>
      </c>
      <c r="T512" s="42"/>
      <c r="U512" s="43"/>
      <c r="V512" s="15"/>
      <c r="W512" s="15"/>
    </row>
    <row r="513" spans="1:23" s="34" customFormat="1" ht="29" x14ac:dyDescent="0.35">
      <c r="A513" s="15"/>
      <c r="B513" s="35">
        <v>44999</v>
      </c>
      <c r="C513" s="14">
        <v>429</v>
      </c>
      <c r="D513" s="85" t="s">
        <v>3937</v>
      </c>
      <c r="E513" s="14" t="s">
        <v>97</v>
      </c>
      <c r="F513" s="74" t="s">
        <v>13</v>
      </c>
      <c r="G513" s="14" t="s">
        <v>96</v>
      </c>
      <c r="H513" s="14" t="s">
        <v>11</v>
      </c>
      <c r="I513" s="144" t="s">
        <v>39</v>
      </c>
      <c r="J513" s="14" t="s">
        <v>4230</v>
      </c>
      <c r="K513" s="14" t="s">
        <v>1369</v>
      </c>
      <c r="L513" s="14" t="s">
        <v>50</v>
      </c>
      <c r="M513" s="37">
        <v>8126310839</v>
      </c>
      <c r="N513" s="37">
        <v>869220040810339</v>
      </c>
      <c r="O513" s="37" t="s">
        <v>3939</v>
      </c>
      <c r="P513" s="14" t="s">
        <v>3938</v>
      </c>
      <c r="Q513" s="17" t="s">
        <v>4174</v>
      </c>
      <c r="R513" s="41">
        <v>1999.84</v>
      </c>
      <c r="S513" s="19" t="s">
        <v>3584</v>
      </c>
      <c r="T513" s="42"/>
      <c r="U513" s="43"/>
      <c r="V513" s="15" t="s">
        <v>1004</v>
      </c>
      <c r="W513" s="15"/>
    </row>
    <row r="514" spans="1:23" s="34" customFormat="1" ht="29" x14ac:dyDescent="0.35">
      <c r="A514" s="15"/>
      <c r="B514" s="35">
        <v>45002</v>
      </c>
      <c r="C514" s="14">
        <v>430</v>
      </c>
      <c r="D514" s="36" t="s">
        <v>2026</v>
      </c>
      <c r="E514" s="85" t="s">
        <v>1929</v>
      </c>
      <c r="F514" s="74" t="s">
        <v>13</v>
      </c>
      <c r="G514" s="14" t="s">
        <v>21</v>
      </c>
      <c r="H514" s="14" t="s">
        <v>4207</v>
      </c>
      <c r="I514" s="144"/>
      <c r="J514" s="14" t="s">
        <v>94</v>
      </c>
      <c r="K514" s="14" t="s">
        <v>1370</v>
      </c>
      <c r="L514" s="14" t="s">
        <v>2</v>
      </c>
      <c r="M514" s="37">
        <v>8119174177</v>
      </c>
      <c r="N514" s="37">
        <v>865011031686075</v>
      </c>
      <c r="O514" s="37"/>
      <c r="P514" s="14" t="s">
        <v>92</v>
      </c>
      <c r="Q514" s="14" t="s">
        <v>8</v>
      </c>
      <c r="R514" s="41">
        <v>1999.84</v>
      </c>
      <c r="S514" s="41" t="s">
        <v>1931</v>
      </c>
      <c r="T514" s="42"/>
      <c r="U514" s="43"/>
      <c r="V514" s="15" t="s">
        <v>1004</v>
      </c>
      <c r="W514" s="15"/>
    </row>
    <row r="515" spans="1:23" s="34" customFormat="1" ht="29" x14ac:dyDescent="0.35">
      <c r="A515" s="15"/>
      <c r="B515" s="35">
        <v>45002</v>
      </c>
      <c r="C515" s="14">
        <v>431</v>
      </c>
      <c r="D515" s="85" t="s">
        <v>3940</v>
      </c>
      <c r="E515" s="14" t="s">
        <v>91</v>
      </c>
      <c r="F515" s="74" t="s">
        <v>13</v>
      </c>
      <c r="G515" s="14" t="s">
        <v>21</v>
      </c>
      <c r="H515" s="14" t="s">
        <v>4208</v>
      </c>
      <c r="I515" s="144" t="s">
        <v>39</v>
      </c>
      <c r="J515" s="14" t="s">
        <v>90</v>
      </c>
      <c r="K515" s="14" t="s">
        <v>1371</v>
      </c>
      <c r="L515" s="14" t="s">
        <v>50</v>
      </c>
      <c r="M515" s="37">
        <v>8115777719</v>
      </c>
      <c r="N515" s="38">
        <v>869220040810891</v>
      </c>
      <c r="O515" s="38" t="s">
        <v>3942</v>
      </c>
      <c r="P515" s="14" t="s">
        <v>3941</v>
      </c>
      <c r="Q515" s="17" t="s">
        <v>4174</v>
      </c>
      <c r="R515" s="41">
        <v>1999.84</v>
      </c>
      <c r="S515" s="19" t="s">
        <v>3584</v>
      </c>
      <c r="T515" s="42"/>
      <c r="U515" s="43"/>
      <c r="V515" s="15" t="s">
        <v>1004</v>
      </c>
      <c r="W515" s="15"/>
    </row>
    <row r="516" spans="1:23" s="34" customFormat="1" ht="29" x14ac:dyDescent="0.35">
      <c r="A516" s="15"/>
      <c r="B516" s="35">
        <v>45006</v>
      </c>
      <c r="C516" s="14">
        <v>432</v>
      </c>
      <c r="D516" s="85" t="s">
        <v>3943</v>
      </c>
      <c r="E516" s="14" t="s">
        <v>89</v>
      </c>
      <c r="F516" s="74" t="s">
        <v>13</v>
      </c>
      <c r="G516" s="17" t="s">
        <v>1805</v>
      </c>
      <c r="H516" s="17" t="s">
        <v>1787</v>
      </c>
      <c r="I516" s="145" t="s">
        <v>39</v>
      </c>
      <c r="J516" s="14" t="s">
        <v>74</v>
      </c>
      <c r="K516" s="14" t="s">
        <v>1372</v>
      </c>
      <c r="L516" s="14" t="s">
        <v>50</v>
      </c>
      <c r="M516" s="14">
        <v>8182544793</v>
      </c>
      <c r="N516" s="38">
        <v>869220040535647</v>
      </c>
      <c r="O516" s="14" t="s">
        <v>88</v>
      </c>
      <c r="P516" s="16" t="s">
        <v>39</v>
      </c>
      <c r="Q516" s="17" t="s">
        <v>4174</v>
      </c>
      <c r="R516" s="41">
        <v>1999.84</v>
      </c>
      <c r="S516" s="19" t="s">
        <v>3584</v>
      </c>
      <c r="T516" s="42"/>
      <c r="U516" s="43"/>
      <c r="V516" s="15"/>
      <c r="W516" s="15"/>
    </row>
    <row r="517" spans="1:23" s="34" customFormat="1" ht="29" x14ac:dyDescent="0.35">
      <c r="A517" s="15"/>
      <c r="B517" s="35">
        <v>45012</v>
      </c>
      <c r="C517" s="14">
        <v>433</v>
      </c>
      <c r="D517" s="85" t="s">
        <v>2600</v>
      </c>
      <c r="E517" s="14" t="s">
        <v>86</v>
      </c>
      <c r="F517" s="74" t="s">
        <v>13</v>
      </c>
      <c r="G517" s="17" t="s">
        <v>1805</v>
      </c>
      <c r="H517" s="14" t="s">
        <v>1767</v>
      </c>
      <c r="I517" s="144" t="s">
        <v>39</v>
      </c>
      <c r="J517" s="17" t="s">
        <v>2602</v>
      </c>
      <c r="K517" s="14" t="s">
        <v>1373</v>
      </c>
      <c r="L517" s="14" t="s">
        <v>2</v>
      </c>
      <c r="M517" s="37">
        <v>8121997838</v>
      </c>
      <c r="N517" s="37">
        <v>863844050592846</v>
      </c>
      <c r="O517" s="37" t="s">
        <v>39</v>
      </c>
      <c r="P517" s="14" t="s">
        <v>87</v>
      </c>
      <c r="Q517" s="17" t="s">
        <v>2559</v>
      </c>
      <c r="R517" s="41">
        <v>1999.84</v>
      </c>
      <c r="S517" s="19" t="s">
        <v>2560</v>
      </c>
      <c r="T517" s="42"/>
      <c r="U517" s="43"/>
      <c r="V517" s="15" t="s">
        <v>1004</v>
      </c>
      <c r="W517" s="15"/>
    </row>
    <row r="518" spans="1:23" s="34" customFormat="1" ht="29" x14ac:dyDescent="0.35">
      <c r="A518" s="15"/>
      <c r="B518" s="35">
        <v>45012</v>
      </c>
      <c r="C518" s="14">
        <v>434</v>
      </c>
      <c r="D518" s="85" t="s">
        <v>3945</v>
      </c>
      <c r="E518" s="14" t="s">
        <v>86</v>
      </c>
      <c r="F518" s="74" t="s">
        <v>13</v>
      </c>
      <c r="G518" s="17" t="s">
        <v>1805</v>
      </c>
      <c r="H518" s="17" t="s">
        <v>1787</v>
      </c>
      <c r="I518" s="145" t="s">
        <v>39</v>
      </c>
      <c r="J518" s="17" t="s">
        <v>24</v>
      </c>
      <c r="K518" s="14" t="s">
        <v>1374</v>
      </c>
      <c r="L518" s="14" t="s">
        <v>2</v>
      </c>
      <c r="M518" s="37">
        <v>8115777974</v>
      </c>
      <c r="N518" s="37">
        <v>865011031937072</v>
      </c>
      <c r="O518" s="37" t="s">
        <v>3947</v>
      </c>
      <c r="P518" s="14" t="s">
        <v>3946</v>
      </c>
      <c r="Q518" s="17" t="s">
        <v>4174</v>
      </c>
      <c r="R518" s="41">
        <v>1999.84</v>
      </c>
      <c r="S518" s="19" t="s">
        <v>3584</v>
      </c>
      <c r="T518" s="42"/>
      <c r="U518" s="43"/>
      <c r="V518" s="15" t="s">
        <v>1004</v>
      </c>
      <c r="W518" s="15"/>
    </row>
    <row r="519" spans="1:23" s="34" customFormat="1" ht="29" x14ac:dyDescent="0.35">
      <c r="A519" s="15"/>
      <c r="B519" s="35">
        <v>45014</v>
      </c>
      <c r="C519" s="14">
        <v>435</v>
      </c>
      <c r="D519" s="124" t="s">
        <v>3588</v>
      </c>
      <c r="E519" s="14" t="s">
        <v>84</v>
      </c>
      <c r="F519" s="74" t="s">
        <v>13</v>
      </c>
      <c r="G519" s="14" t="s">
        <v>5</v>
      </c>
      <c r="H519" s="14" t="s">
        <v>4341</v>
      </c>
      <c r="I519" s="144" t="s">
        <v>39</v>
      </c>
      <c r="J519" s="17" t="s">
        <v>4072</v>
      </c>
      <c r="K519" s="14" t="s">
        <v>1375</v>
      </c>
      <c r="L519" s="14" t="s">
        <v>2</v>
      </c>
      <c r="M519" s="37">
        <v>8118249596</v>
      </c>
      <c r="N519" s="37">
        <v>868166054740279</v>
      </c>
      <c r="O519" s="37" t="s">
        <v>39</v>
      </c>
      <c r="P519" s="14" t="s">
        <v>83</v>
      </c>
      <c r="Q519" s="17" t="s">
        <v>2559</v>
      </c>
      <c r="R519" s="41">
        <v>1999.84</v>
      </c>
      <c r="S519" s="19" t="s">
        <v>3584</v>
      </c>
      <c r="T519" s="42"/>
      <c r="U519" s="43"/>
      <c r="V519" s="15" t="s">
        <v>1004</v>
      </c>
      <c r="W519" s="15"/>
    </row>
    <row r="520" spans="1:23" s="34" customFormat="1" ht="29" x14ac:dyDescent="0.35">
      <c r="A520" s="15"/>
      <c r="B520" s="35">
        <v>45015</v>
      </c>
      <c r="C520" s="14">
        <v>436</v>
      </c>
      <c r="D520" s="85" t="s">
        <v>3068</v>
      </c>
      <c r="E520" s="14" t="s">
        <v>81</v>
      </c>
      <c r="F520" s="74" t="s">
        <v>13</v>
      </c>
      <c r="G520" s="14" t="s">
        <v>5</v>
      </c>
      <c r="H520" s="14" t="s">
        <v>17</v>
      </c>
      <c r="I520" s="144" t="s">
        <v>39</v>
      </c>
      <c r="J520" s="14" t="s">
        <v>82</v>
      </c>
      <c r="K520" s="14" t="s">
        <v>1376</v>
      </c>
      <c r="L520" s="14" t="s">
        <v>2</v>
      </c>
      <c r="M520" s="37">
        <v>8116907089</v>
      </c>
      <c r="N520" s="37">
        <v>868166054740212</v>
      </c>
      <c r="O520" s="37" t="s">
        <v>3223</v>
      </c>
      <c r="P520" s="14" t="s">
        <v>3222</v>
      </c>
      <c r="Q520" s="17" t="s">
        <v>2559</v>
      </c>
      <c r="R520" s="41">
        <v>1999.84</v>
      </c>
      <c r="S520" s="19" t="s">
        <v>2977</v>
      </c>
      <c r="T520" s="42"/>
      <c r="U520" s="43"/>
      <c r="V520" s="15"/>
      <c r="W520" s="15"/>
    </row>
    <row r="521" spans="1:23" s="34" customFormat="1" ht="29" x14ac:dyDescent="0.35">
      <c r="A521" s="15"/>
      <c r="B521" s="35">
        <v>45015</v>
      </c>
      <c r="C521" s="14">
        <v>437</v>
      </c>
      <c r="D521" s="85" t="s">
        <v>3948</v>
      </c>
      <c r="E521" s="14" t="s">
        <v>81</v>
      </c>
      <c r="F521" s="74" t="s">
        <v>13</v>
      </c>
      <c r="G521" s="14" t="s">
        <v>5</v>
      </c>
      <c r="H521" s="17" t="s">
        <v>1720</v>
      </c>
      <c r="I521" s="145" t="s">
        <v>39</v>
      </c>
      <c r="J521" s="17" t="s">
        <v>80</v>
      </c>
      <c r="K521" s="14" t="s">
        <v>1377</v>
      </c>
      <c r="L521" s="14" t="s">
        <v>2</v>
      </c>
      <c r="M521" s="37">
        <v>8112147382</v>
      </c>
      <c r="N521" s="37">
        <v>868166054739891</v>
      </c>
      <c r="O521" s="37" t="s">
        <v>3950</v>
      </c>
      <c r="P521" s="14" t="s">
        <v>3949</v>
      </c>
      <c r="Q521" s="17" t="s">
        <v>4174</v>
      </c>
      <c r="R521" s="41">
        <v>1999.84</v>
      </c>
      <c r="S521" s="19" t="s">
        <v>3584</v>
      </c>
      <c r="T521" s="42"/>
      <c r="U521" s="43"/>
      <c r="V521" s="44">
        <v>45159.812002314815</v>
      </c>
      <c r="W521" s="15"/>
    </row>
    <row r="522" spans="1:23" s="34" customFormat="1" ht="29" x14ac:dyDescent="0.35">
      <c r="A522" s="15"/>
      <c r="B522" s="35">
        <v>45016</v>
      </c>
      <c r="C522" s="14">
        <v>438</v>
      </c>
      <c r="D522" s="85" t="s">
        <v>3386</v>
      </c>
      <c r="E522" s="14" t="s">
        <v>79</v>
      </c>
      <c r="F522" s="74" t="s">
        <v>13</v>
      </c>
      <c r="G522" s="14" t="s">
        <v>5</v>
      </c>
      <c r="H522" s="17" t="s">
        <v>1720</v>
      </c>
      <c r="I522" s="145" t="s">
        <v>39</v>
      </c>
      <c r="J522" s="121" t="s">
        <v>3443</v>
      </c>
      <c r="K522" s="14" t="s">
        <v>1378</v>
      </c>
      <c r="L522" s="14" t="s">
        <v>2</v>
      </c>
      <c r="M522" s="37">
        <v>8112122877</v>
      </c>
      <c r="N522" s="38">
        <v>860896052332152</v>
      </c>
      <c r="O522" s="38" t="s">
        <v>3442</v>
      </c>
      <c r="P522" s="14" t="s">
        <v>3441</v>
      </c>
      <c r="Q522" s="17" t="s">
        <v>2559</v>
      </c>
      <c r="R522" s="41">
        <v>1999.84</v>
      </c>
      <c r="S522" s="19" t="s">
        <v>3329</v>
      </c>
      <c r="T522" s="42"/>
      <c r="U522" s="43"/>
      <c r="V522" s="15"/>
      <c r="W522" s="15"/>
    </row>
    <row r="523" spans="1:23" s="34" customFormat="1" ht="29" x14ac:dyDescent="0.35">
      <c r="A523" s="15"/>
      <c r="B523" s="35">
        <v>45016</v>
      </c>
      <c r="C523" s="14">
        <v>439</v>
      </c>
      <c r="D523" s="85" t="s">
        <v>3387</v>
      </c>
      <c r="E523" s="14" t="s">
        <v>79</v>
      </c>
      <c r="F523" s="74" t="s">
        <v>13</v>
      </c>
      <c r="G523" s="17" t="s">
        <v>1805</v>
      </c>
      <c r="H523" s="14" t="s">
        <v>1767</v>
      </c>
      <c r="I523" s="144" t="s">
        <v>39</v>
      </c>
      <c r="J523" s="121" t="s">
        <v>3356</v>
      </c>
      <c r="K523" s="14" t="s">
        <v>1379</v>
      </c>
      <c r="L523" s="14" t="s">
        <v>50</v>
      </c>
      <c r="M523" s="37">
        <v>8112285332</v>
      </c>
      <c r="N523" s="38">
        <v>860896052034345</v>
      </c>
      <c r="O523" s="38" t="s">
        <v>3445</v>
      </c>
      <c r="P523" s="14" t="s">
        <v>3444</v>
      </c>
      <c r="Q523" s="17" t="s">
        <v>2559</v>
      </c>
      <c r="R523" s="41">
        <v>1999.84</v>
      </c>
      <c r="S523" s="19" t="s">
        <v>3329</v>
      </c>
      <c r="T523" s="42"/>
      <c r="U523" s="43"/>
      <c r="V523" s="15" t="s">
        <v>1004</v>
      </c>
      <c r="W523" s="15"/>
    </row>
    <row r="524" spans="1:23" s="34" customFormat="1" ht="29" x14ac:dyDescent="0.35">
      <c r="A524" s="15"/>
      <c r="B524" s="35">
        <v>45016</v>
      </c>
      <c r="C524" s="14">
        <v>440</v>
      </c>
      <c r="D524" s="85" t="s">
        <v>3069</v>
      </c>
      <c r="E524" s="14" t="s">
        <v>79</v>
      </c>
      <c r="F524" s="74" t="s">
        <v>13</v>
      </c>
      <c r="G524" s="17" t="s">
        <v>1805</v>
      </c>
      <c r="H524" s="14" t="s">
        <v>1767</v>
      </c>
      <c r="I524" s="144" t="s">
        <v>39</v>
      </c>
      <c r="J524" s="14" t="s">
        <v>2971</v>
      </c>
      <c r="K524" s="14" t="s">
        <v>1380</v>
      </c>
      <c r="L524" s="14" t="s">
        <v>50</v>
      </c>
      <c r="M524" s="37">
        <v>8110102688</v>
      </c>
      <c r="N524" s="38">
        <v>860896051412005</v>
      </c>
      <c r="O524" s="16" t="s">
        <v>3225</v>
      </c>
      <c r="P524" s="14" t="s">
        <v>3224</v>
      </c>
      <c r="Q524" s="17" t="s">
        <v>2559</v>
      </c>
      <c r="R524" s="41">
        <v>1999.84</v>
      </c>
      <c r="S524" s="19" t="s">
        <v>2977</v>
      </c>
      <c r="T524" s="42"/>
      <c r="U524" s="43"/>
      <c r="V524" s="15" t="s">
        <v>1004</v>
      </c>
      <c r="W524" s="15"/>
    </row>
    <row r="525" spans="1:23" s="34" customFormat="1" ht="51.75" customHeight="1" x14ac:dyDescent="0.35">
      <c r="A525" s="15"/>
      <c r="B525" s="35">
        <v>45020</v>
      </c>
      <c r="C525" s="14">
        <v>441</v>
      </c>
      <c r="D525" s="85" t="s">
        <v>3070</v>
      </c>
      <c r="E525" s="61" t="s">
        <v>76</v>
      </c>
      <c r="F525" s="74" t="s">
        <v>13</v>
      </c>
      <c r="G525" s="14" t="s">
        <v>5</v>
      </c>
      <c r="H525" s="14" t="s">
        <v>11</v>
      </c>
      <c r="I525" s="144"/>
      <c r="J525" s="14" t="s">
        <v>2970</v>
      </c>
      <c r="K525" s="14" t="s">
        <v>1381</v>
      </c>
      <c r="L525" s="14" t="s">
        <v>50</v>
      </c>
      <c r="M525" s="37">
        <v>8112442712</v>
      </c>
      <c r="N525" s="38">
        <v>865011031930879</v>
      </c>
      <c r="O525" s="38" t="s">
        <v>3227</v>
      </c>
      <c r="P525" s="14" t="s">
        <v>3226</v>
      </c>
      <c r="Q525" s="17" t="s">
        <v>2559</v>
      </c>
      <c r="R525" s="41">
        <v>1999.84</v>
      </c>
      <c r="S525" s="19" t="s">
        <v>2977</v>
      </c>
      <c r="T525" s="42"/>
      <c r="U525" s="43"/>
      <c r="V525" s="15" t="s">
        <v>1004</v>
      </c>
      <c r="W525" s="15"/>
    </row>
    <row r="526" spans="1:23" s="34" customFormat="1" ht="43.5" x14ac:dyDescent="0.35">
      <c r="A526" s="15"/>
      <c r="B526" s="35">
        <v>45020</v>
      </c>
      <c r="C526" s="14">
        <v>442</v>
      </c>
      <c r="D526" s="39" t="s">
        <v>39</v>
      </c>
      <c r="E526" s="62">
        <v>0.45833333333333331</v>
      </c>
      <c r="F526" s="39" t="s">
        <v>40</v>
      </c>
      <c r="G526" s="14" t="s">
        <v>5</v>
      </c>
      <c r="H526" s="14" t="s">
        <v>17</v>
      </c>
      <c r="I526" s="144"/>
      <c r="J526" s="14" t="s">
        <v>78</v>
      </c>
      <c r="K526" s="14" t="s">
        <v>71</v>
      </c>
      <c r="L526" s="14" t="s">
        <v>2</v>
      </c>
      <c r="M526" s="37" t="s">
        <v>39</v>
      </c>
      <c r="N526" s="38" t="s">
        <v>39</v>
      </c>
      <c r="O526" s="38"/>
      <c r="P526" s="14" t="s">
        <v>39</v>
      </c>
      <c r="Q526" s="14" t="s">
        <v>77</v>
      </c>
      <c r="R526" s="41">
        <v>290</v>
      </c>
      <c r="S526" s="41" t="s">
        <v>40</v>
      </c>
      <c r="T526" s="42"/>
      <c r="U526" s="43"/>
      <c r="V526" s="15"/>
      <c r="W526" s="15"/>
    </row>
    <row r="527" spans="1:23" s="34" customFormat="1" ht="29" x14ac:dyDescent="0.35">
      <c r="A527" s="15"/>
      <c r="B527" s="35">
        <v>45020</v>
      </c>
      <c r="C527" s="14">
        <v>443</v>
      </c>
      <c r="D527" s="85" t="s">
        <v>3388</v>
      </c>
      <c r="E527" s="61" t="s">
        <v>76</v>
      </c>
      <c r="F527" s="74" t="s">
        <v>13</v>
      </c>
      <c r="G527" s="17" t="s">
        <v>1805</v>
      </c>
      <c r="H527" s="14" t="s">
        <v>1767</v>
      </c>
      <c r="I527" s="144" t="s">
        <v>39</v>
      </c>
      <c r="J527" s="121" t="s">
        <v>3357</v>
      </c>
      <c r="K527" s="14" t="s">
        <v>1382</v>
      </c>
      <c r="L527" s="14" t="s">
        <v>2</v>
      </c>
      <c r="M527" s="37">
        <v>8112559379</v>
      </c>
      <c r="N527" s="38">
        <v>860896052323102</v>
      </c>
      <c r="O527" s="38" t="s">
        <v>39</v>
      </c>
      <c r="P527" s="14" t="s">
        <v>75</v>
      </c>
      <c r="Q527" s="17" t="s">
        <v>2559</v>
      </c>
      <c r="R527" s="41">
        <v>1999.84</v>
      </c>
      <c r="S527" s="19" t="s">
        <v>3329</v>
      </c>
      <c r="T527" s="42"/>
      <c r="U527" s="43"/>
      <c r="V527" s="15"/>
      <c r="W527" s="15"/>
    </row>
    <row r="528" spans="1:23" s="34" customFormat="1" ht="29" x14ac:dyDescent="0.35">
      <c r="A528" s="15"/>
      <c r="B528" s="35">
        <v>45021</v>
      </c>
      <c r="C528" s="14">
        <v>444</v>
      </c>
      <c r="D528" s="124" t="s">
        <v>3589</v>
      </c>
      <c r="E528" s="61" t="s">
        <v>72</v>
      </c>
      <c r="F528" s="74" t="s">
        <v>13</v>
      </c>
      <c r="G528" s="14" t="s">
        <v>5</v>
      </c>
      <c r="H528" s="14" t="s">
        <v>4340</v>
      </c>
      <c r="I528" s="144">
        <v>0.45833333333333331</v>
      </c>
      <c r="J528" s="14" t="s">
        <v>4073</v>
      </c>
      <c r="K528" s="14" t="s">
        <v>1383</v>
      </c>
      <c r="L528" s="14" t="s">
        <v>2</v>
      </c>
      <c r="M528" s="37">
        <v>8115173710</v>
      </c>
      <c r="N528" s="38">
        <v>868166054736939</v>
      </c>
      <c r="O528" s="38" t="s">
        <v>3593</v>
      </c>
      <c r="P528" s="14" t="s">
        <v>4074</v>
      </c>
      <c r="Q528" s="17" t="s">
        <v>2559</v>
      </c>
      <c r="R528" s="41">
        <v>1999.84</v>
      </c>
      <c r="S528" s="19" t="s">
        <v>3584</v>
      </c>
      <c r="T528" s="42"/>
      <c r="U528" s="43"/>
      <c r="V528" s="15" t="s">
        <v>1004</v>
      </c>
      <c r="W528" s="15"/>
    </row>
    <row r="529" spans="1:23" s="34" customFormat="1" ht="29" x14ac:dyDescent="0.35">
      <c r="A529" s="15"/>
      <c r="B529" s="35">
        <v>45021</v>
      </c>
      <c r="C529" s="14">
        <v>445</v>
      </c>
      <c r="D529" s="85" t="s">
        <v>3951</v>
      </c>
      <c r="E529" s="61" t="s">
        <v>72</v>
      </c>
      <c r="F529" s="74" t="s">
        <v>13</v>
      </c>
      <c r="G529" s="17" t="s">
        <v>1805</v>
      </c>
      <c r="H529" s="17" t="s">
        <v>1787</v>
      </c>
      <c r="I529" s="145" t="s">
        <v>39</v>
      </c>
      <c r="J529" s="17" t="s">
        <v>26</v>
      </c>
      <c r="K529" s="14" t="s">
        <v>1384</v>
      </c>
      <c r="L529" s="14" t="s">
        <v>2</v>
      </c>
      <c r="M529" s="37">
        <v>8110437948</v>
      </c>
      <c r="N529" s="38">
        <v>868166054736046</v>
      </c>
      <c r="O529" s="16" t="s">
        <v>39</v>
      </c>
      <c r="P529" s="17" t="s">
        <v>73</v>
      </c>
      <c r="Q529" s="17" t="s">
        <v>4174</v>
      </c>
      <c r="R529" s="41">
        <v>1999.84</v>
      </c>
      <c r="S529" s="19" t="s">
        <v>3584</v>
      </c>
      <c r="T529" s="42"/>
      <c r="U529" s="43"/>
      <c r="V529" s="15" t="s">
        <v>1004</v>
      </c>
      <c r="W529" s="15"/>
    </row>
    <row r="530" spans="1:23" s="34" customFormat="1" ht="29" x14ac:dyDescent="0.35">
      <c r="A530" s="15"/>
      <c r="B530" s="35">
        <v>45021</v>
      </c>
      <c r="C530" s="14">
        <v>446</v>
      </c>
      <c r="D530" s="85" t="s">
        <v>3952</v>
      </c>
      <c r="E530" s="61" t="s">
        <v>72</v>
      </c>
      <c r="F530" s="74" t="s">
        <v>13</v>
      </c>
      <c r="G530" s="14" t="s">
        <v>5</v>
      </c>
      <c r="H530" s="14" t="s">
        <v>4231</v>
      </c>
      <c r="I530" s="144">
        <v>0.66666666666666663</v>
      </c>
      <c r="J530" s="14" t="s">
        <v>78</v>
      </c>
      <c r="K530" s="14" t="s">
        <v>1385</v>
      </c>
      <c r="L530" s="14" t="s">
        <v>2</v>
      </c>
      <c r="M530" s="37">
        <v>8119164212</v>
      </c>
      <c r="N530" s="38">
        <v>868166054737259</v>
      </c>
      <c r="O530" s="16" t="s">
        <v>70</v>
      </c>
      <c r="P530" s="17" t="s">
        <v>39</v>
      </c>
      <c r="Q530" s="17" t="s">
        <v>4174</v>
      </c>
      <c r="R530" s="41">
        <v>1999.84</v>
      </c>
      <c r="S530" s="19" t="s">
        <v>3584</v>
      </c>
      <c r="T530" s="42"/>
      <c r="U530" s="43"/>
      <c r="V530" s="44"/>
      <c r="W530" s="15"/>
    </row>
    <row r="531" spans="1:23" s="34" customFormat="1" ht="29" x14ac:dyDescent="0.35">
      <c r="A531" s="15"/>
      <c r="B531" s="35">
        <v>45028</v>
      </c>
      <c r="C531" s="14">
        <v>447</v>
      </c>
      <c r="D531" s="124" t="s">
        <v>3590</v>
      </c>
      <c r="E531" s="61" t="s">
        <v>69</v>
      </c>
      <c r="F531" s="74" t="s">
        <v>13</v>
      </c>
      <c r="G531" s="14" t="s">
        <v>21</v>
      </c>
      <c r="H531" s="14" t="s">
        <v>1786</v>
      </c>
      <c r="I531" s="144" t="s">
        <v>39</v>
      </c>
      <c r="J531" s="14" t="s">
        <v>68</v>
      </c>
      <c r="K531" s="14" t="s">
        <v>1386</v>
      </c>
      <c r="L531" s="14" t="s">
        <v>2</v>
      </c>
      <c r="M531" s="37">
        <v>8110444237</v>
      </c>
      <c r="N531" s="38">
        <v>868166054736327</v>
      </c>
      <c r="O531" s="38" t="s">
        <v>3595</v>
      </c>
      <c r="P531" s="14" t="s">
        <v>3594</v>
      </c>
      <c r="Q531" s="17" t="s">
        <v>2559</v>
      </c>
      <c r="R531" s="41">
        <v>1999.84</v>
      </c>
      <c r="S531" s="19" t="s">
        <v>3584</v>
      </c>
      <c r="T531" s="42"/>
      <c r="U531" s="43"/>
      <c r="V531" s="15" t="s">
        <v>1004</v>
      </c>
      <c r="W531" s="15"/>
    </row>
    <row r="532" spans="1:23" s="34" customFormat="1" ht="29" x14ac:dyDescent="0.35">
      <c r="A532" s="15"/>
      <c r="B532" s="35">
        <v>45030</v>
      </c>
      <c r="C532" s="14">
        <v>448</v>
      </c>
      <c r="D532" s="124" t="s">
        <v>3591</v>
      </c>
      <c r="E532" s="61" t="s">
        <v>66</v>
      </c>
      <c r="F532" s="74" t="s">
        <v>13</v>
      </c>
      <c r="G532" s="17" t="s">
        <v>1805</v>
      </c>
      <c r="H532" s="14" t="s">
        <v>1767</v>
      </c>
      <c r="I532" s="144" t="s">
        <v>39</v>
      </c>
      <c r="J532" s="17" t="s">
        <v>3610</v>
      </c>
      <c r="K532" s="14" t="s">
        <v>1387</v>
      </c>
      <c r="L532" s="14" t="s">
        <v>2</v>
      </c>
      <c r="M532" s="37">
        <v>8182596676</v>
      </c>
      <c r="N532" s="38">
        <v>868166053311452</v>
      </c>
      <c r="O532" s="38" t="s">
        <v>39</v>
      </c>
      <c r="P532" s="14" t="s">
        <v>67</v>
      </c>
      <c r="Q532" s="17" t="s">
        <v>2559</v>
      </c>
      <c r="R532" s="41">
        <v>1999.84</v>
      </c>
      <c r="S532" s="19" t="s">
        <v>3584</v>
      </c>
      <c r="T532" s="42"/>
      <c r="U532" s="43"/>
      <c r="V532" s="15" t="s">
        <v>1004</v>
      </c>
      <c r="W532" s="15"/>
    </row>
    <row r="533" spans="1:23" s="34" customFormat="1" ht="29" x14ac:dyDescent="0.35">
      <c r="A533" s="15"/>
      <c r="B533" s="35">
        <v>45030</v>
      </c>
      <c r="C533" s="14">
        <v>449</v>
      </c>
      <c r="D533" s="124" t="s">
        <v>3596</v>
      </c>
      <c r="E533" s="61" t="s">
        <v>66</v>
      </c>
      <c r="F533" s="74" t="s">
        <v>13</v>
      </c>
      <c r="G533" s="17" t="s">
        <v>1805</v>
      </c>
      <c r="H533" s="14" t="s">
        <v>1767</v>
      </c>
      <c r="I533" s="144" t="s">
        <v>39</v>
      </c>
      <c r="J533" s="17" t="s">
        <v>3611</v>
      </c>
      <c r="K533" s="14" t="s">
        <v>1388</v>
      </c>
      <c r="L533" s="14" t="s">
        <v>50</v>
      </c>
      <c r="M533" s="37">
        <v>8120013127</v>
      </c>
      <c r="N533" s="37">
        <v>359857084508654</v>
      </c>
      <c r="O533" s="37" t="s">
        <v>39</v>
      </c>
      <c r="P533" s="14" t="s">
        <v>65</v>
      </c>
      <c r="Q533" s="17" t="s">
        <v>2559</v>
      </c>
      <c r="R533" s="41">
        <v>1999.84</v>
      </c>
      <c r="S533" s="19" t="s">
        <v>3584</v>
      </c>
      <c r="T533" s="42"/>
      <c r="U533" s="43"/>
      <c r="V533" s="15" t="s">
        <v>1004</v>
      </c>
      <c r="W533" s="15"/>
    </row>
    <row r="534" spans="1:23" s="34" customFormat="1" ht="29" x14ac:dyDescent="0.35">
      <c r="A534" s="15"/>
      <c r="B534" s="35">
        <v>45035</v>
      </c>
      <c r="C534" s="14">
        <v>450</v>
      </c>
      <c r="D534" s="39" t="s">
        <v>39</v>
      </c>
      <c r="E534" s="62" t="s">
        <v>41</v>
      </c>
      <c r="F534" s="39" t="s">
        <v>40</v>
      </c>
      <c r="G534" s="14" t="s">
        <v>21</v>
      </c>
      <c r="H534" s="14" t="s">
        <v>1786</v>
      </c>
      <c r="I534" s="144"/>
      <c r="J534" s="14" t="s">
        <v>64</v>
      </c>
      <c r="K534" s="14" t="s">
        <v>63</v>
      </c>
      <c r="L534" s="14"/>
      <c r="M534" s="37" t="s">
        <v>39</v>
      </c>
      <c r="N534" s="37" t="s">
        <v>39</v>
      </c>
      <c r="O534" s="37"/>
      <c r="P534" s="14" t="s">
        <v>39</v>
      </c>
      <c r="Q534" s="94" t="s">
        <v>62</v>
      </c>
      <c r="R534" s="41">
        <v>290</v>
      </c>
      <c r="S534" s="41" t="s">
        <v>40</v>
      </c>
      <c r="T534" s="42"/>
      <c r="U534" s="43"/>
      <c r="V534" s="15"/>
      <c r="W534" s="15"/>
    </row>
    <row r="535" spans="1:23" s="34" customFormat="1" ht="43.5" x14ac:dyDescent="0.35">
      <c r="A535" s="15"/>
      <c r="B535" s="35">
        <v>45038</v>
      </c>
      <c r="C535" s="14">
        <v>451</v>
      </c>
      <c r="D535" s="39" t="s">
        <v>39</v>
      </c>
      <c r="E535" s="62" t="s">
        <v>61</v>
      </c>
      <c r="F535" s="39" t="s">
        <v>40</v>
      </c>
      <c r="G535" s="14" t="s">
        <v>5</v>
      </c>
      <c r="H535" s="14" t="s">
        <v>11</v>
      </c>
      <c r="I535" s="144"/>
      <c r="J535" s="14" t="s">
        <v>60</v>
      </c>
      <c r="K535" s="14" t="s">
        <v>59</v>
      </c>
      <c r="L535" s="14" t="s">
        <v>2</v>
      </c>
      <c r="M535" s="37" t="s">
        <v>39</v>
      </c>
      <c r="N535" s="37" t="s">
        <v>39</v>
      </c>
      <c r="O535" s="37"/>
      <c r="P535" s="14" t="s">
        <v>39</v>
      </c>
      <c r="Q535" s="14" t="s">
        <v>58</v>
      </c>
      <c r="R535" s="41">
        <v>0</v>
      </c>
      <c r="S535" s="41" t="s">
        <v>40</v>
      </c>
      <c r="T535" s="42"/>
      <c r="U535" s="43"/>
      <c r="V535" s="15"/>
      <c r="W535" s="15"/>
    </row>
    <row r="536" spans="1:23" s="34" customFormat="1" ht="29" x14ac:dyDescent="0.35">
      <c r="A536" s="15"/>
      <c r="B536" s="35">
        <v>45038</v>
      </c>
      <c r="C536" s="14">
        <v>452</v>
      </c>
      <c r="D536" s="85" t="s">
        <v>2592</v>
      </c>
      <c r="E536" s="61" t="s">
        <v>57</v>
      </c>
      <c r="F536" s="74" t="s">
        <v>13</v>
      </c>
      <c r="G536" s="14" t="s">
        <v>5</v>
      </c>
      <c r="H536" s="14" t="s">
        <v>3299</v>
      </c>
      <c r="I536" s="144" t="s">
        <v>3300</v>
      </c>
      <c r="J536" s="14" t="s">
        <v>3301</v>
      </c>
      <c r="K536" s="14" t="s">
        <v>1389</v>
      </c>
      <c r="L536" s="14" t="s">
        <v>2</v>
      </c>
      <c r="M536" s="37">
        <v>8110449454</v>
      </c>
      <c r="N536" s="37">
        <v>868166054447636</v>
      </c>
      <c r="O536" s="37" t="s">
        <v>3298</v>
      </c>
      <c r="P536" s="14" t="s">
        <v>3302</v>
      </c>
      <c r="Q536" s="17" t="s">
        <v>2559</v>
      </c>
      <c r="R536" s="41">
        <v>1999.84</v>
      </c>
      <c r="S536" s="19" t="s">
        <v>2560</v>
      </c>
      <c r="T536" s="42"/>
      <c r="U536" s="43"/>
      <c r="V536" s="44">
        <v>45219.278680555559</v>
      </c>
      <c r="W536" s="15"/>
    </row>
    <row r="537" spans="1:23" s="34" customFormat="1" ht="43.5" x14ac:dyDescent="0.35">
      <c r="A537" s="15"/>
      <c r="B537" s="35">
        <v>45038</v>
      </c>
      <c r="C537" s="14">
        <v>453</v>
      </c>
      <c r="D537" s="39" t="s">
        <v>39</v>
      </c>
      <c r="E537" s="62" t="s">
        <v>56</v>
      </c>
      <c r="F537" s="39" t="s">
        <v>40</v>
      </c>
      <c r="G537" s="14" t="s">
        <v>5</v>
      </c>
      <c r="H537" s="14" t="s">
        <v>11</v>
      </c>
      <c r="I537" s="144"/>
      <c r="J537" s="14" t="s">
        <v>55</v>
      </c>
      <c r="K537" s="14" t="s">
        <v>54</v>
      </c>
      <c r="L537" s="14" t="s">
        <v>2</v>
      </c>
      <c r="M537" s="37" t="s">
        <v>39</v>
      </c>
      <c r="N537" s="37" t="s">
        <v>39</v>
      </c>
      <c r="O537" s="37"/>
      <c r="P537" s="14" t="s">
        <v>39</v>
      </c>
      <c r="Q537" s="14" t="s">
        <v>53</v>
      </c>
      <c r="R537" s="41">
        <v>290</v>
      </c>
      <c r="S537" s="41" t="s">
        <v>40</v>
      </c>
      <c r="T537" s="42"/>
      <c r="U537" s="43"/>
      <c r="V537" s="15"/>
      <c r="W537" s="15"/>
    </row>
    <row r="538" spans="1:23" s="34" customFormat="1" ht="29" x14ac:dyDescent="0.35">
      <c r="A538" s="15"/>
      <c r="B538" s="35">
        <v>45040</v>
      </c>
      <c r="C538" s="14">
        <v>454</v>
      </c>
      <c r="D538" s="124" t="s">
        <v>3597</v>
      </c>
      <c r="E538" s="61" t="s">
        <v>52</v>
      </c>
      <c r="F538" s="74" t="s">
        <v>13</v>
      </c>
      <c r="G538" s="14" t="s">
        <v>39</v>
      </c>
      <c r="H538" s="14" t="s">
        <v>1767</v>
      </c>
      <c r="I538" s="144">
        <v>0.58333333333333337</v>
      </c>
      <c r="J538" s="17" t="s">
        <v>3612</v>
      </c>
      <c r="K538" s="14" t="s">
        <v>1390</v>
      </c>
      <c r="L538" s="14" t="s">
        <v>50</v>
      </c>
      <c r="M538" s="37">
        <v>8124083094</v>
      </c>
      <c r="N538" s="37">
        <v>860896052192846</v>
      </c>
      <c r="O538" s="37" t="s">
        <v>39</v>
      </c>
      <c r="P538" s="14" t="s">
        <v>49</v>
      </c>
      <c r="Q538" s="17" t="s">
        <v>2559</v>
      </c>
      <c r="R538" s="41">
        <v>1999.84</v>
      </c>
      <c r="S538" s="19" t="s">
        <v>3584</v>
      </c>
      <c r="T538" s="42"/>
      <c r="U538" s="43"/>
      <c r="V538" s="15" t="s">
        <v>1022</v>
      </c>
      <c r="W538" s="15"/>
    </row>
    <row r="539" spans="1:23" s="34" customFormat="1" ht="29" x14ac:dyDescent="0.35">
      <c r="A539" s="15"/>
      <c r="B539" s="35">
        <v>45049</v>
      </c>
      <c r="C539" s="14">
        <v>455</v>
      </c>
      <c r="D539" s="85" t="s">
        <v>3953</v>
      </c>
      <c r="E539" s="61" t="s">
        <v>48</v>
      </c>
      <c r="F539" s="74" t="s">
        <v>13</v>
      </c>
      <c r="G539" s="17" t="s">
        <v>1805</v>
      </c>
      <c r="H539" s="14" t="s">
        <v>1767</v>
      </c>
      <c r="I539" s="144">
        <v>0.41666666666666669</v>
      </c>
      <c r="J539" s="17" t="s">
        <v>26</v>
      </c>
      <c r="K539" s="14" t="s">
        <v>1391</v>
      </c>
      <c r="L539" s="14" t="s">
        <v>2</v>
      </c>
      <c r="M539" s="37">
        <v>8124079588</v>
      </c>
      <c r="N539" s="37">
        <v>868166054737531</v>
      </c>
      <c r="O539" s="16" t="s">
        <v>39</v>
      </c>
      <c r="P539" s="17" t="s">
        <v>47</v>
      </c>
      <c r="Q539" s="17" t="s">
        <v>4174</v>
      </c>
      <c r="R539" s="41">
        <v>1999.84</v>
      </c>
      <c r="S539" s="19" t="s">
        <v>3584</v>
      </c>
      <c r="T539" s="42"/>
      <c r="U539" s="43"/>
      <c r="V539" s="15" t="s">
        <v>1022</v>
      </c>
      <c r="W539" s="15"/>
    </row>
    <row r="540" spans="1:23" s="34" customFormat="1" ht="29" x14ac:dyDescent="0.35">
      <c r="A540" s="15"/>
      <c r="B540" s="35">
        <v>45050</v>
      </c>
      <c r="C540" s="14">
        <v>456</v>
      </c>
      <c r="D540" s="124" t="s">
        <v>3598</v>
      </c>
      <c r="E540" s="61" t="s">
        <v>46</v>
      </c>
      <c r="F540" s="74" t="s">
        <v>13</v>
      </c>
      <c r="G540" s="17" t="s">
        <v>1805</v>
      </c>
      <c r="H540" s="17" t="s">
        <v>1787</v>
      </c>
      <c r="I540" s="145">
        <v>0.41666666666666669</v>
      </c>
      <c r="J540" s="17" t="s">
        <v>3613</v>
      </c>
      <c r="K540" s="14" t="s">
        <v>1392</v>
      </c>
      <c r="L540" s="14" t="s">
        <v>2</v>
      </c>
      <c r="M540" s="37">
        <v>8120107545</v>
      </c>
      <c r="N540" s="37">
        <v>868166053038808</v>
      </c>
      <c r="O540" s="37" t="s">
        <v>3608</v>
      </c>
      <c r="P540" s="14" t="s">
        <v>3607</v>
      </c>
      <c r="Q540" s="17" t="s">
        <v>2559</v>
      </c>
      <c r="R540" s="41">
        <v>1999.84</v>
      </c>
      <c r="S540" s="19" t="s">
        <v>3584</v>
      </c>
      <c r="T540" s="42"/>
      <c r="U540" s="43"/>
      <c r="V540" s="15" t="s">
        <v>1022</v>
      </c>
      <c r="W540" s="15"/>
    </row>
    <row r="541" spans="1:23" s="34" customFormat="1" ht="29" x14ac:dyDescent="0.35">
      <c r="A541" s="15"/>
      <c r="B541" s="35">
        <v>45051</v>
      </c>
      <c r="C541" s="14">
        <v>457</v>
      </c>
      <c r="D541" s="85" t="s">
        <v>3954</v>
      </c>
      <c r="E541" s="61" t="s">
        <v>45</v>
      </c>
      <c r="F541" s="74" t="s">
        <v>13</v>
      </c>
      <c r="G541" s="14" t="s">
        <v>5</v>
      </c>
      <c r="H541" s="14" t="s">
        <v>4232</v>
      </c>
      <c r="I541" s="144">
        <v>0.54166666666666663</v>
      </c>
      <c r="J541" s="14" t="s">
        <v>4233</v>
      </c>
      <c r="K541" s="14" t="s">
        <v>1393</v>
      </c>
      <c r="L541" s="14" t="s">
        <v>2</v>
      </c>
      <c r="M541" s="37">
        <v>8115777686</v>
      </c>
      <c r="N541" s="37">
        <v>869220041115951</v>
      </c>
      <c r="O541" s="37" t="s">
        <v>3956</v>
      </c>
      <c r="P541" s="14" t="s">
        <v>3955</v>
      </c>
      <c r="Q541" s="17" t="s">
        <v>4174</v>
      </c>
      <c r="R541" s="41">
        <v>1999.84</v>
      </c>
      <c r="S541" s="19" t="s">
        <v>3584</v>
      </c>
      <c r="T541" s="42"/>
      <c r="U541" s="43"/>
      <c r="V541" s="44">
        <v>45216.00984953704</v>
      </c>
      <c r="W541" s="15"/>
    </row>
    <row r="542" spans="1:23" s="34" customFormat="1" ht="29" x14ac:dyDescent="0.35">
      <c r="A542" s="15"/>
      <c r="B542" s="35">
        <v>45054</v>
      </c>
      <c r="C542" s="14">
        <v>458</v>
      </c>
      <c r="D542" s="39" t="s">
        <v>39</v>
      </c>
      <c r="E542" s="62" t="s">
        <v>848</v>
      </c>
      <c r="F542" s="39" t="s">
        <v>40</v>
      </c>
      <c r="G542" s="17" t="s">
        <v>1805</v>
      </c>
      <c r="H542" s="14" t="s">
        <v>11</v>
      </c>
      <c r="I542" s="144"/>
      <c r="J542" s="14" t="s">
        <v>849</v>
      </c>
      <c r="K542" s="14" t="s">
        <v>850</v>
      </c>
      <c r="L542" s="14" t="s">
        <v>2</v>
      </c>
      <c r="M542" s="37" t="s">
        <v>39</v>
      </c>
      <c r="N542" s="37" t="s">
        <v>39</v>
      </c>
      <c r="O542" s="37"/>
      <c r="P542" s="14" t="s">
        <v>851</v>
      </c>
      <c r="Q542" s="14" t="s">
        <v>852</v>
      </c>
      <c r="R542" s="41">
        <v>1000</v>
      </c>
      <c r="S542" s="41" t="s">
        <v>40</v>
      </c>
      <c r="T542" s="42"/>
      <c r="U542" s="43"/>
      <c r="V542" s="15"/>
      <c r="W542" s="15" t="s">
        <v>1394</v>
      </c>
    </row>
    <row r="543" spans="1:23" s="34" customFormat="1" ht="29" x14ac:dyDescent="0.35">
      <c r="A543" s="15"/>
      <c r="B543" s="35">
        <v>45056</v>
      </c>
      <c r="C543" s="14">
        <v>459</v>
      </c>
      <c r="D543" s="138" t="s">
        <v>4434</v>
      </c>
      <c r="E543" s="61" t="s">
        <v>44</v>
      </c>
      <c r="F543" s="74" t="s">
        <v>13</v>
      </c>
      <c r="G543" s="17" t="s">
        <v>1805</v>
      </c>
      <c r="H543" s="14" t="s">
        <v>1767</v>
      </c>
      <c r="I543" s="144" t="s">
        <v>4097</v>
      </c>
      <c r="J543" s="135" t="s">
        <v>4442</v>
      </c>
      <c r="K543" s="14" t="s">
        <v>1395</v>
      </c>
      <c r="L543" s="14" t="s">
        <v>2</v>
      </c>
      <c r="M543" s="37">
        <v>8126221220</v>
      </c>
      <c r="N543" s="37">
        <v>868166052723764</v>
      </c>
      <c r="O543" s="37" t="s">
        <v>39</v>
      </c>
      <c r="P543" s="14" t="s">
        <v>854</v>
      </c>
      <c r="Q543" s="17" t="s">
        <v>2559</v>
      </c>
      <c r="R543" s="41">
        <v>1999.84</v>
      </c>
      <c r="S543" s="19" t="s">
        <v>4438</v>
      </c>
      <c r="T543" s="42"/>
      <c r="U543" s="43"/>
      <c r="V543" s="15" t="s">
        <v>1022</v>
      </c>
      <c r="W543" s="15"/>
    </row>
    <row r="544" spans="1:23" s="34" customFormat="1" ht="29" x14ac:dyDescent="0.35">
      <c r="A544" s="15"/>
      <c r="B544" s="35">
        <v>45057</v>
      </c>
      <c r="C544" s="14">
        <v>460</v>
      </c>
      <c r="D544" s="85" t="s">
        <v>5238</v>
      </c>
      <c r="E544" s="61" t="s">
        <v>43</v>
      </c>
      <c r="F544" s="74" t="s">
        <v>13</v>
      </c>
      <c r="G544" s="14" t="s">
        <v>5</v>
      </c>
      <c r="H544" s="14" t="s">
        <v>11</v>
      </c>
      <c r="I544" s="144" t="s">
        <v>5085</v>
      </c>
      <c r="J544" s="14" t="s">
        <v>5246</v>
      </c>
      <c r="K544" s="14" t="s">
        <v>1396</v>
      </c>
      <c r="L544" s="14" t="s">
        <v>2</v>
      </c>
      <c r="M544" s="37">
        <v>8110454204</v>
      </c>
      <c r="N544" s="37">
        <v>869220041114731</v>
      </c>
      <c r="O544" s="37" t="s">
        <v>39</v>
      </c>
      <c r="P544" s="14" t="s">
        <v>42</v>
      </c>
      <c r="Q544" s="14" t="s">
        <v>8</v>
      </c>
      <c r="R544" s="41">
        <v>1999.84</v>
      </c>
      <c r="S544" s="19" t="s">
        <v>5240</v>
      </c>
      <c r="T544" s="42"/>
      <c r="U544" s="43"/>
      <c r="V544" s="15"/>
      <c r="W544" s="15"/>
    </row>
    <row r="545" spans="1:23" s="34" customFormat="1" ht="43.5" x14ac:dyDescent="0.35">
      <c r="A545" s="15"/>
      <c r="B545" s="35">
        <v>45058</v>
      </c>
      <c r="C545" s="14">
        <v>461</v>
      </c>
      <c r="D545" s="39" t="s">
        <v>39</v>
      </c>
      <c r="E545" s="62" t="s">
        <v>41</v>
      </c>
      <c r="F545" s="39" t="s">
        <v>40</v>
      </c>
      <c r="G545" s="14" t="s">
        <v>5</v>
      </c>
      <c r="H545" s="14" t="s">
        <v>11</v>
      </c>
      <c r="I545" s="144"/>
      <c r="J545" s="14" t="s">
        <v>31</v>
      </c>
      <c r="K545" s="14" t="s">
        <v>30</v>
      </c>
      <c r="L545" s="14" t="s">
        <v>2</v>
      </c>
      <c r="M545" s="37" t="s">
        <v>39</v>
      </c>
      <c r="N545" s="37" t="s">
        <v>39</v>
      </c>
      <c r="O545" s="37"/>
      <c r="P545" s="14" t="s">
        <v>39</v>
      </c>
      <c r="Q545" s="14" t="s">
        <v>38</v>
      </c>
      <c r="R545" s="41">
        <v>290</v>
      </c>
      <c r="S545" s="41" t="s">
        <v>40</v>
      </c>
      <c r="T545" s="42"/>
      <c r="U545" s="43"/>
      <c r="V545" s="15"/>
      <c r="W545" s="15"/>
    </row>
    <row r="546" spans="1:23" s="34" customFormat="1" ht="43.5" x14ac:dyDescent="0.35">
      <c r="A546" s="15"/>
      <c r="B546" s="35">
        <v>45058</v>
      </c>
      <c r="C546" s="14">
        <v>462</v>
      </c>
      <c r="D546" s="39">
        <v>442</v>
      </c>
      <c r="E546" s="61" t="s">
        <v>37</v>
      </c>
      <c r="F546" s="74" t="s">
        <v>36</v>
      </c>
      <c r="G546" s="14" t="s">
        <v>5</v>
      </c>
      <c r="H546" s="14" t="s">
        <v>11</v>
      </c>
      <c r="I546" s="144"/>
      <c r="J546" s="14" t="s">
        <v>35</v>
      </c>
      <c r="K546" s="58" t="s">
        <v>1323</v>
      </c>
      <c r="L546" s="14" t="s">
        <v>2</v>
      </c>
      <c r="M546" s="37">
        <v>8120395632</v>
      </c>
      <c r="N546" s="38">
        <v>869220040534160</v>
      </c>
      <c r="O546" s="38"/>
      <c r="P546" s="14" t="s">
        <v>34</v>
      </c>
      <c r="Q546" s="14" t="s">
        <v>33</v>
      </c>
      <c r="R546" s="40">
        <v>522</v>
      </c>
      <c r="S546" s="41">
        <v>0</v>
      </c>
      <c r="T546" s="42"/>
      <c r="U546" s="43"/>
      <c r="V546" s="15"/>
      <c r="W546" s="15"/>
    </row>
    <row r="547" spans="1:23" s="34" customFormat="1" ht="29" x14ac:dyDescent="0.35">
      <c r="A547" s="15"/>
      <c r="B547" s="35">
        <v>45061</v>
      </c>
      <c r="C547" s="14">
        <v>463</v>
      </c>
      <c r="D547" s="85" t="s">
        <v>3957</v>
      </c>
      <c r="E547" s="61" t="s">
        <v>32</v>
      </c>
      <c r="F547" s="74" t="s">
        <v>13</v>
      </c>
      <c r="G547" s="14" t="s">
        <v>5</v>
      </c>
      <c r="H547" s="14" t="s">
        <v>4235</v>
      </c>
      <c r="I547" s="144">
        <v>0.5625</v>
      </c>
      <c r="J547" s="14" t="s">
        <v>4234</v>
      </c>
      <c r="K547" s="14" t="s">
        <v>1397</v>
      </c>
      <c r="L547" s="14" t="s">
        <v>2</v>
      </c>
      <c r="M547" s="37">
        <v>8135518624</v>
      </c>
      <c r="N547" s="38">
        <v>869220041114244</v>
      </c>
      <c r="O547" s="38" t="s">
        <v>3959</v>
      </c>
      <c r="P547" s="14" t="s">
        <v>3958</v>
      </c>
      <c r="Q547" s="17" t="s">
        <v>4174</v>
      </c>
      <c r="R547" s="40">
        <v>1999.84</v>
      </c>
      <c r="S547" s="19" t="s">
        <v>3584</v>
      </c>
      <c r="T547" s="42"/>
      <c r="U547" s="43"/>
      <c r="V547" s="15"/>
      <c r="W547" s="15"/>
    </row>
    <row r="548" spans="1:23" s="34" customFormat="1" ht="29" x14ac:dyDescent="0.35">
      <c r="A548" s="15"/>
      <c r="B548" s="35">
        <v>45064</v>
      </c>
      <c r="C548" s="14">
        <v>464</v>
      </c>
      <c r="D548" s="74" t="s">
        <v>2827</v>
      </c>
      <c r="E548" s="14" t="s">
        <v>29</v>
      </c>
      <c r="F548" s="74" t="s">
        <v>6</v>
      </c>
      <c r="G548" s="14" t="s">
        <v>5</v>
      </c>
      <c r="H548" s="14" t="s">
        <v>17</v>
      </c>
      <c r="I548" s="144"/>
      <c r="J548" s="14" t="s">
        <v>2830</v>
      </c>
      <c r="K548" s="14" t="s">
        <v>1175</v>
      </c>
      <c r="L548" s="14" t="s">
        <v>2</v>
      </c>
      <c r="M548" s="37">
        <v>8135518610</v>
      </c>
      <c r="N548" s="38">
        <v>865011033830275</v>
      </c>
      <c r="O548" s="38"/>
      <c r="P548" s="14" t="s">
        <v>2829</v>
      </c>
      <c r="Q548" s="14" t="s">
        <v>28</v>
      </c>
      <c r="R548" s="40">
        <v>754</v>
      </c>
      <c r="S548" s="41" t="s">
        <v>2831</v>
      </c>
      <c r="T548" s="42"/>
      <c r="U548" s="43"/>
      <c r="V548" s="15"/>
      <c r="W548" s="15"/>
    </row>
    <row r="549" spans="1:23" s="34" customFormat="1" ht="29" x14ac:dyDescent="0.35">
      <c r="A549" s="15"/>
      <c r="B549" s="35">
        <v>45064</v>
      </c>
      <c r="C549" s="14">
        <v>465</v>
      </c>
      <c r="D549" s="85" t="s">
        <v>3961</v>
      </c>
      <c r="E549" s="14" t="s">
        <v>27</v>
      </c>
      <c r="F549" s="74" t="s">
        <v>13</v>
      </c>
      <c r="G549" s="17" t="s">
        <v>1805</v>
      </c>
      <c r="H549" s="14" t="s">
        <v>1767</v>
      </c>
      <c r="I549" s="145" t="s">
        <v>39</v>
      </c>
      <c r="J549" s="17" t="s">
        <v>26</v>
      </c>
      <c r="K549" s="14" t="s">
        <v>1398</v>
      </c>
      <c r="L549" s="14" t="s">
        <v>2</v>
      </c>
      <c r="M549" s="37">
        <v>8128601956</v>
      </c>
      <c r="N549" s="38">
        <v>869220041115159</v>
      </c>
      <c r="O549" s="16" t="s">
        <v>25</v>
      </c>
      <c r="P549" s="17" t="s">
        <v>39</v>
      </c>
      <c r="Q549" s="17" t="s">
        <v>4174</v>
      </c>
      <c r="R549" s="40">
        <v>1999.84</v>
      </c>
      <c r="S549" s="19" t="s">
        <v>3584</v>
      </c>
      <c r="T549" s="42"/>
      <c r="U549" s="43"/>
      <c r="V549" s="15" t="s">
        <v>1022</v>
      </c>
      <c r="W549" s="15"/>
    </row>
    <row r="550" spans="1:23" s="34" customFormat="1" ht="29" x14ac:dyDescent="0.35">
      <c r="A550" s="15"/>
      <c r="B550" s="35">
        <v>45068</v>
      </c>
      <c r="C550" s="14">
        <v>466</v>
      </c>
      <c r="D550" s="36" t="s">
        <v>2433</v>
      </c>
      <c r="E550" s="85" t="s">
        <v>2425</v>
      </c>
      <c r="F550" s="74" t="s">
        <v>13</v>
      </c>
      <c r="G550" s="17" t="s">
        <v>1805</v>
      </c>
      <c r="H550" s="14" t="s">
        <v>1767</v>
      </c>
      <c r="I550" s="144"/>
      <c r="J550" s="14" t="s">
        <v>24</v>
      </c>
      <c r="K550" s="14" t="s">
        <v>1399</v>
      </c>
      <c r="L550" s="14" t="s">
        <v>2</v>
      </c>
      <c r="M550" s="37">
        <v>8182554777</v>
      </c>
      <c r="N550" s="37">
        <v>868166053312070</v>
      </c>
      <c r="O550" s="37"/>
      <c r="P550" s="14" t="s">
        <v>23</v>
      </c>
      <c r="Q550" s="14" t="s">
        <v>8</v>
      </c>
      <c r="R550" s="40">
        <v>1999.84</v>
      </c>
      <c r="S550" s="19" t="s">
        <v>2434</v>
      </c>
      <c r="T550" s="42"/>
      <c r="U550" s="43"/>
      <c r="V550" s="15" t="s">
        <v>2362</v>
      </c>
      <c r="W550" s="15"/>
    </row>
    <row r="551" spans="1:23" s="34" customFormat="1" ht="29" x14ac:dyDescent="0.35">
      <c r="A551" s="15"/>
      <c r="B551" s="35">
        <v>45070</v>
      </c>
      <c r="C551" s="14">
        <v>467</v>
      </c>
      <c r="D551" s="36" t="s">
        <v>2264</v>
      </c>
      <c r="E551" s="14" t="s">
        <v>845</v>
      </c>
      <c r="F551" s="74" t="s">
        <v>13</v>
      </c>
      <c r="G551" s="14" t="s">
        <v>21</v>
      </c>
      <c r="H551" s="14" t="s">
        <v>1786</v>
      </c>
      <c r="I551" s="144"/>
      <c r="J551" s="14" t="s">
        <v>844</v>
      </c>
      <c r="K551" s="14" t="s">
        <v>1400</v>
      </c>
      <c r="L551" s="14" t="s">
        <v>2</v>
      </c>
      <c r="M551" s="37">
        <v>8135518599</v>
      </c>
      <c r="N551" s="37">
        <v>869220041115027</v>
      </c>
      <c r="O551" s="37"/>
      <c r="P551" s="14" t="s">
        <v>846</v>
      </c>
      <c r="Q551" s="14" t="s">
        <v>8</v>
      </c>
      <c r="R551" s="40">
        <v>1999.84</v>
      </c>
      <c r="S551" s="19" t="s">
        <v>2200</v>
      </c>
      <c r="T551" s="42"/>
      <c r="U551" s="43"/>
      <c r="V551" s="15" t="s">
        <v>1022</v>
      </c>
      <c r="W551" s="15"/>
    </row>
    <row r="552" spans="1:23" s="34" customFormat="1" ht="29" x14ac:dyDescent="0.35">
      <c r="A552" s="15"/>
      <c r="B552" s="35">
        <v>45075</v>
      </c>
      <c r="C552" s="14">
        <v>468</v>
      </c>
      <c r="D552" s="90" t="s">
        <v>4435</v>
      </c>
      <c r="E552" s="14" t="s">
        <v>847</v>
      </c>
      <c r="F552" s="74" t="s">
        <v>13</v>
      </c>
      <c r="G552" s="14" t="s">
        <v>21</v>
      </c>
      <c r="H552" s="14" t="s">
        <v>4209</v>
      </c>
      <c r="I552" s="144" t="s">
        <v>4443</v>
      </c>
      <c r="J552" s="14" t="s">
        <v>4444</v>
      </c>
      <c r="K552" s="14" t="s">
        <v>1401</v>
      </c>
      <c r="L552" s="14" t="s">
        <v>2</v>
      </c>
      <c r="M552" s="37">
        <v>8135516743</v>
      </c>
      <c r="N552" s="37">
        <v>868166053043501</v>
      </c>
      <c r="O552" s="37" t="s">
        <v>4446</v>
      </c>
      <c r="P552" s="14" t="s">
        <v>4445</v>
      </c>
      <c r="Q552" s="17" t="s">
        <v>2559</v>
      </c>
      <c r="R552" s="40">
        <v>1999.84</v>
      </c>
      <c r="S552" s="19" t="s">
        <v>4438</v>
      </c>
      <c r="T552" s="42"/>
      <c r="U552" s="43"/>
      <c r="V552" s="15" t="s">
        <v>1022</v>
      </c>
      <c r="W552" s="15"/>
    </row>
    <row r="553" spans="1:23" s="34" customFormat="1" ht="29" x14ac:dyDescent="0.35">
      <c r="A553" s="15"/>
      <c r="B553" s="35">
        <v>45075</v>
      </c>
      <c r="C553" s="14">
        <v>469</v>
      </c>
      <c r="D553" s="85" t="s">
        <v>3389</v>
      </c>
      <c r="E553" s="14" t="s">
        <v>847</v>
      </c>
      <c r="F553" s="74" t="s">
        <v>13</v>
      </c>
      <c r="G553" s="14" t="s">
        <v>5</v>
      </c>
      <c r="H553" s="14" t="s">
        <v>3493</v>
      </c>
      <c r="I553" s="144">
        <v>0.72916666666666663</v>
      </c>
      <c r="J553" s="14" t="s">
        <v>3494</v>
      </c>
      <c r="K553" s="14" t="s">
        <v>1402</v>
      </c>
      <c r="L553" s="14" t="s">
        <v>2</v>
      </c>
      <c r="M553" s="16">
        <v>8120013080</v>
      </c>
      <c r="N553" s="37">
        <v>350317177975178</v>
      </c>
      <c r="O553" s="16" t="s">
        <v>3447</v>
      </c>
      <c r="P553" s="17" t="s">
        <v>3446</v>
      </c>
      <c r="Q553" s="17" t="s">
        <v>2559</v>
      </c>
      <c r="R553" s="40">
        <v>1999.84</v>
      </c>
      <c r="S553" s="19" t="s">
        <v>3329</v>
      </c>
      <c r="T553" s="42"/>
      <c r="U553" s="43"/>
      <c r="V553" s="15"/>
      <c r="W553" s="15"/>
    </row>
    <row r="554" spans="1:23" s="34" customFormat="1" ht="29" x14ac:dyDescent="0.35">
      <c r="A554" s="15"/>
      <c r="B554" s="35">
        <v>45076</v>
      </c>
      <c r="C554" s="14">
        <v>470</v>
      </c>
      <c r="D554" s="85" t="s">
        <v>3390</v>
      </c>
      <c r="E554" s="14" t="s">
        <v>853</v>
      </c>
      <c r="F554" s="74" t="s">
        <v>13</v>
      </c>
      <c r="G554" s="14" t="s">
        <v>21</v>
      </c>
      <c r="H554" s="14" t="s">
        <v>3495</v>
      </c>
      <c r="I554" s="144">
        <v>0.5</v>
      </c>
      <c r="J554" s="14" t="s">
        <v>3496</v>
      </c>
      <c r="K554" s="14" t="s">
        <v>1403</v>
      </c>
      <c r="L554" s="14" t="s">
        <v>2</v>
      </c>
      <c r="M554" s="37">
        <v>8126310877</v>
      </c>
      <c r="N554" s="37">
        <v>350317173605316</v>
      </c>
      <c r="O554" s="37" t="s">
        <v>39</v>
      </c>
      <c r="P554" s="17" t="s">
        <v>3448</v>
      </c>
      <c r="Q554" s="17" t="s">
        <v>2559</v>
      </c>
      <c r="R554" s="40">
        <v>1999.84</v>
      </c>
      <c r="S554" s="19" t="s">
        <v>3329</v>
      </c>
      <c r="T554" s="42"/>
      <c r="U554" s="43"/>
      <c r="V554" s="44">
        <v>45212.700185185182</v>
      </c>
      <c r="W554" s="15"/>
    </row>
    <row r="555" spans="1:23" s="15" customFormat="1" ht="29" x14ac:dyDescent="0.35">
      <c r="A555" s="63"/>
      <c r="B555" s="35">
        <v>45078</v>
      </c>
      <c r="C555" s="14">
        <v>471</v>
      </c>
      <c r="D555" s="85" t="s">
        <v>3007</v>
      </c>
      <c r="E555" s="46" t="s">
        <v>1404</v>
      </c>
      <c r="F555" s="74" t="s">
        <v>36</v>
      </c>
      <c r="G555" s="14" t="s">
        <v>96</v>
      </c>
      <c r="H555" s="14" t="s">
        <v>3132</v>
      </c>
      <c r="I555" s="144">
        <v>0.54166666666666663</v>
      </c>
      <c r="J555" s="14" t="s">
        <v>3134</v>
      </c>
      <c r="K555" s="14" t="s">
        <v>1259</v>
      </c>
      <c r="L555" s="14" t="s">
        <v>2</v>
      </c>
      <c r="M555" s="37">
        <v>8181805917</v>
      </c>
      <c r="N555" s="38">
        <v>863756050069635</v>
      </c>
      <c r="O555" s="38" t="s">
        <v>3136</v>
      </c>
      <c r="P555" s="14" t="s">
        <v>3135</v>
      </c>
      <c r="Q555" s="94" t="s">
        <v>855</v>
      </c>
      <c r="R555" s="40">
        <v>0</v>
      </c>
      <c r="S555" s="19" t="s">
        <v>2977</v>
      </c>
      <c r="T555" s="14"/>
      <c r="U555" s="45"/>
    </row>
    <row r="556" spans="1:23" s="15" customFormat="1" ht="29" x14ac:dyDescent="0.35">
      <c r="B556" s="35">
        <v>45082</v>
      </c>
      <c r="C556" s="14">
        <v>472</v>
      </c>
      <c r="D556" s="85" t="s">
        <v>3391</v>
      </c>
      <c r="E556" s="14" t="s">
        <v>856</v>
      </c>
      <c r="F556" s="74" t="s">
        <v>13</v>
      </c>
      <c r="G556" s="14" t="s">
        <v>5</v>
      </c>
      <c r="H556" s="14" t="s">
        <v>3497</v>
      </c>
      <c r="I556" s="144">
        <v>0.5625</v>
      </c>
      <c r="J556" s="14" t="s">
        <v>3498</v>
      </c>
      <c r="K556" s="14" t="s">
        <v>1405</v>
      </c>
      <c r="L556" s="14" t="s">
        <v>2</v>
      </c>
      <c r="M556" s="37">
        <v>8182595013</v>
      </c>
      <c r="N556" s="38">
        <v>863719060460251</v>
      </c>
      <c r="O556" s="38" t="s">
        <v>39</v>
      </c>
      <c r="P556" s="14" t="s">
        <v>857</v>
      </c>
      <c r="Q556" s="17" t="s">
        <v>2559</v>
      </c>
      <c r="R556" s="40">
        <v>1999.84</v>
      </c>
      <c r="S556" s="19" t="s">
        <v>3329</v>
      </c>
      <c r="T556" s="14"/>
      <c r="U556" s="45"/>
    </row>
    <row r="557" spans="1:23" s="15" customFormat="1" ht="29" x14ac:dyDescent="0.35">
      <c r="B557" s="35">
        <v>45084</v>
      </c>
      <c r="C557" s="14">
        <v>473</v>
      </c>
      <c r="D557" s="85" t="s">
        <v>3392</v>
      </c>
      <c r="E557" s="14" t="s">
        <v>859</v>
      </c>
      <c r="F557" s="74" t="s">
        <v>13</v>
      </c>
      <c r="G557" s="17" t="s">
        <v>1805</v>
      </c>
      <c r="H557" s="17" t="s">
        <v>1787</v>
      </c>
      <c r="I557" s="145">
        <v>0.66666666666666663</v>
      </c>
      <c r="J557" s="121" t="s">
        <v>3358</v>
      </c>
      <c r="K557" s="14" t="s">
        <v>1406</v>
      </c>
      <c r="L557" s="14" t="s">
        <v>2</v>
      </c>
      <c r="M557" s="37">
        <v>8128604079</v>
      </c>
      <c r="N557" s="38">
        <v>863719060486686</v>
      </c>
      <c r="O557" s="38" t="s">
        <v>3450</v>
      </c>
      <c r="P557" s="14" t="s">
        <v>3449</v>
      </c>
      <c r="Q557" s="17" t="s">
        <v>2559</v>
      </c>
      <c r="R557" s="40">
        <v>1999.84</v>
      </c>
      <c r="S557" s="19" t="s">
        <v>3329</v>
      </c>
      <c r="T557" s="14"/>
      <c r="U557" s="45"/>
      <c r="V557" s="15" t="s">
        <v>1022</v>
      </c>
    </row>
    <row r="558" spans="1:23" s="15" customFormat="1" ht="29" x14ac:dyDescent="0.35">
      <c r="B558" s="35">
        <v>45084</v>
      </c>
      <c r="C558" s="14">
        <v>474</v>
      </c>
      <c r="D558" s="85" t="s">
        <v>3393</v>
      </c>
      <c r="E558" s="14" t="s">
        <v>859</v>
      </c>
      <c r="F558" s="74" t="s">
        <v>13</v>
      </c>
      <c r="G558" s="14" t="s">
        <v>5</v>
      </c>
      <c r="H558" s="14" t="s">
        <v>3497</v>
      </c>
      <c r="I558" s="144">
        <v>0.70833333333333337</v>
      </c>
      <c r="J558" s="14" t="s">
        <v>3499</v>
      </c>
      <c r="K558" s="14" t="s">
        <v>1407</v>
      </c>
      <c r="L558" s="14" t="s">
        <v>103</v>
      </c>
      <c r="M558" s="37">
        <v>8115777553</v>
      </c>
      <c r="N558" s="38">
        <v>863719060486769</v>
      </c>
      <c r="O558" s="38" t="s">
        <v>860</v>
      </c>
      <c r="P558" s="55" t="s">
        <v>3451</v>
      </c>
      <c r="Q558" s="17" t="s">
        <v>2559</v>
      </c>
      <c r="R558" s="40">
        <v>1999.84</v>
      </c>
      <c r="S558" s="19" t="s">
        <v>3329</v>
      </c>
      <c r="T558" s="14"/>
      <c r="U558" s="45"/>
      <c r="V558" s="15" t="s">
        <v>1022</v>
      </c>
    </row>
    <row r="559" spans="1:23" s="15" customFormat="1" ht="29" x14ac:dyDescent="0.35">
      <c r="B559" s="35">
        <v>45087</v>
      </c>
      <c r="C559" s="14">
        <v>475</v>
      </c>
      <c r="D559" s="36">
        <v>536</v>
      </c>
      <c r="E559" s="17" t="s">
        <v>1505</v>
      </c>
      <c r="F559" s="74" t="s">
        <v>13</v>
      </c>
      <c r="G559" s="14" t="s">
        <v>21</v>
      </c>
      <c r="H559" s="14" t="s">
        <v>1786</v>
      </c>
      <c r="I559" s="144"/>
      <c r="J559" s="14" t="s">
        <v>861</v>
      </c>
      <c r="K559" s="14" t="s">
        <v>1408</v>
      </c>
      <c r="L559" s="14" t="s">
        <v>2</v>
      </c>
      <c r="M559" s="37">
        <v>8115777694</v>
      </c>
      <c r="N559" s="38">
        <v>863719060486702</v>
      </c>
      <c r="O559" s="38"/>
      <c r="P559" s="14" t="s">
        <v>1516</v>
      </c>
      <c r="Q559" s="39" t="s">
        <v>1506</v>
      </c>
      <c r="R559" s="40">
        <v>1999.84</v>
      </c>
      <c r="S559" s="41" t="s">
        <v>1504</v>
      </c>
      <c r="T559" s="14"/>
      <c r="U559" s="45"/>
      <c r="V559" s="44"/>
    </row>
    <row r="560" spans="1:23" s="15" customFormat="1" ht="29" x14ac:dyDescent="0.35">
      <c r="B560" s="35">
        <v>45090</v>
      </c>
      <c r="C560" s="14">
        <v>476</v>
      </c>
      <c r="D560" s="85" t="s">
        <v>3962</v>
      </c>
      <c r="E560" s="14" t="s">
        <v>862</v>
      </c>
      <c r="F560" s="74" t="s">
        <v>13</v>
      </c>
      <c r="G560" s="17" t="s">
        <v>1805</v>
      </c>
      <c r="H560" s="14" t="s">
        <v>1767</v>
      </c>
      <c r="I560" s="144">
        <v>0.41666666666666669</v>
      </c>
      <c r="J560" s="17" t="s">
        <v>26</v>
      </c>
      <c r="K560" s="14" t="s">
        <v>1409</v>
      </c>
      <c r="L560" s="14" t="s">
        <v>2</v>
      </c>
      <c r="M560" s="37">
        <v>8128616935</v>
      </c>
      <c r="N560" s="38">
        <v>863719060357861</v>
      </c>
      <c r="O560" s="16" t="s">
        <v>39</v>
      </c>
      <c r="P560" s="17" t="s">
        <v>39</v>
      </c>
      <c r="Q560" s="17" t="s">
        <v>4174</v>
      </c>
      <c r="R560" s="40">
        <v>1999.84</v>
      </c>
      <c r="S560" s="19" t="s">
        <v>3584</v>
      </c>
      <c r="T560" s="14"/>
      <c r="U560" s="45"/>
      <c r="V560" s="15" t="s">
        <v>1022</v>
      </c>
    </row>
    <row r="561" spans="2:22" s="15" customFormat="1" ht="29" x14ac:dyDescent="0.35">
      <c r="B561" s="35">
        <v>45090</v>
      </c>
      <c r="C561" s="14">
        <v>477</v>
      </c>
      <c r="D561" s="85" t="s">
        <v>3394</v>
      </c>
      <c r="E561" s="14" t="s">
        <v>862</v>
      </c>
      <c r="F561" s="74" t="s">
        <v>13</v>
      </c>
      <c r="G561" s="17" t="s">
        <v>1805</v>
      </c>
      <c r="H561" s="17" t="s">
        <v>1787</v>
      </c>
      <c r="I561" s="145">
        <v>0.4375</v>
      </c>
      <c r="J561" s="121" t="s">
        <v>3359</v>
      </c>
      <c r="K561" s="14" t="s">
        <v>1410</v>
      </c>
      <c r="L561" s="14" t="s">
        <v>2</v>
      </c>
      <c r="M561" s="37">
        <v>8182594805</v>
      </c>
      <c r="N561" s="38">
        <v>863719060398923</v>
      </c>
      <c r="O561" s="38" t="s">
        <v>39</v>
      </c>
      <c r="P561" s="14" t="s">
        <v>863</v>
      </c>
      <c r="Q561" s="17" t="s">
        <v>2559</v>
      </c>
      <c r="R561" s="40">
        <v>1999.84</v>
      </c>
      <c r="S561" s="19" t="s">
        <v>3329</v>
      </c>
      <c r="T561" s="14"/>
      <c r="U561" s="45"/>
    </row>
    <row r="562" spans="2:22" s="15" customFormat="1" ht="29" x14ac:dyDescent="0.35">
      <c r="B562" s="35">
        <v>45094</v>
      </c>
      <c r="C562" s="14">
        <v>478</v>
      </c>
      <c r="D562" s="74" t="s">
        <v>5005</v>
      </c>
      <c r="E562" s="14" t="s">
        <v>864</v>
      </c>
      <c r="F562" s="74" t="s">
        <v>13</v>
      </c>
      <c r="G562" s="14" t="s">
        <v>21</v>
      </c>
      <c r="H562" s="14" t="s">
        <v>39</v>
      </c>
      <c r="I562" s="144" t="s">
        <v>4609</v>
      </c>
      <c r="J562" s="14" t="s">
        <v>24</v>
      </c>
      <c r="K562" s="14" t="s">
        <v>1411</v>
      </c>
      <c r="L562" s="14" t="s">
        <v>2</v>
      </c>
      <c r="M562" s="37">
        <v>8110296580</v>
      </c>
      <c r="N562" s="38">
        <v>869220041115423</v>
      </c>
      <c r="O562" s="38" t="s">
        <v>39</v>
      </c>
      <c r="P562" s="14" t="s">
        <v>865</v>
      </c>
      <c r="Q562" s="14" t="s">
        <v>8</v>
      </c>
      <c r="R562" s="40">
        <v>1999.84</v>
      </c>
      <c r="S562" s="19" t="s">
        <v>5002</v>
      </c>
      <c r="T562" s="14"/>
      <c r="U562" s="45"/>
    </row>
    <row r="563" spans="2:22" s="15" customFormat="1" ht="29" x14ac:dyDescent="0.35">
      <c r="B563" s="35">
        <v>45105</v>
      </c>
      <c r="C563" s="14">
        <v>479</v>
      </c>
      <c r="D563" s="85" t="s">
        <v>3937</v>
      </c>
      <c r="E563" s="46"/>
      <c r="F563" s="74" t="s">
        <v>36</v>
      </c>
      <c r="G563" s="14" t="s">
        <v>96</v>
      </c>
      <c r="H563" s="14" t="s">
        <v>11</v>
      </c>
      <c r="I563" s="144">
        <v>0.70833333333333337</v>
      </c>
      <c r="J563" s="14" t="s">
        <v>4230</v>
      </c>
      <c r="K563" s="14" t="s">
        <v>1369</v>
      </c>
      <c r="L563" s="14" t="s">
        <v>2</v>
      </c>
      <c r="M563" s="37">
        <v>8126310839</v>
      </c>
      <c r="N563" s="37">
        <v>869220040810339</v>
      </c>
      <c r="O563" s="37" t="s">
        <v>3939</v>
      </c>
      <c r="P563" s="14" t="s">
        <v>3938</v>
      </c>
      <c r="Q563" s="94" t="s">
        <v>868</v>
      </c>
      <c r="R563" s="40">
        <v>0</v>
      </c>
      <c r="S563" s="19" t="s">
        <v>3584</v>
      </c>
      <c r="T563" s="14"/>
      <c r="U563" s="45"/>
    </row>
    <row r="564" spans="2:22" s="15" customFormat="1" ht="29" x14ac:dyDescent="0.35">
      <c r="B564" s="35">
        <v>45107</v>
      </c>
      <c r="C564" s="14">
        <v>480</v>
      </c>
      <c r="D564" s="85" t="s">
        <v>3963</v>
      </c>
      <c r="E564" s="14" t="s">
        <v>866</v>
      </c>
      <c r="F564" s="74" t="s">
        <v>13</v>
      </c>
      <c r="G564" s="14" t="s">
        <v>39</v>
      </c>
      <c r="H564" s="17" t="s">
        <v>1787</v>
      </c>
      <c r="I564" s="145">
        <v>0.58333333333333337</v>
      </c>
      <c r="J564" s="17" t="s">
        <v>24</v>
      </c>
      <c r="K564" s="14" t="s">
        <v>1412</v>
      </c>
      <c r="L564" s="14" t="s">
        <v>2</v>
      </c>
      <c r="M564" s="37">
        <v>8131124946</v>
      </c>
      <c r="N564" s="38">
        <v>860896052701539</v>
      </c>
      <c r="O564" s="16" t="s">
        <v>39</v>
      </c>
      <c r="P564" s="17" t="s">
        <v>867</v>
      </c>
      <c r="Q564" s="17" t="s">
        <v>4174</v>
      </c>
      <c r="R564" s="40">
        <v>1999.84</v>
      </c>
      <c r="S564" s="19" t="s">
        <v>3584</v>
      </c>
      <c r="T564" s="14"/>
      <c r="U564" s="45"/>
      <c r="V564" s="15" t="s">
        <v>1022</v>
      </c>
    </row>
    <row r="565" spans="2:22" s="15" customFormat="1" ht="29" x14ac:dyDescent="0.35">
      <c r="B565" s="35">
        <v>45113</v>
      </c>
      <c r="C565" s="14">
        <v>481</v>
      </c>
      <c r="D565" s="74" t="s">
        <v>2868</v>
      </c>
      <c r="E565" s="14" t="s">
        <v>870</v>
      </c>
      <c r="F565" s="74" t="s">
        <v>6</v>
      </c>
      <c r="G565" s="14" t="s">
        <v>96</v>
      </c>
      <c r="H565" s="14" t="s">
        <v>2899</v>
      </c>
      <c r="I565" s="144"/>
      <c r="J565" s="14" t="s">
        <v>2900</v>
      </c>
      <c r="K565" s="14" t="s">
        <v>1194</v>
      </c>
      <c r="L565" s="14" t="s">
        <v>2</v>
      </c>
      <c r="M565" s="37">
        <v>8183963139</v>
      </c>
      <c r="N565" s="37">
        <v>865011034398355</v>
      </c>
      <c r="O565" s="37"/>
      <c r="P565" s="14" t="s">
        <v>871</v>
      </c>
      <c r="Q565" s="14" t="s">
        <v>2870</v>
      </c>
      <c r="R565" s="40">
        <v>754</v>
      </c>
      <c r="S565" s="41" t="s">
        <v>2872</v>
      </c>
      <c r="T565" s="14" t="s">
        <v>2873</v>
      </c>
      <c r="U565" s="45"/>
    </row>
    <row r="566" spans="2:22" s="15" customFormat="1" ht="29" x14ac:dyDescent="0.35">
      <c r="B566" s="35">
        <v>45113</v>
      </c>
      <c r="C566" s="14">
        <v>482</v>
      </c>
      <c r="D566" s="74" t="s">
        <v>5006</v>
      </c>
      <c r="E566" s="14" t="s">
        <v>869</v>
      </c>
      <c r="F566" s="74" t="s">
        <v>138</v>
      </c>
      <c r="G566" s="17" t="s">
        <v>1805</v>
      </c>
      <c r="H566" s="17" t="s">
        <v>989</v>
      </c>
      <c r="I566" s="145" t="s">
        <v>4979</v>
      </c>
      <c r="J566" s="14" t="s">
        <v>24</v>
      </c>
      <c r="K566" s="14" t="s">
        <v>1413</v>
      </c>
      <c r="L566" s="14" t="s">
        <v>2</v>
      </c>
      <c r="M566" s="37">
        <v>8183963139</v>
      </c>
      <c r="N566" s="37">
        <v>865011034398355</v>
      </c>
      <c r="O566" s="37" t="s">
        <v>39</v>
      </c>
      <c r="P566" s="14" t="s">
        <v>872</v>
      </c>
      <c r="Q566" s="14" t="s">
        <v>2871</v>
      </c>
      <c r="R566" s="40">
        <v>696</v>
      </c>
      <c r="S566" s="19" t="s">
        <v>5002</v>
      </c>
      <c r="T566" s="14"/>
      <c r="U566" s="45"/>
      <c r="V566" s="15" t="s">
        <v>1022</v>
      </c>
    </row>
    <row r="567" spans="2:22" s="15" customFormat="1" ht="29" x14ac:dyDescent="0.35">
      <c r="B567" s="35">
        <v>45113</v>
      </c>
      <c r="C567" s="14">
        <v>483</v>
      </c>
      <c r="D567" s="85" t="s">
        <v>3395</v>
      </c>
      <c r="E567" s="14" t="s">
        <v>869</v>
      </c>
      <c r="F567" s="74" t="s">
        <v>13</v>
      </c>
      <c r="G567" s="14" t="s">
        <v>5</v>
      </c>
      <c r="H567" s="14" t="s">
        <v>3500</v>
      </c>
      <c r="I567" s="144">
        <v>0.57638888888888895</v>
      </c>
      <c r="J567" s="14" t="s">
        <v>3501</v>
      </c>
      <c r="K567" s="14" t="s">
        <v>1414</v>
      </c>
      <c r="L567" s="14" t="s">
        <v>2</v>
      </c>
      <c r="M567" s="37">
        <v>8120107522</v>
      </c>
      <c r="N567" s="38">
        <v>869220040296216</v>
      </c>
      <c r="O567" s="38" t="s">
        <v>3453</v>
      </c>
      <c r="P567" s="14" t="s">
        <v>3452</v>
      </c>
      <c r="Q567" s="17" t="s">
        <v>2559</v>
      </c>
      <c r="R567" s="40">
        <v>1999.84</v>
      </c>
      <c r="S567" s="19" t="s">
        <v>3329</v>
      </c>
      <c r="T567" s="14"/>
      <c r="U567" s="45"/>
      <c r="V567" s="15" t="s">
        <v>1022</v>
      </c>
    </row>
    <row r="568" spans="2:22" s="15" customFormat="1" ht="29" x14ac:dyDescent="0.35">
      <c r="B568" s="35">
        <v>45113</v>
      </c>
      <c r="C568" s="14">
        <v>484</v>
      </c>
      <c r="D568" s="138" t="s">
        <v>4436</v>
      </c>
      <c r="E568" s="14" t="s">
        <v>869</v>
      </c>
      <c r="F568" s="74" t="s">
        <v>13</v>
      </c>
      <c r="G568" s="14" t="s">
        <v>5</v>
      </c>
      <c r="H568" s="14" t="s">
        <v>4453</v>
      </c>
      <c r="I568" s="144" t="s">
        <v>4450</v>
      </c>
      <c r="J568" s="14" t="s">
        <v>4449</v>
      </c>
      <c r="K568" s="14" t="s">
        <v>1415</v>
      </c>
      <c r="L568" s="14" t="s">
        <v>873</v>
      </c>
      <c r="M568" s="37">
        <v>8184663589</v>
      </c>
      <c r="N568" s="38">
        <v>860896052209434</v>
      </c>
      <c r="O568" s="38" t="s">
        <v>4452</v>
      </c>
      <c r="P568" s="14" t="s">
        <v>4451</v>
      </c>
      <c r="Q568" s="17" t="s">
        <v>2559</v>
      </c>
      <c r="R568" s="40">
        <v>1999.84</v>
      </c>
      <c r="S568" s="19" t="s">
        <v>4438</v>
      </c>
      <c r="T568" s="14" t="s">
        <v>2339</v>
      </c>
      <c r="U568" s="45"/>
      <c r="V568" s="15" t="s">
        <v>2340</v>
      </c>
    </row>
    <row r="569" spans="2:22" s="15" customFormat="1" ht="29" x14ac:dyDescent="0.35">
      <c r="B569" s="35">
        <v>45113</v>
      </c>
      <c r="C569" s="14">
        <v>485</v>
      </c>
      <c r="D569" s="85" t="s">
        <v>3396</v>
      </c>
      <c r="E569" s="14" t="s">
        <v>869</v>
      </c>
      <c r="F569" s="74" t="s">
        <v>13</v>
      </c>
      <c r="G569" s="14" t="s">
        <v>5</v>
      </c>
      <c r="H569" s="14" t="s">
        <v>3502</v>
      </c>
      <c r="I569" s="144">
        <v>0.70833333333333337</v>
      </c>
      <c r="J569" s="14" t="s">
        <v>3503</v>
      </c>
      <c r="K569" s="14" t="s">
        <v>1416</v>
      </c>
      <c r="L569" s="14" t="s">
        <v>2</v>
      </c>
      <c r="M569" s="37">
        <v>8135518609</v>
      </c>
      <c r="N569" s="38">
        <v>863719060273324</v>
      </c>
      <c r="O569" s="38" t="s">
        <v>39</v>
      </c>
      <c r="P569" s="14" t="s">
        <v>874</v>
      </c>
      <c r="Q569" s="17" t="s">
        <v>2559</v>
      </c>
      <c r="R569" s="40">
        <v>1999.84</v>
      </c>
      <c r="S569" s="19" t="s">
        <v>3329</v>
      </c>
      <c r="T569" s="14"/>
      <c r="U569" s="45"/>
      <c r="V569" s="15" t="s">
        <v>1022</v>
      </c>
    </row>
    <row r="570" spans="2:22" s="15" customFormat="1" ht="29" x14ac:dyDescent="0.35">
      <c r="B570" s="35">
        <v>45114</v>
      </c>
      <c r="C570" s="14">
        <v>486</v>
      </c>
      <c r="D570" s="85" t="s">
        <v>3397</v>
      </c>
      <c r="E570" s="14" t="s">
        <v>875</v>
      </c>
      <c r="F570" s="74" t="s">
        <v>13</v>
      </c>
      <c r="G570" s="14" t="s">
        <v>5</v>
      </c>
      <c r="H570" s="14" t="s">
        <v>3504</v>
      </c>
      <c r="I570" s="144">
        <v>0.5</v>
      </c>
      <c r="J570" s="14" t="s">
        <v>3505</v>
      </c>
      <c r="K570" s="14" t="s">
        <v>1417</v>
      </c>
      <c r="L570" s="14" t="s">
        <v>2</v>
      </c>
      <c r="M570" s="14">
        <v>8120018954</v>
      </c>
      <c r="N570" s="38">
        <v>869220041115811</v>
      </c>
      <c r="O570" s="38" t="s">
        <v>39</v>
      </c>
      <c r="P570" s="55" t="s">
        <v>3454</v>
      </c>
      <c r="Q570" s="17" t="s">
        <v>2559</v>
      </c>
      <c r="R570" s="40">
        <v>1999.84</v>
      </c>
      <c r="S570" s="19" t="s">
        <v>3329</v>
      </c>
      <c r="T570" s="14"/>
      <c r="U570" s="45"/>
      <c r="V570" s="15" t="s">
        <v>1022</v>
      </c>
    </row>
    <row r="571" spans="2:22" s="15" customFormat="1" ht="43.5" x14ac:dyDescent="0.35">
      <c r="B571" s="35">
        <v>45117</v>
      </c>
      <c r="C571" s="14">
        <v>487</v>
      </c>
      <c r="D571" s="39" t="s">
        <v>39</v>
      </c>
      <c r="E571" s="46" t="s">
        <v>878</v>
      </c>
      <c r="F571" s="74" t="s">
        <v>40</v>
      </c>
      <c r="G571" s="14" t="s">
        <v>5</v>
      </c>
      <c r="H571" s="14" t="s">
        <v>11</v>
      </c>
      <c r="I571" s="144"/>
      <c r="J571" s="14" t="s">
        <v>876</v>
      </c>
      <c r="K571" s="14" t="s">
        <v>877</v>
      </c>
      <c r="L571" s="14" t="s">
        <v>2</v>
      </c>
      <c r="M571" s="14" t="s">
        <v>39</v>
      </c>
      <c r="N571" s="38" t="s">
        <v>39</v>
      </c>
      <c r="O571" s="38"/>
      <c r="P571" s="14" t="s">
        <v>39</v>
      </c>
      <c r="Q571" s="14" t="s">
        <v>8</v>
      </c>
      <c r="R571" s="40">
        <v>290</v>
      </c>
      <c r="S571" s="41" t="s">
        <v>40</v>
      </c>
      <c r="T571" s="14"/>
      <c r="U571" s="45"/>
    </row>
    <row r="572" spans="2:22" s="15" customFormat="1" ht="29" x14ac:dyDescent="0.35">
      <c r="B572" s="35">
        <v>45120</v>
      </c>
      <c r="C572" s="14">
        <v>488</v>
      </c>
      <c r="D572" s="74" t="s">
        <v>5007</v>
      </c>
      <c r="E572" s="14" t="s">
        <v>879</v>
      </c>
      <c r="F572" s="74" t="s">
        <v>13</v>
      </c>
      <c r="G572" s="17" t="s">
        <v>1805</v>
      </c>
      <c r="H572" s="14" t="s">
        <v>1767</v>
      </c>
      <c r="I572" s="144" t="s">
        <v>4979</v>
      </c>
      <c r="J572" s="14" t="s">
        <v>24</v>
      </c>
      <c r="K572" s="14" t="s">
        <v>1418</v>
      </c>
      <c r="L572" s="14" t="s">
        <v>873</v>
      </c>
      <c r="M572" s="14">
        <v>8134058877</v>
      </c>
      <c r="N572" s="38">
        <v>863719060440626</v>
      </c>
      <c r="O572" s="38" t="s">
        <v>5079</v>
      </c>
      <c r="P572" s="14" t="s">
        <v>5078</v>
      </c>
      <c r="Q572" s="14" t="s">
        <v>8</v>
      </c>
      <c r="R572" s="40">
        <v>1999.84</v>
      </c>
      <c r="S572" s="19" t="s">
        <v>5002</v>
      </c>
      <c r="T572" s="14"/>
      <c r="U572" s="45"/>
    </row>
    <row r="573" spans="2:22" s="15" customFormat="1" ht="43.5" x14ac:dyDescent="0.35">
      <c r="B573" s="35">
        <v>45121</v>
      </c>
      <c r="C573" s="14">
        <v>489</v>
      </c>
      <c r="D573" s="90" t="s">
        <v>4437</v>
      </c>
      <c r="E573" s="14" t="s">
        <v>880</v>
      </c>
      <c r="F573" s="74" t="s">
        <v>13</v>
      </c>
      <c r="G573" s="14" t="s">
        <v>5</v>
      </c>
      <c r="H573" s="14" t="s">
        <v>4454</v>
      </c>
      <c r="I573" s="144" t="s">
        <v>4103</v>
      </c>
      <c r="J573" s="14" t="s">
        <v>4455</v>
      </c>
      <c r="K573" s="14" t="s">
        <v>1420</v>
      </c>
      <c r="L573" s="14" t="s">
        <v>2</v>
      </c>
      <c r="M573" s="14">
        <v>8115173440</v>
      </c>
      <c r="N573" s="38">
        <v>868166054431572</v>
      </c>
      <c r="O573" s="14" t="s">
        <v>881</v>
      </c>
      <c r="P573" s="14" t="s">
        <v>39</v>
      </c>
      <c r="Q573" s="17" t="s">
        <v>2559</v>
      </c>
      <c r="R573" s="40">
        <v>1999.84</v>
      </c>
      <c r="S573" s="19" t="s">
        <v>4438</v>
      </c>
      <c r="T573" s="14"/>
      <c r="U573" s="45"/>
      <c r="V573" s="15" t="s">
        <v>1022</v>
      </c>
    </row>
    <row r="574" spans="2:22" s="15" customFormat="1" ht="29" x14ac:dyDescent="0.35">
      <c r="B574" s="35">
        <v>45132</v>
      </c>
      <c r="C574" s="14">
        <v>490</v>
      </c>
      <c r="D574" s="39" t="s">
        <v>39</v>
      </c>
      <c r="E574" s="46" t="s">
        <v>882</v>
      </c>
      <c r="F574" s="74" t="s">
        <v>40</v>
      </c>
      <c r="G574" s="14" t="s">
        <v>5</v>
      </c>
      <c r="H574" s="14" t="s">
        <v>11</v>
      </c>
      <c r="I574" s="144"/>
      <c r="J574" s="14" t="s">
        <v>883</v>
      </c>
      <c r="K574" s="14" t="s">
        <v>241</v>
      </c>
      <c r="L574" s="14" t="s">
        <v>2</v>
      </c>
      <c r="M574" s="14" t="s">
        <v>39</v>
      </c>
      <c r="N574" s="38" t="s">
        <v>39</v>
      </c>
      <c r="O574" s="38"/>
      <c r="P574" s="14" t="s">
        <v>39</v>
      </c>
      <c r="Q574" s="14" t="s">
        <v>8</v>
      </c>
      <c r="R574" s="40">
        <v>290</v>
      </c>
      <c r="S574" s="41" t="s">
        <v>40</v>
      </c>
      <c r="T574" s="14"/>
      <c r="U574" s="45"/>
    </row>
    <row r="575" spans="2:22" s="15" customFormat="1" ht="29" x14ac:dyDescent="0.35">
      <c r="B575" s="35">
        <v>45132</v>
      </c>
      <c r="C575" s="14">
        <v>491</v>
      </c>
      <c r="D575" s="85" t="s">
        <v>3398</v>
      </c>
      <c r="E575" s="14" t="s">
        <v>884</v>
      </c>
      <c r="F575" s="74" t="s">
        <v>13</v>
      </c>
      <c r="G575" s="17" t="s">
        <v>1805</v>
      </c>
      <c r="H575" s="17" t="s">
        <v>1787</v>
      </c>
      <c r="I575" s="145">
        <v>0.58333333333333337</v>
      </c>
      <c r="J575" s="121" t="s">
        <v>3361</v>
      </c>
      <c r="K575" s="14" t="s">
        <v>1419</v>
      </c>
      <c r="L575" s="14" t="s">
        <v>2</v>
      </c>
      <c r="M575" s="14">
        <v>8123714005</v>
      </c>
      <c r="N575" s="38">
        <v>350544502685376</v>
      </c>
      <c r="O575" s="38" t="s">
        <v>39</v>
      </c>
      <c r="P575" s="14" t="s">
        <v>885</v>
      </c>
      <c r="Q575" s="17" t="s">
        <v>2559</v>
      </c>
      <c r="R575" s="40">
        <v>1999.84</v>
      </c>
      <c r="S575" s="19" t="s">
        <v>3329</v>
      </c>
      <c r="T575" s="14"/>
      <c r="U575" s="45"/>
      <c r="V575" s="15" t="s">
        <v>1022</v>
      </c>
    </row>
    <row r="576" spans="2:22" s="15" customFormat="1" ht="29" x14ac:dyDescent="0.35">
      <c r="B576" s="35">
        <v>45132</v>
      </c>
      <c r="C576" s="14">
        <v>492</v>
      </c>
      <c r="D576" s="85" t="s">
        <v>3965</v>
      </c>
      <c r="E576" s="14" t="s">
        <v>884</v>
      </c>
      <c r="F576" s="74" t="s">
        <v>13</v>
      </c>
      <c r="G576" s="14" t="s">
        <v>5</v>
      </c>
      <c r="H576" s="14" t="s">
        <v>4237</v>
      </c>
      <c r="I576" s="144">
        <v>0.72916666666666663</v>
      </c>
      <c r="J576" s="14" t="s">
        <v>4236</v>
      </c>
      <c r="K576" s="14" t="s">
        <v>1421</v>
      </c>
      <c r="L576" s="14" t="s">
        <v>2</v>
      </c>
      <c r="M576" s="14">
        <v>8123866406</v>
      </c>
      <c r="N576" s="38">
        <v>350317171662459</v>
      </c>
      <c r="O576" s="16" t="s">
        <v>39</v>
      </c>
      <c r="P576" s="17" t="s">
        <v>886</v>
      </c>
      <c r="Q576" s="17" t="s">
        <v>4174</v>
      </c>
      <c r="R576" s="40">
        <v>1999.84</v>
      </c>
      <c r="S576" s="19" t="s">
        <v>3584</v>
      </c>
      <c r="T576" s="14"/>
      <c r="U576" s="45"/>
      <c r="V576" s="15" t="s">
        <v>1022</v>
      </c>
    </row>
    <row r="577" spans="2:22" s="15" customFormat="1" ht="29" x14ac:dyDescent="0.35">
      <c r="B577" s="35">
        <v>45133</v>
      </c>
      <c r="C577" s="14">
        <v>493</v>
      </c>
      <c r="D577" s="85" t="s">
        <v>3967</v>
      </c>
      <c r="E577" s="14" t="s">
        <v>888</v>
      </c>
      <c r="F577" s="74" t="s">
        <v>13</v>
      </c>
      <c r="G577" s="14" t="s">
        <v>5</v>
      </c>
      <c r="H577" s="14" t="s">
        <v>4239</v>
      </c>
      <c r="I577" s="144">
        <v>0.41666666666666669</v>
      </c>
      <c r="J577" s="14" t="s">
        <v>4238</v>
      </c>
      <c r="K577" s="14" t="s">
        <v>1424</v>
      </c>
      <c r="L577" s="14" t="s">
        <v>2</v>
      </c>
      <c r="M577" s="14">
        <v>8126311005</v>
      </c>
      <c r="N577" s="38">
        <v>350544502485710</v>
      </c>
      <c r="O577" s="16" t="s">
        <v>39</v>
      </c>
      <c r="P577" s="17" t="s">
        <v>887</v>
      </c>
      <c r="Q577" s="17" t="s">
        <v>4174</v>
      </c>
      <c r="R577" s="40">
        <v>1999.84</v>
      </c>
      <c r="S577" s="19" t="s">
        <v>3584</v>
      </c>
      <c r="T577" s="14"/>
      <c r="U577" s="45"/>
      <c r="V577" s="15" t="s">
        <v>1022</v>
      </c>
    </row>
    <row r="578" spans="2:22" s="15" customFormat="1" ht="29" x14ac:dyDescent="0.35">
      <c r="B578" s="35">
        <v>45133</v>
      </c>
      <c r="C578" s="14">
        <v>494</v>
      </c>
      <c r="D578" s="74" t="s">
        <v>5008</v>
      </c>
      <c r="E578" s="14" t="s">
        <v>888</v>
      </c>
      <c r="F578" s="74" t="s">
        <v>13</v>
      </c>
      <c r="G578" s="17" t="s">
        <v>1805</v>
      </c>
      <c r="H578" s="14" t="s">
        <v>1767</v>
      </c>
      <c r="I578" s="144" t="s">
        <v>5082</v>
      </c>
      <c r="J578" s="14" t="s">
        <v>24</v>
      </c>
      <c r="K578" s="14" t="s">
        <v>1422</v>
      </c>
      <c r="L578" s="14" t="s">
        <v>873</v>
      </c>
      <c r="M578" s="14">
        <v>8118220665</v>
      </c>
      <c r="N578" s="38">
        <v>350544502694196</v>
      </c>
      <c r="O578" s="38" t="s">
        <v>39</v>
      </c>
      <c r="P578" s="14" t="s">
        <v>889</v>
      </c>
      <c r="Q578" s="14" t="s">
        <v>8</v>
      </c>
      <c r="R578" s="40">
        <v>1999.84</v>
      </c>
      <c r="S578" s="19" t="s">
        <v>5002</v>
      </c>
      <c r="T578" s="14"/>
      <c r="U578" s="45"/>
    </row>
    <row r="579" spans="2:22" s="15" customFormat="1" ht="29" x14ac:dyDescent="0.35">
      <c r="B579" s="35">
        <v>45133</v>
      </c>
      <c r="C579" s="14">
        <v>495</v>
      </c>
      <c r="D579" s="85" t="s">
        <v>3968</v>
      </c>
      <c r="E579" s="14" t="s">
        <v>888</v>
      </c>
      <c r="F579" s="74" t="s">
        <v>13</v>
      </c>
      <c r="G579" s="17" t="s">
        <v>1805</v>
      </c>
      <c r="H579" s="14" t="s">
        <v>890</v>
      </c>
      <c r="I579" s="144">
        <v>0.52083333333333337</v>
      </c>
      <c r="J579" s="17" t="s">
        <v>26</v>
      </c>
      <c r="K579" s="14" t="s">
        <v>1423</v>
      </c>
      <c r="L579" s="14" t="s">
        <v>873</v>
      </c>
      <c r="M579" s="14">
        <v>8126311186</v>
      </c>
      <c r="N579" s="38">
        <v>350544502690640</v>
      </c>
      <c r="O579" s="16" t="s">
        <v>39</v>
      </c>
      <c r="P579" s="17" t="s">
        <v>891</v>
      </c>
      <c r="Q579" s="17" t="s">
        <v>4174</v>
      </c>
      <c r="R579" s="40">
        <v>1999.84</v>
      </c>
      <c r="S579" s="19" t="s">
        <v>3584</v>
      </c>
      <c r="T579" s="14"/>
      <c r="U579" s="45"/>
      <c r="V579" s="15" t="s">
        <v>1022</v>
      </c>
    </row>
    <row r="580" spans="2:22" s="15" customFormat="1" ht="29" x14ac:dyDescent="0.35">
      <c r="B580" s="35">
        <v>45133</v>
      </c>
      <c r="C580" s="14">
        <v>496</v>
      </c>
      <c r="D580" s="36" t="s">
        <v>2266</v>
      </c>
      <c r="E580" s="14" t="s">
        <v>888</v>
      </c>
      <c r="F580" s="74" t="s">
        <v>13</v>
      </c>
      <c r="G580" s="14" t="s">
        <v>5</v>
      </c>
      <c r="H580" s="14" t="s">
        <v>3506</v>
      </c>
      <c r="I580" s="144">
        <v>0.58333333333333337</v>
      </c>
      <c r="J580" s="14" t="s">
        <v>3507</v>
      </c>
      <c r="K580" s="14" t="s">
        <v>1425</v>
      </c>
      <c r="L580" s="14" t="s">
        <v>2</v>
      </c>
      <c r="M580" s="14">
        <v>8129179955</v>
      </c>
      <c r="N580" s="38">
        <v>350612072995630</v>
      </c>
      <c r="O580" s="38" t="s">
        <v>3456</v>
      </c>
      <c r="P580" s="14" t="s">
        <v>3455</v>
      </c>
      <c r="Q580" s="17" t="s">
        <v>2559</v>
      </c>
      <c r="R580" s="40">
        <v>1999.84</v>
      </c>
      <c r="S580" s="19" t="s">
        <v>2200</v>
      </c>
      <c r="T580" s="14"/>
      <c r="U580" s="45"/>
      <c r="V580" s="15" t="s">
        <v>1022</v>
      </c>
    </row>
    <row r="581" spans="2:22" s="15" customFormat="1" ht="29" x14ac:dyDescent="0.35">
      <c r="B581" s="35">
        <v>45136</v>
      </c>
      <c r="C581" s="14">
        <v>497</v>
      </c>
      <c r="D581" s="74" t="s">
        <v>39</v>
      </c>
      <c r="E581" s="14" t="s">
        <v>892</v>
      </c>
      <c r="F581" s="74" t="s">
        <v>13</v>
      </c>
      <c r="G581" s="14" t="s">
        <v>5</v>
      </c>
      <c r="H581" s="14" t="s">
        <v>17</v>
      </c>
      <c r="I581" s="144"/>
      <c r="J581" s="14" t="s">
        <v>894</v>
      </c>
      <c r="K581" s="14" t="s">
        <v>895</v>
      </c>
      <c r="L581" s="14" t="s">
        <v>2</v>
      </c>
      <c r="M581" s="14" t="s">
        <v>39</v>
      </c>
      <c r="N581" s="38" t="s">
        <v>39</v>
      </c>
      <c r="O581" s="38"/>
      <c r="P581" s="14" t="s">
        <v>39</v>
      </c>
      <c r="Q581" s="14" t="s">
        <v>8</v>
      </c>
      <c r="R581" s="40">
        <v>0</v>
      </c>
      <c r="S581" s="41">
        <v>0</v>
      </c>
      <c r="T581" s="14"/>
      <c r="U581" s="45"/>
      <c r="V581" s="15" t="s">
        <v>1428</v>
      </c>
    </row>
    <row r="582" spans="2:22" s="15" customFormat="1" ht="29" x14ac:dyDescent="0.35">
      <c r="B582" s="35">
        <v>45136</v>
      </c>
      <c r="C582" s="14">
        <v>498</v>
      </c>
      <c r="D582" s="74">
        <v>554</v>
      </c>
      <c r="E582" s="14" t="s">
        <v>893</v>
      </c>
      <c r="F582" s="74" t="s">
        <v>13</v>
      </c>
      <c r="G582" s="14" t="s">
        <v>5</v>
      </c>
      <c r="H582" s="14" t="s">
        <v>17</v>
      </c>
      <c r="I582" s="144"/>
      <c r="J582" s="14" t="s">
        <v>896</v>
      </c>
      <c r="K582" s="14" t="s">
        <v>1426</v>
      </c>
      <c r="L582" s="14" t="s">
        <v>873</v>
      </c>
      <c r="M582" s="14">
        <v>8118240120</v>
      </c>
      <c r="N582" s="38">
        <v>350544502690590</v>
      </c>
      <c r="O582" s="38"/>
      <c r="P582" s="14" t="s">
        <v>897</v>
      </c>
      <c r="Q582" s="14" t="s">
        <v>8</v>
      </c>
      <c r="R582" s="40">
        <v>1999.84</v>
      </c>
      <c r="S582" s="41">
        <v>174</v>
      </c>
      <c r="T582" s="14"/>
      <c r="U582" s="45"/>
      <c r="V582" s="15" t="s">
        <v>1022</v>
      </c>
    </row>
    <row r="583" spans="2:22" s="15" customFormat="1" ht="29" x14ac:dyDescent="0.35">
      <c r="B583" s="35">
        <v>45138</v>
      </c>
      <c r="C583" s="14">
        <v>499</v>
      </c>
      <c r="D583" s="85" t="s">
        <v>3969</v>
      </c>
      <c r="E583" s="14" t="s">
        <v>898</v>
      </c>
      <c r="F583" s="74" t="s">
        <v>13</v>
      </c>
      <c r="G583" s="14" t="s">
        <v>5</v>
      </c>
      <c r="H583" s="14" t="s">
        <v>4241</v>
      </c>
      <c r="I583" s="144">
        <v>0.4375</v>
      </c>
      <c r="J583" s="14" t="s">
        <v>4240</v>
      </c>
      <c r="K583" s="14" t="s">
        <v>1427</v>
      </c>
      <c r="L583" s="14" t="s">
        <v>873</v>
      </c>
      <c r="M583" s="14">
        <v>8118227429</v>
      </c>
      <c r="N583" s="38">
        <v>350317170041507</v>
      </c>
      <c r="O583" s="38" t="s">
        <v>3971</v>
      </c>
      <c r="P583" s="14" t="s">
        <v>3970</v>
      </c>
      <c r="Q583" s="17" t="s">
        <v>4174</v>
      </c>
      <c r="R583" s="40">
        <v>1999.84</v>
      </c>
      <c r="S583" s="19" t="s">
        <v>3584</v>
      </c>
      <c r="T583" s="14"/>
      <c r="U583" s="45"/>
      <c r="V583" s="15" t="s">
        <v>1022</v>
      </c>
    </row>
    <row r="584" spans="2:22" s="15" customFormat="1" ht="29" x14ac:dyDescent="0.35">
      <c r="B584" s="35">
        <v>45138</v>
      </c>
      <c r="C584" s="14">
        <v>500</v>
      </c>
      <c r="D584" s="36">
        <v>486</v>
      </c>
      <c r="E584" s="14" t="s">
        <v>903</v>
      </c>
      <c r="F584" s="74" t="s">
        <v>6</v>
      </c>
      <c r="G584" s="14" t="s">
        <v>5</v>
      </c>
      <c r="H584" s="14" t="s">
        <v>11</v>
      </c>
      <c r="I584" s="144"/>
      <c r="J584" s="14" t="s">
        <v>900</v>
      </c>
      <c r="K584" s="17" t="s">
        <v>1515</v>
      </c>
      <c r="L584" s="14" t="s">
        <v>2</v>
      </c>
      <c r="M584" s="14">
        <v>8126206901</v>
      </c>
      <c r="N584" s="38">
        <v>869220040811238</v>
      </c>
      <c r="O584" s="38"/>
      <c r="P584" s="14" t="s">
        <v>901</v>
      </c>
      <c r="Q584" s="14" t="s">
        <v>1513</v>
      </c>
      <c r="R584" s="40">
        <v>754</v>
      </c>
      <c r="S584" s="41" t="s">
        <v>899</v>
      </c>
      <c r="T584" s="14"/>
      <c r="U584" s="45"/>
      <c r="V584" s="15" t="s">
        <v>1514</v>
      </c>
    </row>
    <row r="585" spans="2:22" s="15" customFormat="1" ht="43.5" x14ac:dyDescent="0.35">
      <c r="B585" s="35">
        <v>45141</v>
      </c>
      <c r="C585" s="14">
        <v>501</v>
      </c>
      <c r="D585" s="36">
        <v>556</v>
      </c>
      <c r="E585" s="17" t="s">
        <v>1505</v>
      </c>
      <c r="F585" s="74" t="s">
        <v>138</v>
      </c>
      <c r="G585" s="14" t="s">
        <v>21</v>
      </c>
      <c r="H585" s="14" t="s">
        <v>1793</v>
      </c>
      <c r="I585" s="144"/>
      <c r="J585" s="14" t="s">
        <v>904</v>
      </c>
      <c r="K585" s="14" t="s">
        <v>1429</v>
      </c>
      <c r="L585" s="14" t="s">
        <v>2</v>
      </c>
      <c r="M585" s="14">
        <v>8126206901</v>
      </c>
      <c r="N585" s="38">
        <v>869220040811238</v>
      </c>
      <c r="O585" s="38"/>
      <c r="P585" s="14" t="s">
        <v>905</v>
      </c>
      <c r="Q585" s="39" t="s">
        <v>1506</v>
      </c>
      <c r="R585" s="40">
        <v>696</v>
      </c>
      <c r="S585" s="41" t="s">
        <v>1504</v>
      </c>
      <c r="T585" s="14"/>
      <c r="U585" s="45"/>
      <c r="V585" s="44"/>
    </row>
    <row r="586" spans="2:22" s="15" customFormat="1" ht="29" x14ac:dyDescent="0.35">
      <c r="B586" s="35">
        <v>45142</v>
      </c>
      <c r="C586" s="14">
        <v>502</v>
      </c>
      <c r="D586" s="39" t="s">
        <v>2645</v>
      </c>
      <c r="E586" s="14" t="s">
        <v>906</v>
      </c>
      <c r="F586" s="74" t="s">
        <v>6</v>
      </c>
      <c r="G586" s="14" t="s">
        <v>5</v>
      </c>
      <c r="H586" s="14" t="s">
        <v>4080</v>
      </c>
      <c r="I586" s="144" t="s">
        <v>39</v>
      </c>
      <c r="J586" s="14" t="s">
        <v>908</v>
      </c>
      <c r="K586" s="14" t="s">
        <v>1052</v>
      </c>
      <c r="L586" s="14" t="s">
        <v>2</v>
      </c>
      <c r="M586" s="38">
        <v>345901012159537</v>
      </c>
      <c r="N586" s="38">
        <v>864352043825090</v>
      </c>
      <c r="O586" s="38" t="s">
        <v>4077</v>
      </c>
      <c r="P586" s="14" t="s">
        <v>4076</v>
      </c>
      <c r="Q586" s="14" t="s">
        <v>4339</v>
      </c>
      <c r="R586" s="40">
        <v>754</v>
      </c>
      <c r="S586" s="41" t="s">
        <v>4078</v>
      </c>
      <c r="T586" s="14" t="s">
        <v>4079</v>
      </c>
      <c r="U586" s="63"/>
    </row>
    <row r="587" spans="2:22" s="15" customFormat="1" ht="29" x14ac:dyDescent="0.35">
      <c r="B587" s="35">
        <v>45143</v>
      </c>
      <c r="C587" s="14">
        <v>503</v>
      </c>
      <c r="D587" s="124" t="s">
        <v>3599</v>
      </c>
      <c r="E587" s="14" t="s">
        <v>907</v>
      </c>
      <c r="F587" s="74" t="s">
        <v>138</v>
      </c>
      <c r="G587" s="14" t="s">
        <v>5</v>
      </c>
      <c r="H587" s="14" t="s">
        <v>4081</v>
      </c>
      <c r="I587" s="144">
        <v>0.45833333333333331</v>
      </c>
      <c r="J587" s="14" t="s">
        <v>4075</v>
      </c>
      <c r="K587" s="14" t="s">
        <v>1430</v>
      </c>
      <c r="L587" s="14" t="s">
        <v>2</v>
      </c>
      <c r="M587" s="14">
        <v>8119174178</v>
      </c>
      <c r="N587" s="38">
        <v>864352043825090</v>
      </c>
      <c r="O587" s="38" t="s">
        <v>39</v>
      </c>
      <c r="P587" s="14" t="s">
        <v>39</v>
      </c>
      <c r="Q587" s="17" t="s">
        <v>2559</v>
      </c>
      <c r="R587" s="40">
        <v>696</v>
      </c>
      <c r="S587" s="19" t="s">
        <v>3584</v>
      </c>
      <c r="T587" s="14" t="s">
        <v>2647</v>
      </c>
      <c r="U587" s="45"/>
      <c r="V587" s="44"/>
    </row>
    <row r="588" spans="2:22" s="15" customFormat="1" ht="29" x14ac:dyDescent="0.35">
      <c r="B588" s="35">
        <v>45143</v>
      </c>
      <c r="C588" s="14">
        <v>504</v>
      </c>
      <c r="D588" s="85" t="s">
        <v>3400</v>
      </c>
      <c r="E588" s="14" t="s">
        <v>907</v>
      </c>
      <c r="F588" s="74" t="s">
        <v>13</v>
      </c>
      <c r="G588" s="17" t="s">
        <v>1805</v>
      </c>
      <c r="H588" s="14" t="s">
        <v>1767</v>
      </c>
      <c r="I588" s="144">
        <v>0.58333333333333337</v>
      </c>
      <c r="J588" s="121" t="s">
        <v>3362</v>
      </c>
      <c r="K588" s="14" t="s">
        <v>1431</v>
      </c>
      <c r="L588" s="14" t="s">
        <v>50</v>
      </c>
      <c r="M588" s="14">
        <v>8116050776</v>
      </c>
      <c r="N588" s="38">
        <v>868166056101132</v>
      </c>
      <c r="O588" s="38" t="s">
        <v>3458</v>
      </c>
      <c r="P588" s="14" t="s">
        <v>3457</v>
      </c>
      <c r="Q588" s="17" t="s">
        <v>2559</v>
      </c>
      <c r="R588" s="40">
        <v>1999.84</v>
      </c>
      <c r="S588" s="19" t="s">
        <v>3329</v>
      </c>
      <c r="T588" s="14"/>
      <c r="U588" s="45"/>
      <c r="V588" s="15" t="s">
        <v>1022</v>
      </c>
    </row>
    <row r="589" spans="2:22" s="15" customFormat="1" ht="29" x14ac:dyDescent="0.35">
      <c r="B589" s="35">
        <v>45147</v>
      </c>
      <c r="C589" s="14">
        <v>505</v>
      </c>
      <c r="D589" s="85" t="s">
        <v>4131</v>
      </c>
      <c r="E589" s="14" t="s">
        <v>910</v>
      </c>
      <c r="F589" s="74" t="s">
        <v>13</v>
      </c>
      <c r="G589" s="14" t="s">
        <v>5</v>
      </c>
      <c r="H589" s="14" t="s">
        <v>1793</v>
      </c>
      <c r="I589" s="144" t="s">
        <v>39</v>
      </c>
      <c r="J589" s="14" t="s">
        <v>909</v>
      </c>
      <c r="K589" s="14" t="s">
        <v>1432</v>
      </c>
      <c r="L589" s="14" t="s">
        <v>2</v>
      </c>
      <c r="M589" s="14">
        <v>8120297977</v>
      </c>
      <c r="N589" s="37">
        <v>865011034396987</v>
      </c>
      <c r="O589" s="37" t="s">
        <v>4146</v>
      </c>
      <c r="P589" s="14" t="s">
        <v>4145</v>
      </c>
      <c r="Q589" s="17" t="s">
        <v>2559</v>
      </c>
      <c r="R589" s="40">
        <v>1999.84</v>
      </c>
      <c r="S589" s="41" t="s">
        <v>4147</v>
      </c>
      <c r="T589" s="14"/>
      <c r="U589" s="45"/>
      <c r="V589" s="15" t="s">
        <v>1022</v>
      </c>
    </row>
    <row r="590" spans="2:22" s="15" customFormat="1" ht="29" x14ac:dyDescent="0.35">
      <c r="B590" s="35">
        <v>45148</v>
      </c>
      <c r="C590" s="14">
        <v>506</v>
      </c>
      <c r="D590" s="85" t="s">
        <v>3401</v>
      </c>
      <c r="E590" s="14" t="s">
        <v>911</v>
      </c>
      <c r="F590" s="74" t="s">
        <v>13</v>
      </c>
      <c r="G590" s="14" t="s">
        <v>5</v>
      </c>
      <c r="H590" s="14" t="s">
        <v>1789</v>
      </c>
      <c r="I590" s="144" t="s">
        <v>39</v>
      </c>
      <c r="J590" s="14" t="s">
        <v>3508</v>
      </c>
      <c r="K590" s="14" t="s">
        <v>1433</v>
      </c>
      <c r="L590" s="14" t="s">
        <v>2</v>
      </c>
      <c r="M590" s="14">
        <v>8183963053</v>
      </c>
      <c r="N590" s="38">
        <v>863719060355105</v>
      </c>
      <c r="O590" s="38" t="s">
        <v>3459</v>
      </c>
      <c r="P590" s="17" t="s">
        <v>3509</v>
      </c>
      <c r="Q590" s="17" t="s">
        <v>2559</v>
      </c>
      <c r="R590" s="40">
        <v>1999.84</v>
      </c>
      <c r="S590" s="19" t="s">
        <v>3329</v>
      </c>
      <c r="T590" s="14"/>
      <c r="U590" s="45"/>
      <c r="V590" s="15" t="s">
        <v>1022</v>
      </c>
    </row>
    <row r="591" spans="2:22" s="15" customFormat="1" ht="29" x14ac:dyDescent="0.35">
      <c r="B591" s="35">
        <v>45149</v>
      </c>
      <c r="C591" s="14">
        <v>507</v>
      </c>
      <c r="D591" s="101" t="s">
        <v>2268</v>
      </c>
      <c r="E591" s="14" t="s">
        <v>912</v>
      </c>
      <c r="F591" s="74" t="s">
        <v>13</v>
      </c>
      <c r="G591" s="14" t="s">
        <v>5</v>
      </c>
      <c r="H591" s="14" t="s">
        <v>4242</v>
      </c>
      <c r="I591" s="144">
        <v>0.625</v>
      </c>
      <c r="J591" s="14" t="s">
        <v>4243</v>
      </c>
      <c r="K591" s="14" t="s">
        <v>1434</v>
      </c>
      <c r="L591" s="14" t="s">
        <v>2</v>
      </c>
      <c r="M591" s="14">
        <v>8119884513</v>
      </c>
      <c r="N591" s="38">
        <v>860896051542033</v>
      </c>
      <c r="O591" s="16" t="s">
        <v>913</v>
      </c>
      <c r="P591" s="17" t="s">
        <v>39</v>
      </c>
      <c r="Q591" s="17" t="s">
        <v>4174</v>
      </c>
      <c r="R591" s="40">
        <v>1999.84</v>
      </c>
      <c r="S591" s="19" t="s">
        <v>3584</v>
      </c>
      <c r="T591" s="14"/>
      <c r="U591" s="45"/>
      <c r="V591" s="15" t="s">
        <v>1022</v>
      </c>
    </row>
    <row r="592" spans="2:22" s="15" customFormat="1" ht="29" x14ac:dyDescent="0.35">
      <c r="B592" s="35">
        <v>45149</v>
      </c>
      <c r="C592" s="14">
        <v>508</v>
      </c>
      <c r="D592" s="85" t="s">
        <v>3974</v>
      </c>
      <c r="E592" s="14" t="s">
        <v>912</v>
      </c>
      <c r="F592" s="74" t="s">
        <v>13</v>
      </c>
      <c r="G592" s="14" t="s">
        <v>5</v>
      </c>
      <c r="H592" s="14" t="s">
        <v>1786</v>
      </c>
      <c r="I592" s="144">
        <v>0.70833333333333337</v>
      </c>
      <c r="J592" s="14" t="s">
        <v>4244</v>
      </c>
      <c r="K592" s="14" t="s">
        <v>1435</v>
      </c>
      <c r="L592" s="14" t="s">
        <v>2</v>
      </c>
      <c r="M592" s="14">
        <v>8135518600</v>
      </c>
      <c r="N592" s="38">
        <v>869220041114616</v>
      </c>
      <c r="O592" s="38" t="s">
        <v>3976</v>
      </c>
      <c r="P592" s="14" t="s">
        <v>3975</v>
      </c>
      <c r="Q592" s="17" t="s">
        <v>4174</v>
      </c>
      <c r="R592" s="40">
        <v>1999.84</v>
      </c>
      <c r="S592" s="19" t="s">
        <v>3584</v>
      </c>
      <c r="T592" s="14"/>
      <c r="U592" s="45"/>
      <c r="V592" s="15" t="s">
        <v>1022</v>
      </c>
    </row>
    <row r="593" spans="2:22" s="15" customFormat="1" ht="29" x14ac:dyDescent="0.35">
      <c r="B593" s="35">
        <v>45150</v>
      </c>
      <c r="C593" s="14">
        <v>509</v>
      </c>
      <c r="D593" s="85" t="s">
        <v>3977</v>
      </c>
      <c r="E593" s="14" t="s">
        <v>914</v>
      </c>
      <c r="F593" s="74" t="s">
        <v>13</v>
      </c>
      <c r="G593" s="17" t="s">
        <v>1805</v>
      </c>
      <c r="H593" s="14" t="s">
        <v>1767</v>
      </c>
      <c r="I593" s="144">
        <v>0.66666666666666663</v>
      </c>
      <c r="J593" s="17" t="s">
        <v>24</v>
      </c>
      <c r="K593" s="14" t="s">
        <v>1436</v>
      </c>
      <c r="L593" s="14" t="s">
        <v>50</v>
      </c>
      <c r="M593" s="14">
        <v>8115777992</v>
      </c>
      <c r="N593" s="38">
        <v>350612072995788</v>
      </c>
      <c r="O593" s="38" t="s">
        <v>638</v>
      </c>
      <c r="P593" s="14" t="s">
        <v>3978</v>
      </c>
      <c r="Q593" s="17" t="s">
        <v>4174</v>
      </c>
      <c r="R593" s="40">
        <v>1999.84</v>
      </c>
      <c r="S593" s="19" t="s">
        <v>3584</v>
      </c>
      <c r="T593" s="14"/>
      <c r="U593" s="45"/>
    </row>
    <row r="594" spans="2:22" s="15" customFormat="1" ht="29" x14ac:dyDescent="0.35">
      <c r="B594" s="35">
        <v>45153</v>
      </c>
      <c r="C594" s="14">
        <v>510</v>
      </c>
      <c r="D594" s="85" t="s">
        <v>3072</v>
      </c>
      <c r="E594" s="14" t="s">
        <v>915</v>
      </c>
      <c r="F594" s="74" t="s">
        <v>13</v>
      </c>
      <c r="G594" s="14" t="s">
        <v>5</v>
      </c>
      <c r="H594" s="14" t="s">
        <v>17</v>
      </c>
      <c r="I594" s="144">
        <v>0.5</v>
      </c>
      <c r="J594" s="14" t="s">
        <v>3230</v>
      </c>
      <c r="K594" s="14" t="s">
        <v>1437</v>
      </c>
      <c r="L594" s="14" t="s">
        <v>2</v>
      </c>
      <c r="M594" s="14">
        <v>8118240118</v>
      </c>
      <c r="N594" s="38">
        <v>860896050538222</v>
      </c>
      <c r="O594" s="38" t="s">
        <v>3229</v>
      </c>
      <c r="P594" s="14" t="s">
        <v>3228</v>
      </c>
      <c r="Q594" s="17" t="s">
        <v>2559</v>
      </c>
      <c r="R594" s="40">
        <v>1999.84</v>
      </c>
      <c r="S594" s="19" t="s">
        <v>2977</v>
      </c>
      <c r="T594" s="14"/>
      <c r="U594" s="45"/>
      <c r="V594" s="15" t="s">
        <v>1022</v>
      </c>
    </row>
    <row r="595" spans="2:22" s="15" customFormat="1" ht="29" x14ac:dyDescent="0.35">
      <c r="B595" s="35">
        <v>45153</v>
      </c>
      <c r="C595" s="14">
        <v>511</v>
      </c>
      <c r="D595" s="39">
        <v>461</v>
      </c>
      <c r="E595" s="14" t="s">
        <v>916</v>
      </c>
      <c r="F595" s="74" t="s">
        <v>6</v>
      </c>
      <c r="G595" s="17" t="s">
        <v>1805</v>
      </c>
      <c r="H595" s="14" t="s">
        <v>11</v>
      </c>
      <c r="I595" s="144"/>
      <c r="J595" s="14" t="s">
        <v>917</v>
      </c>
      <c r="K595" s="14" t="s">
        <v>1339</v>
      </c>
      <c r="L595" s="14" t="s">
        <v>2</v>
      </c>
      <c r="M595" s="37">
        <v>8118228912</v>
      </c>
      <c r="N595" s="38">
        <v>869220040532214</v>
      </c>
      <c r="O595" s="38"/>
      <c r="P595" s="14" t="s">
        <v>918</v>
      </c>
      <c r="Q595" s="14" t="s">
        <v>8</v>
      </c>
      <c r="R595" s="40">
        <v>754</v>
      </c>
      <c r="S595" s="41" t="s">
        <v>916</v>
      </c>
      <c r="T595" s="14"/>
      <c r="U595" s="45"/>
      <c r="V595" s="15" t="s">
        <v>929</v>
      </c>
    </row>
    <row r="596" spans="2:22" s="15" customFormat="1" ht="29" x14ac:dyDescent="0.35">
      <c r="B596" s="64">
        <v>45159</v>
      </c>
      <c r="C596" s="17">
        <v>512</v>
      </c>
      <c r="D596" s="85" t="s">
        <v>4511</v>
      </c>
      <c r="E596" s="17" t="s">
        <v>930</v>
      </c>
      <c r="F596" s="85" t="s">
        <v>13</v>
      </c>
      <c r="G596" s="17" t="s">
        <v>1805</v>
      </c>
      <c r="H596" s="17" t="s">
        <v>1787</v>
      </c>
      <c r="I596" s="145"/>
      <c r="J596" s="17" t="s">
        <v>51</v>
      </c>
      <c r="K596" s="17" t="s">
        <v>1438</v>
      </c>
      <c r="L596" s="17" t="s">
        <v>2</v>
      </c>
      <c r="M596" s="14">
        <v>8184713453</v>
      </c>
      <c r="N596" s="38">
        <v>869220041212428</v>
      </c>
      <c r="O596" s="38" t="s">
        <v>39</v>
      </c>
      <c r="P596" s="14" t="s">
        <v>931</v>
      </c>
      <c r="Q596" s="14" t="s">
        <v>8</v>
      </c>
      <c r="R596" s="40">
        <v>1999.84</v>
      </c>
      <c r="S596" s="19" t="s">
        <v>4517</v>
      </c>
      <c r="T596" s="14"/>
      <c r="U596" s="45"/>
    </row>
    <row r="597" spans="2:22" s="15" customFormat="1" ht="29" x14ac:dyDescent="0.35">
      <c r="B597" s="64">
        <v>45162</v>
      </c>
      <c r="C597" s="17">
        <v>513</v>
      </c>
      <c r="D597" s="85" t="s">
        <v>3979</v>
      </c>
      <c r="E597" s="17" t="s">
        <v>932</v>
      </c>
      <c r="F597" s="85" t="s">
        <v>13</v>
      </c>
      <c r="G597" s="17" t="s">
        <v>1805</v>
      </c>
      <c r="H597" s="14" t="s">
        <v>1767</v>
      </c>
      <c r="I597" s="145">
        <v>0.47916666666666669</v>
      </c>
      <c r="J597" s="17" t="s">
        <v>26</v>
      </c>
      <c r="K597" s="17" t="s">
        <v>1439</v>
      </c>
      <c r="L597" s="17" t="s">
        <v>2</v>
      </c>
      <c r="M597" s="17">
        <v>8115777720</v>
      </c>
      <c r="N597" s="16">
        <v>869220041212998</v>
      </c>
      <c r="O597" s="16" t="s">
        <v>3982</v>
      </c>
      <c r="P597" s="17" t="s">
        <v>3981</v>
      </c>
      <c r="Q597" s="17" t="s">
        <v>4174</v>
      </c>
      <c r="R597" s="40">
        <v>1999.84</v>
      </c>
      <c r="S597" s="19" t="s">
        <v>3584</v>
      </c>
      <c r="T597" s="14"/>
      <c r="U597" s="45"/>
      <c r="V597" s="15" t="s">
        <v>1022</v>
      </c>
    </row>
    <row r="598" spans="2:22" s="15" customFormat="1" ht="29" x14ac:dyDescent="0.35">
      <c r="B598" s="64">
        <v>45167</v>
      </c>
      <c r="C598" s="17">
        <v>514</v>
      </c>
      <c r="D598" s="85" t="s">
        <v>3984</v>
      </c>
      <c r="E598" s="17" t="s">
        <v>933</v>
      </c>
      <c r="F598" s="85" t="s">
        <v>13</v>
      </c>
      <c r="G598" s="17" t="s">
        <v>21</v>
      </c>
      <c r="H598" s="14" t="s">
        <v>1789</v>
      </c>
      <c r="I598" s="145">
        <v>0.45833333333333331</v>
      </c>
      <c r="J598" s="17" t="s">
        <v>26</v>
      </c>
      <c r="K598" s="17" t="s">
        <v>1440</v>
      </c>
      <c r="L598" s="17" t="s">
        <v>2</v>
      </c>
      <c r="M598" s="65">
        <v>8124290710</v>
      </c>
      <c r="N598" s="16">
        <v>863719060354231</v>
      </c>
      <c r="O598" s="16" t="s">
        <v>4303</v>
      </c>
      <c r="P598" s="17" t="s">
        <v>4302</v>
      </c>
      <c r="Q598" s="14" t="s">
        <v>8</v>
      </c>
      <c r="R598" s="40">
        <v>1999.84</v>
      </c>
      <c r="S598" s="19" t="s">
        <v>3584</v>
      </c>
      <c r="T598" s="17"/>
      <c r="U598" s="66"/>
      <c r="V598" s="44">
        <v>45170.810798611114</v>
      </c>
    </row>
    <row r="599" spans="2:22" s="15" customFormat="1" ht="29" x14ac:dyDescent="0.35">
      <c r="B599" s="64">
        <v>45167</v>
      </c>
      <c r="C599" s="17">
        <v>515</v>
      </c>
      <c r="D599" s="36" t="s">
        <v>2501</v>
      </c>
      <c r="E599" s="17" t="s">
        <v>933</v>
      </c>
      <c r="F599" s="85" t="s">
        <v>13</v>
      </c>
      <c r="G599" s="17" t="s">
        <v>1805</v>
      </c>
      <c r="H599" s="17" t="s">
        <v>1787</v>
      </c>
      <c r="I599" s="145"/>
      <c r="J599" s="17" t="s">
        <v>934</v>
      </c>
      <c r="K599" s="17" t="s">
        <v>1441</v>
      </c>
      <c r="L599" s="17" t="s">
        <v>2</v>
      </c>
      <c r="M599" s="65">
        <v>8134058898</v>
      </c>
      <c r="N599" s="16">
        <v>350317173605340</v>
      </c>
      <c r="O599" s="16"/>
      <c r="P599" s="17" t="s">
        <v>936</v>
      </c>
      <c r="Q599" s="14" t="s">
        <v>8</v>
      </c>
      <c r="R599" s="40">
        <v>1999.84</v>
      </c>
      <c r="S599" s="19" t="s">
        <v>2500</v>
      </c>
      <c r="T599" s="14"/>
      <c r="U599" s="45"/>
    </row>
    <row r="600" spans="2:22" s="15" customFormat="1" ht="29" x14ac:dyDescent="0.35">
      <c r="B600" s="64">
        <v>45170</v>
      </c>
      <c r="C600" s="17">
        <v>516</v>
      </c>
      <c r="D600" s="74" t="s">
        <v>5009</v>
      </c>
      <c r="E600" s="17" t="s">
        <v>935</v>
      </c>
      <c r="F600" s="85" t="s">
        <v>13</v>
      </c>
      <c r="G600" s="17" t="s">
        <v>1805</v>
      </c>
      <c r="H600" s="17" t="s">
        <v>11</v>
      </c>
      <c r="I600" s="145" t="s">
        <v>5082</v>
      </c>
      <c r="J600" s="17" t="s">
        <v>24</v>
      </c>
      <c r="K600" s="17" t="s">
        <v>1442</v>
      </c>
      <c r="L600" s="17" t="s">
        <v>2</v>
      </c>
      <c r="M600" s="65">
        <v>8118249699</v>
      </c>
      <c r="N600" s="16">
        <v>869220041213350</v>
      </c>
      <c r="O600" s="16" t="s">
        <v>5084</v>
      </c>
      <c r="P600" s="17" t="s">
        <v>5083</v>
      </c>
      <c r="Q600" s="14" t="s">
        <v>8</v>
      </c>
      <c r="R600" s="40">
        <v>1999.84</v>
      </c>
      <c r="S600" s="19" t="s">
        <v>5002</v>
      </c>
      <c r="T600" s="14"/>
      <c r="U600" s="45"/>
      <c r="V600" s="15" t="s">
        <v>1022</v>
      </c>
    </row>
    <row r="601" spans="2:22" s="15" customFormat="1" ht="29" x14ac:dyDescent="0.35">
      <c r="B601" s="64">
        <v>45171</v>
      </c>
      <c r="C601" s="17">
        <v>517</v>
      </c>
      <c r="D601" s="36" t="s">
        <v>39</v>
      </c>
      <c r="E601" s="36" t="s">
        <v>940</v>
      </c>
      <c r="F601" s="85" t="s">
        <v>13</v>
      </c>
      <c r="G601" s="14" t="s">
        <v>5</v>
      </c>
      <c r="H601" s="17" t="s">
        <v>17</v>
      </c>
      <c r="I601" s="145"/>
      <c r="J601" s="17" t="s">
        <v>1795</v>
      </c>
      <c r="K601" s="17" t="s">
        <v>148</v>
      </c>
      <c r="L601" s="17" t="s">
        <v>2</v>
      </c>
      <c r="M601" s="65" t="s">
        <v>39</v>
      </c>
      <c r="N601" s="16" t="s">
        <v>39</v>
      </c>
      <c r="O601" s="16"/>
      <c r="P601" s="17" t="s">
        <v>39</v>
      </c>
      <c r="Q601" s="95" t="s">
        <v>937</v>
      </c>
      <c r="R601" s="18">
        <v>0</v>
      </c>
      <c r="S601" s="19">
        <v>0</v>
      </c>
      <c r="T601" s="17"/>
      <c r="U601" s="66"/>
    </row>
    <row r="602" spans="2:22" s="15" customFormat="1" ht="29" x14ac:dyDescent="0.35">
      <c r="B602" s="64">
        <v>45174</v>
      </c>
      <c r="C602" s="17">
        <v>518</v>
      </c>
      <c r="D602" s="85" t="s">
        <v>3402</v>
      </c>
      <c r="E602" s="17" t="s">
        <v>938</v>
      </c>
      <c r="F602" s="85" t="s">
        <v>13</v>
      </c>
      <c r="G602" s="17" t="s">
        <v>1805</v>
      </c>
      <c r="H602" s="17" t="s">
        <v>989</v>
      </c>
      <c r="I602" s="145">
        <v>0.5</v>
      </c>
      <c r="J602" s="121" t="s">
        <v>3363</v>
      </c>
      <c r="K602" s="17" t="s">
        <v>1443</v>
      </c>
      <c r="L602" s="17" t="s">
        <v>2</v>
      </c>
      <c r="M602" s="65">
        <v>8126312911</v>
      </c>
      <c r="N602" s="16">
        <v>350544502690673</v>
      </c>
      <c r="O602" s="16" t="s">
        <v>386</v>
      </c>
      <c r="P602" s="17" t="s">
        <v>3460</v>
      </c>
      <c r="Q602" s="17" t="s">
        <v>2559</v>
      </c>
      <c r="R602" s="40">
        <v>1999.84</v>
      </c>
      <c r="S602" s="19" t="s">
        <v>3329</v>
      </c>
      <c r="T602" s="14"/>
      <c r="U602" s="45"/>
      <c r="V602" s="15" t="s">
        <v>1022</v>
      </c>
    </row>
    <row r="603" spans="2:22" s="15" customFormat="1" ht="29" x14ac:dyDescent="0.35">
      <c r="B603" s="64">
        <v>45175</v>
      </c>
      <c r="C603" s="17">
        <v>519</v>
      </c>
      <c r="D603" s="36" t="s">
        <v>2266</v>
      </c>
      <c r="E603" s="47" t="s">
        <v>945</v>
      </c>
      <c r="F603" s="74" t="s">
        <v>213</v>
      </c>
      <c r="G603" s="14" t="s">
        <v>5</v>
      </c>
      <c r="H603" s="14" t="s">
        <v>17</v>
      </c>
      <c r="I603" s="144"/>
      <c r="J603" s="14" t="s">
        <v>941</v>
      </c>
      <c r="K603" s="14" t="s">
        <v>975</v>
      </c>
      <c r="L603" s="14" t="s">
        <v>2</v>
      </c>
      <c r="M603" s="14">
        <v>8118240120</v>
      </c>
      <c r="N603" s="38">
        <v>35054450690590</v>
      </c>
      <c r="O603" s="38"/>
      <c r="P603" s="14" t="s">
        <v>897</v>
      </c>
      <c r="Q603" s="14" t="s">
        <v>942</v>
      </c>
      <c r="R603" s="18">
        <v>0</v>
      </c>
      <c r="S603" s="19" t="s">
        <v>2200</v>
      </c>
      <c r="T603" s="17"/>
      <c r="U603" s="66"/>
    </row>
    <row r="604" spans="2:22" s="15" customFormat="1" ht="29" x14ac:dyDescent="0.35">
      <c r="B604" s="64">
        <v>45176</v>
      </c>
      <c r="C604" s="17">
        <v>520</v>
      </c>
      <c r="D604" s="36" t="s">
        <v>2269</v>
      </c>
      <c r="E604" s="17" t="s">
        <v>946</v>
      </c>
      <c r="F604" s="85" t="s">
        <v>13</v>
      </c>
      <c r="G604" s="14" t="s">
        <v>5</v>
      </c>
      <c r="H604" s="14" t="s">
        <v>1793</v>
      </c>
      <c r="I604" s="145"/>
      <c r="J604" s="17" t="s">
        <v>943</v>
      </c>
      <c r="K604" s="17" t="s">
        <v>1444</v>
      </c>
      <c r="L604" s="17" t="s">
        <v>2</v>
      </c>
      <c r="M604" s="65">
        <v>8117785737</v>
      </c>
      <c r="N604" s="16">
        <v>868166056884794</v>
      </c>
      <c r="O604" s="16"/>
      <c r="P604" s="17" t="s">
        <v>944</v>
      </c>
      <c r="Q604" s="14" t="s">
        <v>8</v>
      </c>
      <c r="R604" s="40">
        <v>1999.84</v>
      </c>
      <c r="S604" s="19" t="s">
        <v>2200</v>
      </c>
      <c r="T604" s="14"/>
      <c r="U604" s="45"/>
      <c r="V604" s="15" t="s">
        <v>1022</v>
      </c>
    </row>
    <row r="605" spans="2:22" s="15" customFormat="1" ht="29" x14ac:dyDescent="0.35">
      <c r="B605" s="64">
        <v>45183</v>
      </c>
      <c r="C605" s="17">
        <v>521</v>
      </c>
      <c r="D605" s="74" t="s">
        <v>2750</v>
      </c>
      <c r="E605" s="17" t="s">
        <v>947</v>
      </c>
      <c r="F605" s="85" t="s">
        <v>213</v>
      </c>
      <c r="G605" s="17" t="s">
        <v>5</v>
      </c>
      <c r="H605" s="17" t="s">
        <v>2143</v>
      </c>
      <c r="I605" s="145" t="s">
        <v>56</v>
      </c>
      <c r="J605" s="17" t="s">
        <v>4334</v>
      </c>
      <c r="K605" s="17" t="s">
        <v>974</v>
      </c>
      <c r="L605" s="17" t="s">
        <v>873</v>
      </c>
      <c r="M605" s="65">
        <v>8118220273</v>
      </c>
      <c r="N605" s="16">
        <v>359857084516731</v>
      </c>
      <c r="O605" s="16" t="s">
        <v>4337</v>
      </c>
      <c r="P605" s="17" t="s">
        <v>4336</v>
      </c>
      <c r="Q605" s="99" t="s">
        <v>948</v>
      </c>
      <c r="R605" s="18">
        <v>522</v>
      </c>
      <c r="S605" s="19" t="s">
        <v>2748</v>
      </c>
      <c r="T605" s="17" t="s">
        <v>2749</v>
      </c>
      <c r="U605" s="66"/>
      <c r="V605" s="100" t="s">
        <v>2148</v>
      </c>
    </row>
    <row r="606" spans="2:22" s="15" customFormat="1" ht="29" x14ac:dyDescent="0.35">
      <c r="B606" s="64">
        <v>45187</v>
      </c>
      <c r="C606" s="17">
        <v>522</v>
      </c>
      <c r="D606" s="85" t="s">
        <v>3985</v>
      </c>
      <c r="E606" s="17" t="s">
        <v>949</v>
      </c>
      <c r="F606" s="85" t="s">
        <v>13</v>
      </c>
      <c r="G606" s="17" t="s">
        <v>5</v>
      </c>
      <c r="H606" s="17" t="s">
        <v>950</v>
      </c>
      <c r="I606" s="145">
        <v>0.625</v>
      </c>
      <c r="J606" s="17" t="s">
        <v>26</v>
      </c>
      <c r="K606" s="17" t="s">
        <v>1445</v>
      </c>
      <c r="L606" s="17" t="s">
        <v>2</v>
      </c>
      <c r="M606" s="65">
        <v>8119089832</v>
      </c>
      <c r="N606" s="16">
        <v>868166056884760</v>
      </c>
      <c r="O606" s="16" t="s">
        <v>951</v>
      </c>
      <c r="P606" s="17" t="s">
        <v>39</v>
      </c>
      <c r="Q606" s="14" t="s">
        <v>8</v>
      </c>
      <c r="R606" s="40">
        <v>1999.84</v>
      </c>
      <c r="S606" s="19" t="s">
        <v>3584</v>
      </c>
      <c r="T606" s="14"/>
      <c r="U606" s="45"/>
      <c r="V606" s="15" t="s">
        <v>1022</v>
      </c>
    </row>
    <row r="607" spans="2:22" s="15" customFormat="1" ht="29" x14ac:dyDescent="0.35">
      <c r="B607" s="64">
        <v>45190</v>
      </c>
      <c r="C607" s="17">
        <v>523</v>
      </c>
      <c r="D607" s="85" t="s">
        <v>3403</v>
      </c>
      <c r="E607" s="17" t="s">
        <v>952</v>
      </c>
      <c r="F607" s="85" t="s">
        <v>13</v>
      </c>
      <c r="G607" s="17" t="s">
        <v>1805</v>
      </c>
      <c r="H607" s="17" t="s">
        <v>1787</v>
      </c>
      <c r="I607" s="145">
        <v>0.72916666666666663</v>
      </c>
      <c r="J607" s="121" t="s">
        <v>3364</v>
      </c>
      <c r="K607" s="17" t="s">
        <v>1446</v>
      </c>
      <c r="L607" s="17" t="s">
        <v>2</v>
      </c>
      <c r="M607" s="65">
        <v>8112776093</v>
      </c>
      <c r="N607" s="16">
        <v>868166056884885</v>
      </c>
      <c r="O607" s="16" t="s">
        <v>39</v>
      </c>
      <c r="P607" s="17" t="s">
        <v>967</v>
      </c>
      <c r="Q607" s="17" t="s">
        <v>2559</v>
      </c>
      <c r="R607" s="40">
        <v>1999.84</v>
      </c>
      <c r="S607" s="19" t="s">
        <v>3329</v>
      </c>
      <c r="T607" s="14"/>
      <c r="U607" s="45"/>
      <c r="V607" s="15" t="s">
        <v>1022</v>
      </c>
    </row>
    <row r="608" spans="2:22" s="15" customFormat="1" ht="29" x14ac:dyDescent="0.35">
      <c r="B608" s="64">
        <v>45190</v>
      </c>
      <c r="C608" s="17" t="s">
        <v>39</v>
      </c>
      <c r="D608" s="93" t="s">
        <v>39</v>
      </c>
      <c r="E608" s="85" t="s">
        <v>4412</v>
      </c>
      <c r="F608" s="85" t="s">
        <v>13</v>
      </c>
      <c r="G608" s="17" t="s">
        <v>4407</v>
      </c>
      <c r="H608" s="17" t="s">
        <v>1787</v>
      </c>
      <c r="I608" s="145" t="s">
        <v>4408</v>
      </c>
      <c r="J608" s="17" t="s">
        <v>24</v>
      </c>
      <c r="K608" s="17" t="s">
        <v>1667</v>
      </c>
      <c r="L608" s="17" t="s">
        <v>2</v>
      </c>
      <c r="M608" s="14">
        <v>8118249885</v>
      </c>
      <c r="N608" s="16">
        <v>868166056884950</v>
      </c>
      <c r="O608" s="16" t="s">
        <v>4409</v>
      </c>
      <c r="P608" s="17" t="s">
        <v>4410</v>
      </c>
      <c r="Q608" s="17" t="s">
        <v>2559</v>
      </c>
      <c r="R608" s="40">
        <v>1999.84</v>
      </c>
      <c r="S608" s="41" t="s">
        <v>4411</v>
      </c>
      <c r="T608" s="17"/>
      <c r="U608" s="66"/>
    </row>
    <row r="609" spans="2:22" s="15" customFormat="1" ht="29" x14ac:dyDescent="0.35">
      <c r="B609" s="64">
        <v>45191</v>
      </c>
      <c r="C609" s="17">
        <v>524</v>
      </c>
      <c r="D609" s="74" t="s">
        <v>5010</v>
      </c>
      <c r="E609" s="17" t="s">
        <v>953</v>
      </c>
      <c r="F609" s="85" t="s">
        <v>13</v>
      </c>
      <c r="G609" s="17" t="s">
        <v>5</v>
      </c>
      <c r="H609" s="17" t="s">
        <v>17</v>
      </c>
      <c r="I609" s="145" t="s">
        <v>5085</v>
      </c>
      <c r="J609" s="17" t="s">
        <v>5086</v>
      </c>
      <c r="K609" s="17" t="s">
        <v>1447</v>
      </c>
      <c r="L609" s="17" t="s">
        <v>2</v>
      </c>
      <c r="M609" s="65">
        <v>8123209548</v>
      </c>
      <c r="N609" s="16">
        <v>868166056885346</v>
      </c>
      <c r="O609" s="17" t="s">
        <v>954</v>
      </c>
      <c r="P609" s="17" t="s">
        <v>39</v>
      </c>
      <c r="Q609" s="14" t="s">
        <v>8</v>
      </c>
      <c r="R609" s="40">
        <v>1999.84</v>
      </c>
      <c r="S609" s="19" t="s">
        <v>5002</v>
      </c>
      <c r="T609" s="14"/>
      <c r="U609" s="45"/>
      <c r="V609" s="15" t="s">
        <v>1022</v>
      </c>
    </row>
    <row r="610" spans="2:22" s="15" customFormat="1" ht="29" x14ac:dyDescent="0.35">
      <c r="B610" s="64">
        <v>45191</v>
      </c>
      <c r="C610" s="17">
        <v>525</v>
      </c>
      <c r="D610" s="36" t="s">
        <v>2027</v>
      </c>
      <c r="E610" s="85" t="s">
        <v>1929</v>
      </c>
      <c r="F610" s="85" t="s">
        <v>13</v>
      </c>
      <c r="G610" s="17" t="s">
        <v>5</v>
      </c>
      <c r="H610" s="17" t="s">
        <v>17</v>
      </c>
      <c r="I610" s="145"/>
      <c r="J610" s="17" t="s">
        <v>955</v>
      </c>
      <c r="K610" s="17" t="s">
        <v>1448</v>
      </c>
      <c r="L610" s="17" t="s">
        <v>873</v>
      </c>
      <c r="M610" s="14">
        <v>8112429599</v>
      </c>
      <c r="N610" s="16">
        <v>869220041212386</v>
      </c>
      <c r="O610" s="16"/>
      <c r="P610" s="17" t="s">
        <v>956</v>
      </c>
      <c r="Q610" s="14" t="s">
        <v>8</v>
      </c>
      <c r="R610" s="40">
        <v>1999.84</v>
      </c>
      <c r="S610" s="41" t="s">
        <v>1931</v>
      </c>
      <c r="T610" s="17"/>
      <c r="U610" s="66"/>
      <c r="V610" s="44">
        <v>45206.560787037037</v>
      </c>
    </row>
    <row r="611" spans="2:22" s="15" customFormat="1" ht="29" x14ac:dyDescent="0.35">
      <c r="B611" s="64">
        <v>45192</v>
      </c>
      <c r="C611" s="17">
        <v>526</v>
      </c>
      <c r="D611" s="36" t="s">
        <v>39</v>
      </c>
      <c r="E611" s="67" t="s">
        <v>960</v>
      </c>
      <c r="F611" s="85" t="s">
        <v>40</v>
      </c>
      <c r="G611" s="17" t="s">
        <v>5</v>
      </c>
      <c r="H611" s="17" t="s">
        <v>11</v>
      </c>
      <c r="I611" s="145"/>
      <c r="J611" s="17" t="s">
        <v>957</v>
      </c>
      <c r="K611" s="17" t="s">
        <v>958</v>
      </c>
      <c r="L611" s="17" t="s">
        <v>2</v>
      </c>
      <c r="M611" s="17" t="s">
        <v>39</v>
      </c>
      <c r="N611" s="16" t="s">
        <v>39</v>
      </c>
      <c r="O611" s="16"/>
      <c r="P611" s="17" t="s">
        <v>39</v>
      </c>
      <c r="Q611" s="14" t="s">
        <v>968</v>
      </c>
      <c r="R611" s="40">
        <v>290</v>
      </c>
      <c r="S611" s="41" t="s">
        <v>40</v>
      </c>
      <c r="T611" s="17"/>
      <c r="U611" s="66"/>
    </row>
    <row r="612" spans="2:22" s="15" customFormat="1" ht="29" x14ac:dyDescent="0.35">
      <c r="B612" s="64">
        <v>45192</v>
      </c>
      <c r="C612" s="17">
        <v>527</v>
      </c>
      <c r="D612" s="36" t="s">
        <v>39</v>
      </c>
      <c r="E612" s="67" t="s">
        <v>56</v>
      </c>
      <c r="F612" s="85" t="s">
        <v>40</v>
      </c>
      <c r="G612" s="17" t="s">
        <v>5</v>
      </c>
      <c r="H612" s="17" t="s">
        <v>11</v>
      </c>
      <c r="I612" s="145"/>
      <c r="J612" s="17" t="s">
        <v>959</v>
      </c>
      <c r="K612" s="17" t="s">
        <v>669</v>
      </c>
      <c r="L612" s="17" t="s">
        <v>2</v>
      </c>
      <c r="M612" s="65" t="s">
        <v>39</v>
      </c>
      <c r="N612" s="16" t="s">
        <v>39</v>
      </c>
      <c r="O612" s="16"/>
      <c r="P612" s="17" t="s">
        <v>39</v>
      </c>
      <c r="Q612" s="14" t="s">
        <v>968</v>
      </c>
      <c r="R612" s="40">
        <v>290</v>
      </c>
      <c r="S612" s="41" t="s">
        <v>40</v>
      </c>
      <c r="T612" s="17"/>
      <c r="U612" s="66"/>
    </row>
    <row r="613" spans="2:22" s="15" customFormat="1" ht="29" x14ac:dyDescent="0.35">
      <c r="B613" s="64">
        <v>45197</v>
      </c>
      <c r="C613" s="17">
        <v>528</v>
      </c>
      <c r="D613" s="85" t="s">
        <v>3404</v>
      </c>
      <c r="E613" s="17" t="s">
        <v>963</v>
      </c>
      <c r="F613" s="85" t="s">
        <v>13</v>
      </c>
      <c r="G613" s="17" t="s">
        <v>5</v>
      </c>
      <c r="H613" s="17" t="s">
        <v>17</v>
      </c>
      <c r="I613" s="145">
        <v>0.5</v>
      </c>
      <c r="J613" s="17" t="s">
        <v>3365</v>
      </c>
      <c r="K613" s="17" t="s">
        <v>1533</v>
      </c>
      <c r="L613" s="17" t="s">
        <v>2</v>
      </c>
      <c r="M613" s="65">
        <v>8110664574</v>
      </c>
      <c r="N613" s="16">
        <v>868166056882491</v>
      </c>
      <c r="O613" s="16" t="s">
        <v>962</v>
      </c>
      <c r="P613" s="17" t="s">
        <v>39</v>
      </c>
      <c r="Q613" s="17" t="s">
        <v>2559</v>
      </c>
      <c r="R613" s="40">
        <v>1999.84</v>
      </c>
      <c r="S613" s="19" t="s">
        <v>3329</v>
      </c>
      <c r="T613" s="14"/>
      <c r="U613" s="45"/>
      <c r="V613" s="15" t="s">
        <v>1022</v>
      </c>
    </row>
    <row r="614" spans="2:22" s="15" customFormat="1" ht="29" x14ac:dyDescent="0.35">
      <c r="B614" s="64">
        <v>45197</v>
      </c>
      <c r="C614" s="17">
        <v>529</v>
      </c>
      <c r="D614" s="85" t="s">
        <v>2984</v>
      </c>
      <c r="E614" s="14" t="s">
        <v>961</v>
      </c>
      <c r="F614" s="74" t="s">
        <v>36</v>
      </c>
      <c r="G614" s="14" t="s">
        <v>96</v>
      </c>
      <c r="H614" s="14" t="s">
        <v>3097</v>
      </c>
      <c r="I614" s="144">
        <v>0.60416666666666663</v>
      </c>
      <c r="J614" s="14" t="s">
        <v>2985</v>
      </c>
      <c r="K614" s="14" t="s">
        <v>973</v>
      </c>
      <c r="L614" s="14" t="s">
        <v>2</v>
      </c>
      <c r="M614" s="55">
        <v>8183968460</v>
      </c>
      <c r="N614" s="56">
        <v>865011034400565</v>
      </c>
      <c r="O614" s="56" t="s">
        <v>523</v>
      </c>
      <c r="P614" s="55" t="s">
        <v>3101</v>
      </c>
      <c r="Q614" s="14" t="s">
        <v>964</v>
      </c>
      <c r="R614" s="40">
        <f>(450*0.16+450)</f>
        <v>522</v>
      </c>
      <c r="S614" s="19" t="s">
        <v>2977</v>
      </c>
      <c r="T614" s="17"/>
      <c r="U614" s="66"/>
    </row>
    <row r="615" spans="2:22" s="15" customFormat="1" ht="29" x14ac:dyDescent="0.35">
      <c r="B615" s="64">
        <v>45197</v>
      </c>
      <c r="C615" s="17">
        <v>530</v>
      </c>
      <c r="D615" s="74" t="s">
        <v>5011</v>
      </c>
      <c r="E615" s="17" t="s">
        <v>963</v>
      </c>
      <c r="F615" s="85" t="s">
        <v>13</v>
      </c>
      <c r="G615" s="17" t="s">
        <v>5</v>
      </c>
      <c r="H615" s="17" t="s">
        <v>11</v>
      </c>
      <c r="I615" s="145" t="s">
        <v>4934</v>
      </c>
      <c r="J615" s="17" t="s">
        <v>5087</v>
      </c>
      <c r="K615" s="17" t="s">
        <v>1449</v>
      </c>
      <c r="L615" s="17" t="s">
        <v>2</v>
      </c>
      <c r="M615" s="65">
        <v>8128753187</v>
      </c>
      <c r="N615" s="16">
        <v>868166056883911</v>
      </c>
      <c r="O615" s="16" t="s">
        <v>5089</v>
      </c>
      <c r="P615" s="17" t="s">
        <v>5088</v>
      </c>
      <c r="Q615" s="14" t="s">
        <v>8</v>
      </c>
      <c r="R615" s="40">
        <v>1999.84</v>
      </c>
      <c r="S615" s="19" t="s">
        <v>5002</v>
      </c>
      <c r="T615" s="14"/>
      <c r="U615" s="45"/>
    </row>
    <row r="616" spans="2:22" s="15" customFormat="1" ht="29" x14ac:dyDescent="0.35">
      <c r="B616" s="64">
        <v>45199</v>
      </c>
      <c r="C616" s="17">
        <v>531</v>
      </c>
      <c r="D616" s="74" t="s">
        <v>5012</v>
      </c>
      <c r="E616" s="17" t="s">
        <v>969</v>
      </c>
      <c r="F616" s="85" t="s">
        <v>13</v>
      </c>
      <c r="G616" s="17" t="s">
        <v>1805</v>
      </c>
      <c r="H616" s="14" t="s">
        <v>1767</v>
      </c>
      <c r="I616" s="145" t="s">
        <v>4605</v>
      </c>
      <c r="J616" s="17" t="s">
        <v>24</v>
      </c>
      <c r="K616" s="17" t="s">
        <v>1450</v>
      </c>
      <c r="L616" s="17" t="s">
        <v>965</v>
      </c>
      <c r="M616" s="65">
        <v>8126227996</v>
      </c>
      <c r="N616" s="16">
        <v>869220040531265</v>
      </c>
      <c r="O616" s="16" t="s">
        <v>39</v>
      </c>
      <c r="P616" s="17" t="s">
        <v>966</v>
      </c>
      <c r="Q616" s="14" t="s">
        <v>8</v>
      </c>
      <c r="R616" s="40">
        <v>1999.84</v>
      </c>
      <c r="S616" s="19" t="s">
        <v>5002</v>
      </c>
      <c r="T616" s="14"/>
      <c r="U616" s="45"/>
    </row>
    <row r="617" spans="2:22" s="15" customFormat="1" ht="29" x14ac:dyDescent="0.35">
      <c r="B617" s="64">
        <v>45202</v>
      </c>
      <c r="C617" s="17">
        <v>532</v>
      </c>
      <c r="D617" s="39" t="s">
        <v>2094</v>
      </c>
      <c r="E617" s="17" t="s">
        <v>970</v>
      </c>
      <c r="F617" s="85" t="s">
        <v>213</v>
      </c>
      <c r="G617" s="17" t="s">
        <v>96</v>
      </c>
      <c r="H617" s="17" t="s">
        <v>11</v>
      </c>
      <c r="I617" s="145">
        <v>0.5625</v>
      </c>
      <c r="J617" s="14" t="s">
        <v>4327</v>
      </c>
      <c r="K617" s="14" t="s">
        <v>2093</v>
      </c>
      <c r="L617" s="14" t="s">
        <v>2</v>
      </c>
      <c r="M617" s="14">
        <v>8120362372</v>
      </c>
      <c r="N617" s="38">
        <v>863844052849921</v>
      </c>
      <c r="O617" s="16" t="s">
        <v>4330</v>
      </c>
      <c r="P617" s="17" t="s">
        <v>4329</v>
      </c>
      <c r="Q617" s="14" t="s">
        <v>972</v>
      </c>
      <c r="R617" s="40">
        <f>(450*0.16+450)</f>
        <v>522</v>
      </c>
      <c r="S617" s="41" t="s">
        <v>2735</v>
      </c>
      <c r="T617" s="17" t="s">
        <v>2736</v>
      </c>
      <c r="U617" s="66"/>
    </row>
    <row r="618" spans="2:22" s="15" customFormat="1" ht="29" x14ac:dyDescent="0.35">
      <c r="B618" s="64">
        <v>45202</v>
      </c>
      <c r="C618" s="17">
        <v>533</v>
      </c>
      <c r="D618" s="85" t="s">
        <v>3986</v>
      </c>
      <c r="E618" s="17" t="s">
        <v>969</v>
      </c>
      <c r="F618" s="85" t="s">
        <v>13</v>
      </c>
      <c r="G618" s="17" t="s">
        <v>1805</v>
      </c>
      <c r="H618" s="14" t="s">
        <v>1767</v>
      </c>
      <c r="I618" s="145">
        <v>0.60416666666666663</v>
      </c>
      <c r="J618" s="17" t="s">
        <v>26</v>
      </c>
      <c r="K618" s="17" t="s">
        <v>1451</v>
      </c>
      <c r="L618" s="17" t="s">
        <v>2</v>
      </c>
      <c r="M618" s="65">
        <v>8128616947</v>
      </c>
      <c r="N618" s="16">
        <v>868166056885478</v>
      </c>
      <c r="O618" s="16" t="s">
        <v>39</v>
      </c>
      <c r="P618" s="17" t="s">
        <v>39</v>
      </c>
      <c r="Q618" s="17" t="s">
        <v>4174</v>
      </c>
      <c r="R618" s="40">
        <v>1999.84</v>
      </c>
      <c r="S618" s="19" t="s">
        <v>3584</v>
      </c>
      <c r="T618" s="17"/>
      <c r="U618" s="66"/>
      <c r="V618" s="15" t="s">
        <v>1022</v>
      </c>
    </row>
    <row r="619" spans="2:22" s="15" customFormat="1" ht="29" x14ac:dyDescent="0.35">
      <c r="B619" s="64">
        <v>45205</v>
      </c>
      <c r="C619" s="17">
        <v>534</v>
      </c>
      <c r="D619" s="36" t="s">
        <v>39</v>
      </c>
      <c r="E619" s="67" t="s">
        <v>976</v>
      </c>
      <c r="F619" s="85" t="s">
        <v>40</v>
      </c>
      <c r="G619" s="17" t="s">
        <v>5</v>
      </c>
      <c r="H619" s="17" t="s">
        <v>17</v>
      </c>
      <c r="I619" s="145"/>
      <c r="J619" s="17" t="s">
        <v>977</v>
      </c>
      <c r="K619" s="17" t="s">
        <v>979</v>
      </c>
      <c r="L619" s="17" t="s">
        <v>2</v>
      </c>
      <c r="M619" s="65" t="s">
        <v>39</v>
      </c>
      <c r="N619" s="16" t="s">
        <v>39</v>
      </c>
      <c r="O619" s="16"/>
      <c r="P619" s="17" t="s">
        <v>39</v>
      </c>
      <c r="Q619" s="14" t="s">
        <v>980</v>
      </c>
      <c r="R619" s="40">
        <v>0</v>
      </c>
      <c r="S619" s="41" t="s">
        <v>40</v>
      </c>
      <c r="T619" s="17"/>
      <c r="U619" s="66"/>
    </row>
    <row r="620" spans="2:22" s="15" customFormat="1" ht="29" x14ac:dyDescent="0.35">
      <c r="B620" s="64">
        <v>45205</v>
      </c>
      <c r="C620" s="17">
        <v>535</v>
      </c>
      <c r="D620" s="36" t="s">
        <v>39</v>
      </c>
      <c r="E620" s="67" t="s">
        <v>976</v>
      </c>
      <c r="F620" s="85" t="s">
        <v>40</v>
      </c>
      <c r="G620" s="17" t="s">
        <v>5</v>
      </c>
      <c r="H620" s="17" t="s">
        <v>17</v>
      </c>
      <c r="I620" s="145"/>
      <c r="J620" s="17" t="s">
        <v>978</v>
      </c>
      <c r="K620" s="17" t="s">
        <v>979</v>
      </c>
      <c r="L620" s="17" t="s">
        <v>2</v>
      </c>
      <c r="M620" s="65" t="s">
        <v>39</v>
      </c>
      <c r="N620" s="16" t="s">
        <v>39</v>
      </c>
      <c r="O620" s="16"/>
      <c r="P620" s="17" t="s">
        <v>39</v>
      </c>
      <c r="Q620" s="14" t="s">
        <v>981</v>
      </c>
      <c r="R620" s="40">
        <v>290</v>
      </c>
      <c r="S620" s="41" t="s">
        <v>40</v>
      </c>
      <c r="T620" s="17"/>
      <c r="U620" s="66"/>
    </row>
    <row r="621" spans="2:22" s="15" customFormat="1" ht="29" x14ac:dyDescent="0.35">
      <c r="B621" s="64">
        <v>45205</v>
      </c>
      <c r="C621" s="17">
        <v>536</v>
      </c>
      <c r="D621" s="36">
        <v>499</v>
      </c>
      <c r="E621" s="67" t="s">
        <v>982</v>
      </c>
      <c r="F621" s="85" t="s">
        <v>213</v>
      </c>
      <c r="G621" s="17" t="s">
        <v>96</v>
      </c>
      <c r="H621" s="17" t="s">
        <v>17</v>
      </c>
      <c r="I621" s="145"/>
      <c r="J621" s="17" t="s">
        <v>858</v>
      </c>
      <c r="K621" s="17" t="s">
        <v>985</v>
      </c>
      <c r="L621" s="17" t="s">
        <v>2</v>
      </c>
      <c r="M621" s="65"/>
      <c r="N621" s="16"/>
      <c r="O621" s="16"/>
      <c r="P621" s="17"/>
      <c r="Q621" s="14" t="s">
        <v>984</v>
      </c>
      <c r="R621" s="40">
        <f>(450*0.16+450)</f>
        <v>522</v>
      </c>
      <c r="S621" s="41">
        <v>0</v>
      </c>
      <c r="T621" s="17"/>
      <c r="U621" s="66"/>
    </row>
    <row r="622" spans="2:22" s="15" customFormat="1" ht="29" x14ac:dyDescent="0.35">
      <c r="B622" s="64">
        <v>45208</v>
      </c>
      <c r="C622" s="17">
        <v>537</v>
      </c>
      <c r="D622" s="85" t="s">
        <v>3405</v>
      </c>
      <c r="E622" s="17" t="s">
        <v>983</v>
      </c>
      <c r="F622" s="85" t="s">
        <v>13</v>
      </c>
      <c r="G622" s="17" t="s">
        <v>5</v>
      </c>
      <c r="H622" s="17" t="s">
        <v>3510</v>
      </c>
      <c r="I622" s="145">
        <v>0.64583333333333337</v>
      </c>
      <c r="J622" s="17" t="s">
        <v>3511</v>
      </c>
      <c r="K622" s="17" t="s">
        <v>1452</v>
      </c>
      <c r="L622" s="17" t="s">
        <v>2</v>
      </c>
      <c r="M622" s="65">
        <v>8119174195</v>
      </c>
      <c r="N622" s="16">
        <v>868166056882038</v>
      </c>
      <c r="O622" s="16" t="s">
        <v>3462</v>
      </c>
      <c r="P622" s="17" t="s">
        <v>3461</v>
      </c>
      <c r="Q622" s="17" t="s">
        <v>2559</v>
      </c>
      <c r="R622" s="40">
        <v>1999.84</v>
      </c>
      <c r="S622" s="19" t="s">
        <v>3329</v>
      </c>
      <c r="T622" s="17"/>
      <c r="U622" s="66"/>
      <c r="V622" s="44"/>
    </row>
    <row r="623" spans="2:22" s="15" customFormat="1" ht="29" x14ac:dyDescent="0.35">
      <c r="B623" s="64">
        <v>45209</v>
      </c>
      <c r="C623" s="17">
        <v>538</v>
      </c>
      <c r="D623" s="134" t="s">
        <v>4259</v>
      </c>
      <c r="E623" s="17" t="s">
        <v>986</v>
      </c>
      <c r="F623" s="85" t="s">
        <v>13</v>
      </c>
      <c r="G623" s="17" t="s">
        <v>5</v>
      </c>
      <c r="H623" s="17" t="s">
        <v>4268</v>
      </c>
      <c r="I623" s="145" t="s">
        <v>4269</v>
      </c>
      <c r="J623" s="17" t="s">
        <v>4266</v>
      </c>
      <c r="K623" s="17" t="s">
        <v>1453</v>
      </c>
      <c r="L623" s="17" t="s">
        <v>2</v>
      </c>
      <c r="M623" s="65">
        <v>8118249865</v>
      </c>
      <c r="N623" s="16">
        <v>869220041339627</v>
      </c>
      <c r="O623" s="17" t="s">
        <v>987</v>
      </c>
      <c r="P623" s="17" t="s">
        <v>39</v>
      </c>
      <c r="Q623" s="17" t="s">
        <v>2559</v>
      </c>
      <c r="R623" s="40">
        <v>1999.84</v>
      </c>
      <c r="S623" s="19" t="s">
        <v>4265</v>
      </c>
      <c r="T623" s="17"/>
      <c r="U623" s="66"/>
    </row>
    <row r="624" spans="2:22" s="15" customFormat="1" ht="29" x14ac:dyDescent="0.35">
      <c r="B624" s="64">
        <v>45210</v>
      </c>
      <c r="C624" s="17">
        <v>539</v>
      </c>
      <c r="D624" s="74" t="s">
        <v>5013</v>
      </c>
      <c r="E624" s="17" t="s">
        <v>988</v>
      </c>
      <c r="F624" s="85" t="s">
        <v>13</v>
      </c>
      <c r="G624" s="17" t="s">
        <v>1805</v>
      </c>
      <c r="H624" s="17" t="s">
        <v>989</v>
      </c>
      <c r="I624" s="145" t="s">
        <v>5090</v>
      </c>
      <c r="J624" s="17" t="s">
        <v>24</v>
      </c>
      <c r="K624" s="17" t="s">
        <v>1454</v>
      </c>
      <c r="L624" s="17" t="s">
        <v>2</v>
      </c>
      <c r="M624" s="65">
        <v>8118249709</v>
      </c>
      <c r="N624" s="16">
        <v>869220041341474</v>
      </c>
      <c r="O624" s="16" t="s">
        <v>39</v>
      </c>
      <c r="P624" s="17" t="s">
        <v>990</v>
      </c>
      <c r="Q624" s="14" t="s">
        <v>8</v>
      </c>
      <c r="R624" s="40">
        <v>1999.84</v>
      </c>
      <c r="S624" s="19" t="s">
        <v>5002</v>
      </c>
      <c r="T624" s="17"/>
      <c r="U624" s="66"/>
    </row>
    <row r="625" spans="2:22" s="15" customFormat="1" ht="29" x14ac:dyDescent="0.35">
      <c r="B625" s="64">
        <v>45210</v>
      </c>
      <c r="C625" s="17">
        <v>540</v>
      </c>
      <c r="D625" s="85" t="s">
        <v>3406</v>
      </c>
      <c r="E625" s="17" t="s">
        <v>988</v>
      </c>
      <c r="F625" s="85" t="s">
        <v>13</v>
      </c>
      <c r="G625" s="17" t="s">
        <v>1805</v>
      </c>
      <c r="H625" s="17" t="s">
        <v>3512</v>
      </c>
      <c r="I625" s="145">
        <v>0.5</v>
      </c>
      <c r="J625" s="121" t="s">
        <v>3366</v>
      </c>
      <c r="K625" s="17" t="s">
        <v>1455</v>
      </c>
      <c r="L625" s="17" t="s">
        <v>2</v>
      </c>
      <c r="M625" s="65">
        <v>8126311046</v>
      </c>
      <c r="N625" s="16">
        <v>869220041340088</v>
      </c>
      <c r="O625" s="16" t="s">
        <v>39</v>
      </c>
      <c r="P625" s="17" t="s">
        <v>991</v>
      </c>
      <c r="Q625" s="17" t="s">
        <v>2559</v>
      </c>
      <c r="R625" s="40">
        <v>1999.84</v>
      </c>
      <c r="S625" s="19" t="s">
        <v>3329</v>
      </c>
      <c r="T625" s="17"/>
      <c r="U625" s="66"/>
      <c r="V625" s="15" t="s">
        <v>1022</v>
      </c>
    </row>
    <row r="626" spans="2:22" s="15" customFormat="1" ht="29" x14ac:dyDescent="0.35">
      <c r="B626" s="64">
        <v>45212</v>
      </c>
      <c r="C626" s="17">
        <v>541</v>
      </c>
      <c r="D626" s="36" t="s">
        <v>39</v>
      </c>
      <c r="E626" s="67" t="s">
        <v>878</v>
      </c>
      <c r="F626" s="85" t="s">
        <v>40</v>
      </c>
      <c r="G626" s="14" t="s">
        <v>5</v>
      </c>
      <c r="H626" s="17" t="s">
        <v>11</v>
      </c>
      <c r="I626" s="145"/>
      <c r="J626" s="17" t="s">
        <v>993</v>
      </c>
      <c r="K626" s="17" t="s">
        <v>1459</v>
      </c>
      <c r="L626" s="17" t="s">
        <v>2</v>
      </c>
      <c r="M626" s="65" t="s">
        <v>39</v>
      </c>
      <c r="N626" s="16" t="s">
        <v>39</v>
      </c>
      <c r="O626" s="16"/>
      <c r="P626" s="17" t="s">
        <v>39</v>
      </c>
      <c r="Q626" s="14" t="s">
        <v>996</v>
      </c>
      <c r="R626" s="40">
        <v>290</v>
      </c>
      <c r="S626" s="41" t="s">
        <v>40</v>
      </c>
      <c r="T626" s="17"/>
      <c r="U626" s="66"/>
    </row>
    <row r="627" spans="2:22" s="15" customFormat="1" ht="29" x14ac:dyDescent="0.35">
      <c r="B627" s="64">
        <v>45212</v>
      </c>
      <c r="C627" s="17">
        <v>542</v>
      </c>
      <c r="D627" s="36" t="s">
        <v>2271</v>
      </c>
      <c r="E627" s="17" t="s">
        <v>992</v>
      </c>
      <c r="F627" s="85" t="s">
        <v>13</v>
      </c>
      <c r="G627" s="14" t="s">
        <v>5</v>
      </c>
      <c r="H627" s="17" t="s">
        <v>11</v>
      </c>
      <c r="I627" s="145"/>
      <c r="J627" s="17" t="s">
        <v>995</v>
      </c>
      <c r="K627" s="17" t="s">
        <v>1456</v>
      </c>
      <c r="L627" s="17" t="s">
        <v>2</v>
      </c>
      <c r="M627" s="65">
        <v>8126211897</v>
      </c>
      <c r="N627" s="16">
        <v>860896051699346</v>
      </c>
      <c r="O627" s="16"/>
      <c r="P627" s="17" t="s">
        <v>994</v>
      </c>
      <c r="Q627" s="14" t="s">
        <v>8</v>
      </c>
      <c r="R627" s="40">
        <v>1999.84</v>
      </c>
      <c r="S627" s="19" t="s">
        <v>2200</v>
      </c>
      <c r="T627" s="17"/>
      <c r="U627" s="66"/>
      <c r="V627" s="15" t="s">
        <v>1022</v>
      </c>
    </row>
    <row r="628" spans="2:22" s="15" customFormat="1" ht="29" x14ac:dyDescent="0.35">
      <c r="B628" s="64">
        <v>45213</v>
      </c>
      <c r="C628" s="17">
        <v>543</v>
      </c>
      <c r="D628" s="85" t="s">
        <v>4783</v>
      </c>
      <c r="E628" s="17" t="s">
        <v>997</v>
      </c>
      <c r="F628" s="85" t="s">
        <v>13</v>
      </c>
      <c r="G628" s="14" t="s">
        <v>5</v>
      </c>
      <c r="H628" s="14" t="s">
        <v>998</v>
      </c>
      <c r="I628" s="145">
        <v>0.375</v>
      </c>
      <c r="J628" s="17" t="s">
        <v>4795</v>
      </c>
      <c r="K628" s="17" t="s">
        <v>1457</v>
      </c>
      <c r="L628" s="17" t="s">
        <v>2</v>
      </c>
      <c r="M628" s="65">
        <v>8118227423</v>
      </c>
      <c r="N628" s="16">
        <v>865011031932404</v>
      </c>
      <c r="O628" s="17" t="s">
        <v>999</v>
      </c>
      <c r="P628" s="17" t="s">
        <v>39</v>
      </c>
      <c r="Q628" s="17" t="s">
        <v>2559</v>
      </c>
      <c r="R628" s="40">
        <v>1999.84</v>
      </c>
      <c r="S628" s="19" t="s">
        <v>4776</v>
      </c>
      <c r="T628" s="17"/>
      <c r="U628" s="66"/>
      <c r="V628" s="15" t="s">
        <v>1022</v>
      </c>
    </row>
    <row r="629" spans="2:22" s="15" customFormat="1" ht="43.5" x14ac:dyDescent="0.35">
      <c r="B629" s="64">
        <v>45217</v>
      </c>
      <c r="C629" s="17">
        <v>544</v>
      </c>
      <c r="D629" s="36" t="s">
        <v>39</v>
      </c>
      <c r="E629" s="67" t="s">
        <v>56</v>
      </c>
      <c r="F629" s="85" t="s">
        <v>40</v>
      </c>
      <c r="G629" s="17" t="s">
        <v>5</v>
      </c>
      <c r="H629" s="17" t="s">
        <v>17</v>
      </c>
      <c r="I629" s="145"/>
      <c r="J629" s="17" t="s">
        <v>1000</v>
      </c>
      <c r="K629" s="17" t="s">
        <v>1458</v>
      </c>
      <c r="L629" s="17" t="s">
        <v>2</v>
      </c>
      <c r="M629" s="65" t="s">
        <v>39</v>
      </c>
      <c r="N629" s="16" t="s">
        <v>39</v>
      </c>
      <c r="O629" s="16"/>
      <c r="P629" s="17" t="s">
        <v>39</v>
      </c>
      <c r="Q629" s="14" t="s">
        <v>1003</v>
      </c>
      <c r="R629" s="40">
        <v>290</v>
      </c>
      <c r="S629" s="41" t="s">
        <v>40</v>
      </c>
      <c r="T629" s="17"/>
      <c r="U629" s="66"/>
    </row>
    <row r="630" spans="2:22" s="15" customFormat="1" ht="29" x14ac:dyDescent="0.35">
      <c r="B630" s="64">
        <v>45217</v>
      </c>
      <c r="C630" s="17">
        <v>545</v>
      </c>
      <c r="D630" s="124" t="s">
        <v>3600</v>
      </c>
      <c r="E630" s="17" t="s">
        <v>1001</v>
      </c>
      <c r="F630" s="85" t="s">
        <v>13</v>
      </c>
      <c r="G630" s="17" t="s">
        <v>5</v>
      </c>
      <c r="H630" s="17" t="s">
        <v>17</v>
      </c>
      <c r="I630" s="145">
        <v>0.66666666666666663</v>
      </c>
      <c r="J630" s="17" t="s">
        <v>4082</v>
      </c>
      <c r="K630" s="17" t="s">
        <v>1460</v>
      </c>
      <c r="L630" s="17" t="s">
        <v>2</v>
      </c>
      <c r="M630" s="65">
        <v>8128601995</v>
      </c>
      <c r="N630" s="16">
        <v>869220041342944</v>
      </c>
      <c r="O630" s="17" t="s">
        <v>1002</v>
      </c>
      <c r="P630" s="17" t="s">
        <v>39</v>
      </c>
      <c r="Q630" s="17" t="s">
        <v>2559</v>
      </c>
      <c r="R630" s="40">
        <v>1999.84</v>
      </c>
      <c r="S630" s="19" t="s">
        <v>3584</v>
      </c>
      <c r="T630" s="17"/>
      <c r="U630" s="66"/>
      <c r="V630" s="15" t="s">
        <v>1022</v>
      </c>
    </row>
    <row r="631" spans="2:22" s="15" customFormat="1" ht="29" x14ac:dyDescent="0.35">
      <c r="B631" s="64">
        <v>45218</v>
      </c>
      <c r="C631" s="17">
        <v>546</v>
      </c>
      <c r="D631" s="39" t="s">
        <v>2627</v>
      </c>
      <c r="E631" s="17" t="s">
        <v>1505</v>
      </c>
      <c r="F631" s="85" t="s">
        <v>1468</v>
      </c>
      <c r="G631" s="17" t="s">
        <v>5</v>
      </c>
      <c r="H631" s="17" t="s">
        <v>1469</v>
      </c>
      <c r="I631" s="145"/>
      <c r="J631" s="17" t="s">
        <v>1470</v>
      </c>
      <c r="K631" s="14" t="s">
        <v>1503</v>
      </c>
      <c r="L631" s="17" t="s">
        <v>39</v>
      </c>
      <c r="M631" s="38">
        <v>8181622777</v>
      </c>
      <c r="N631" s="38">
        <v>864895033314798</v>
      </c>
      <c r="O631" s="38"/>
      <c r="P631" s="14" t="s">
        <v>621</v>
      </c>
      <c r="Q631" s="39" t="s">
        <v>2623</v>
      </c>
      <c r="R631" s="40">
        <v>0</v>
      </c>
      <c r="S631" s="41" t="s">
        <v>1504</v>
      </c>
      <c r="T631" s="17"/>
      <c r="U631" s="66"/>
    </row>
    <row r="632" spans="2:22" s="15" customFormat="1" ht="29" x14ac:dyDescent="0.35">
      <c r="B632" s="64">
        <v>45218</v>
      </c>
      <c r="C632" s="17">
        <v>547</v>
      </c>
      <c r="D632" s="39" t="s">
        <v>2614</v>
      </c>
      <c r="E632" s="17" t="s">
        <v>1504</v>
      </c>
      <c r="F632" s="85" t="s">
        <v>1468</v>
      </c>
      <c r="G632" s="17" t="s">
        <v>5</v>
      </c>
      <c r="H632" s="17" t="s">
        <v>1930</v>
      </c>
      <c r="I632" s="145" t="s">
        <v>39</v>
      </c>
      <c r="J632" s="17" t="s">
        <v>1471</v>
      </c>
      <c r="K632" s="17" t="s">
        <v>1472</v>
      </c>
      <c r="L632" s="17" t="s">
        <v>39</v>
      </c>
      <c r="M632" s="37">
        <v>8116841487</v>
      </c>
      <c r="N632" s="38">
        <v>868998039551854</v>
      </c>
      <c r="O632" s="38" t="s">
        <v>39</v>
      </c>
      <c r="P632" s="14" t="s">
        <v>825</v>
      </c>
      <c r="Q632" s="39" t="s">
        <v>459</v>
      </c>
      <c r="R632" s="40">
        <v>0</v>
      </c>
      <c r="S632" s="41" t="s">
        <v>1504</v>
      </c>
      <c r="T632" s="17"/>
      <c r="U632" s="66"/>
    </row>
    <row r="633" spans="2:22" s="15" customFormat="1" ht="29" x14ac:dyDescent="0.35">
      <c r="B633" s="64">
        <v>45218</v>
      </c>
      <c r="C633" s="17">
        <v>548</v>
      </c>
      <c r="D633" s="36" t="s">
        <v>2615</v>
      </c>
      <c r="E633" s="17" t="s">
        <v>1505</v>
      </c>
      <c r="F633" s="85" t="s">
        <v>1468</v>
      </c>
      <c r="G633" s="17" t="s">
        <v>5</v>
      </c>
      <c r="H633" s="17" t="s">
        <v>1930</v>
      </c>
      <c r="I633" s="145" t="s">
        <v>39</v>
      </c>
      <c r="J633" s="17" t="s">
        <v>1473</v>
      </c>
      <c r="K633" s="17" t="s">
        <v>1032</v>
      </c>
      <c r="L633" s="17" t="s">
        <v>39</v>
      </c>
      <c r="M633" s="38" t="str">
        <f>"345901012158940"</f>
        <v>345901012158940</v>
      </c>
      <c r="N633" s="38">
        <v>865011032760127</v>
      </c>
      <c r="O633" s="38" t="s">
        <v>3561</v>
      </c>
      <c r="P633" s="14" t="s">
        <v>3560</v>
      </c>
      <c r="Q633" s="39" t="s">
        <v>459</v>
      </c>
      <c r="R633" s="40">
        <v>0</v>
      </c>
      <c r="S633" s="41" t="s">
        <v>1504</v>
      </c>
      <c r="T633" s="17"/>
      <c r="U633" s="66"/>
    </row>
    <row r="634" spans="2:22" s="15" customFormat="1" ht="29" x14ac:dyDescent="0.35">
      <c r="B634" s="64">
        <v>45218</v>
      </c>
      <c r="C634" s="17">
        <v>549</v>
      </c>
      <c r="D634" s="39" t="s">
        <v>2619</v>
      </c>
      <c r="E634" s="17" t="s">
        <v>522</v>
      </c>
      <c r="F634" s="85" t="s">
        <v>1468</v>
      </c>
      <c r="G634" s="17" t="s">
        <v>5</v>
      </c>
      <c r="H634" s="17" t="s">
        <v>1469</v>
      </c>
      <c r="I634" s="145" t="s">
        <v>39</v>
      </c>
      <c r="J634" s="17" t="s">
        <v>1474</v>
      </c>
      <c r="K634" s="17" t="s">
        <v>1034</v>
      </c>
      <c r="L634" s="17" t="s">
        <v>39</v>
      </c>
      <c r="M634" s="37">
        <v>345901012163828</v>
      </c>
      <c r="N634" s="37">
        <v>864893039429033</v>
      </c>
      <c r="O634" s="14" t="s">
        <v>521</v>
      </c>
      <c r="P634" s="14" t="s">
        <v>39</v>
      </c>
      <c r="Q634" s="60" t="s">
        <v>3563</v>
      </c>
      <c r="R634" s="40">
        <v>0</v>
      </c>
      <c r="S634" s="41" t="s">
        <v>2878</v>
      </c>
      <c r="T634" s="17"/>
      <c r="U634" s="66"/>
    </row>
    <row r="635" spans="2:22" s="15" customFormat="1" ht="29" x14ac:dyDescent="0.35">
      <c r="B635" s="64">
        <v>45218</v>
      </c>
      <c r="C635" s="17">
        <v>550</v>
      </c>
      <c r="D635" s="36" t="s">
        <v>2622</v>
      </c>
      <c r="E635" s="14" t="s">
        <v>1504</v>
      </c>
      <c r="F635" s="85" t="s">
        <v>1468</v>
      </c>
      <c r="G635" s="17" t="s">
        <v>5</v>
      </c>
      <c r="H635" s="17" t="s">
        <v>1930</v>
      </c>
      <c r="I635" s="145" t="s">
        <v>39</v>
      </c>
      <c r="J635" s="17" t="s">
        <v>1475</v>
      </c>
      <c r="K635" s="17" t="s">
        <v>1476</v>
      </c>
      <c r="L635" s="17" t="s">
        <v>39</v>
      </c>
      <c r="M635" s="38">
        <v>345901012159559</v>
      </c>
      <c r="N635" s="38">
        <v>865011032759806</v>
      </c>
      <c r="O635" s="14" t="s">
        <v>816</v>
      </c>
      <c r="P635" s="14" t="s">
        <v>39</v>
      </c>
      <c r="Q635" s="39" t="s">
        <v>2623</v>
      </c>
      <c r="R635" s="40">
        <v>0</v>
      </c>
      <c r="S635" s="41" t="s">
        <v>1504</v>
      </c>
      <c r="T635" s="17"/>
      <c r="U635" s="66"/>
    </row>
    <row r="636" spans="2:22" s="15" customFormat="1" ht="29" x14ac:dyDescent="0.35">
      <c r="B636" s="64">
        <v>45218</v>
      </c>
      <c r="C636" s="17">
        <v>551</v>
      </c>
      <c r="D636" s="36" t="s">
        <v>2635</v>
      </c>
      <c r="E636" s="17" t="s">
        <v>1505</v>
      </c>
      <c r="F636" s="85" t="s">
        <v>1468</v>
      </c>
      <c r="G636" s="17" t="s">
        <v>5</v>
      </c>
      <c r="H636" s="17" t="s">
        <v>1469</v>
      </c>
      <c r="I636" s="145"/>
      <c r="J636" s="17" t="s">
        <v>1507</v>
      </c>
      <c r="K636" s="17" t="s">
        <v>1046</v>
      </c>
      <c r="L636" s="17" t="s">
        <v>39</v>
      </c>
      <c r="M636" s="38">
        <v>8118249610</v>
      </c>
      <c r="N636" s="38">
        <v>865011031967913</v>
      </c>
      <c r="O636" s="38"/>
      <c r="P636" s="14" t="s">
        <v>1</v>
      </c>
      <c r="Q636" s="39" t="s">
        <v>2623</v>
      </c>
      <c r="R636" s="40">
        <v>0</v>
      </c>
      <c r="S636" s="41" t="s">
        <v>1504</v>
      </c>
      <c r="T636" s="17"/>
      <c r="U636" s="66"/>
    </row>
    <row r="637" spans="2:22" s="15" customFormat="1" ht="29" x14ac:dyDescent="0.35">
      <c r="B637" s="64">
        <v>45218</v>
      </c>
      <c r="C637" s="17">
        <v>552</v>
      </c>
      <c r="D637" s="36" t="s">
        <v>2640</v>
      </c>
      <c r="E637" s="17" t="s">
        <v>1505</v>
      </c>
      <c r="F637" s="85" t="s">
        <v>1468</v>
      </c>
      <c r="G637" s="17" t="s">
        <v>5</v>
      </c>
      <c r="H637" s="17" t="s">
        <v>1469</v>
      </c>
      <c r="I637" s="145"/>
      <c r="J637" s="17" t="s">
        <v>1477</v>
      </c>
      <c r="K637" s="14" t="s">
        <v>1047</v>
      </c>
      <c r="L637" s="17" t="s">
        <v>39</v>
      </c>
      <c r="M637" s="38">
        <v>345901012162302</v>
      </c>
      <c r="N637" s="38">
        <v>864352043822634</v>
      </c>
      <c r="O637" s="38"/>
      <c r="P637" s="14" t="s">
        <v>804</v>
      </c>
      <c r="Q637" s="39" t="s">
        <v>2559</v>
      </c>
      <c r="R637" s="40">
        <v>0</v>
      </c>
      <c r="S637" s="41" t="s">
        <v>1504</v>
      </c>
      <c r="T637" s="17"/>
      <c r="U637" s="66"/>
    </row>
    <row r="638" spans="2:22" s="15" customFormat="1" ht="29" x14ac:dyDescent="0.35">
      <c r="B638" s="64">
        <v>45218</v>
      </c>
      <c r="C638" s="17">
        <v>553</v>
      </c>
      <c r="D638" s="36" t="s">
        <v>2641</v>
      </c>
      <c r="E638" s="17" t="s">
        <v>1505</v>
      </c>
      <c r="F638" s="85" t="s">
        <v>1468</v>
      </c>
      <c r="G638" s="17" t="s">
        <v>5</v>
      </c>
      <c r="H638" s="17" t="s">
        <v>1469</v>
      </c>
      <c r="I638" s="145" t="s">
        <v>39</v>
      </c>
      <c r="J638" s="17" t="s">
        <v>1478</v>
      </c>
      <c r="K638" s="14" t="s">
        <v>1048</v>
      </c>
      <c r="L638" s="17" t="s">
        <v>39</v>
      </c>
      <c r="M638" s="38">
        <v>345901012163840</v>
      </c>
      <c r="N638" s="38">
        <v>869530043022470</v>
      </c>
      <c r="O638" s="38" t="s">
        <v>1578</v>
      </c>
      <c r="P638" s="14" t="s">
        <v>4305</v>
      </c>
      <c r="Q638" s="39" t="s">
        <v>2559</v>
      </c>
      <c r="R638" s="40">
        <v>0</v>
      </c>
      <c r="S638" s="41" t="s">
        <v>1504</v>
      </c>
      <c r="T638" s="17"/>
      <c r="U638" s="66"/>
    </row>
    <row r="639" spans="2:22" s="15" customFormat="1" ht="29" x14ac:dyDescent="0.35">
      <c r="B639" s="64">
        <v>45218</v>
      </c>
      <c r="C639" s="17">
        <v>554</v>
      </c>
      <c r="D639" s="36" t="s">
        <v>2643</v>
      </c>
      <c r="E639" s="17" t="s">
        <v>1505</v>
      </c>
      <c r="F639" s="85" t="s">
        <v>1468</v>
      </c>
      <c r="G639" s="17" t="s">
        <v>5</v>
      </c>
      <c r="H639" s="17" t="s">
        <v>1469</v>
      </c>
      <c r="I639" s="145"/>
      <c r="J639" s="17" t="s">
        <v>1480</v>
      </c>
      <c r="K639" s="17" t="s">
        <v>1479</v>
      </c>
      <c r="L639" s="17" t="s">
        <v>39</v>
      </c>
      <c r="M639" s="38">
        <v>345901012158872</v>
      </c>
      <c r="N639" s="38">
        <v>865011032922008</v>
      </c>
      <c r="O639" s="38"/>
      <c r="P639" s="14" t="s">
        <v>801</v>
      </c>
      <c r="Q639" s="39" t="s">
        <v>2559</v>
      </c>
      <c r="R639" s="40">
        <v>0</v>
      </c>
      <c r="S639" s="41" t="s">
        <v>1504</v>
      </c>
      <c r="T639" s="17"/>
      <c r="U639" s="66"/>
    </row>
    <row r="640" spans="2:22" s="15" customFormat="1" ht="29" x14ac:dyDescent="0.35">
      <c r="B640" s="64">
        <v>45218</v>
      </c>
      <c r="C640" s="17">
        <v>555</v>
      </c>
      <c r="D640" s="36" t="s">
        <v>2648</v>
      </c>
      <c r="E640" s="17" t="s">
        <v>1505</v>
      </c>
      <c r="F640" s="85" t="s">
        <v>1468</v>
      </c>
      <c r="G640" s="17" t="s">
        <v>5</v>
      </c>
      <c r="H640" s="17" t="s">
        <v>1469</v>
      </c>
      <c r="I640" s="145"/>
      <c r="J640" s="17" t="s">
        <v>1481</v>
      </c>
      <c r="K640" s="17" t="s">
        <v>1053</v>
      </c>
      <c r="L640" s="17" t="s">
        <v>39</v>
      </c>
      <c r="M640" s="38">
        <v>345901012158830</v>
      </c>
      <c r="N640" s="38">
        <v>864352043824507</v>
      </c>
      <c r="O640" s="38"/>
      <c r="P640" s="14" t="s">
        <v>800</v>
      </c>
      <c r="Q640" s="39" t="s">
        <v>2559</v>
      </c>
      <c r="R640" s="40">
        <v>0</v>
      </c>
      <c r="S640" s="41" t="s">
        <v>1504</v>
      </c>
      <c r="T640" s="17"/>
      <c r="U640" s="66"/>
    </row>
    <row r="641" spans="2:21" s="15" customFormat="1" ht="29" x14ac:dyDescent="0.35">
      <c r="B641" s="64">
        <v>45218</v>
      </c>
      <c r="C641" s="17">
        <v>556</v>
      </c>
      <c r="D641" s="36" t="s">
        <v>2649</v>
      </c>
      <c r="E641" s="17" t="s">
        <v>1504</v>
      </c>
      <c r="F641" s="85" t="s">
        <v>1468</v>
      </c>
      <c r="G641" s="17" t="s">
        <v>5</v>
      </c>
      <c r="H641" s="17" t="s">
        <v>1469</v>
      </c>
      <c r="I641" s="145"/>
      <c r="J641" s="17" t="s">
        <v>1485</v>
      </c>
      <c r="K641" s="17" t="s">
        <v>1055</v>
      </c>
      <c r="L641" s="17" t="s">
        <v>39</v>
      </c>
      <c r="M641" s="38">
        <v>345901012165277</v>
      </c>
      <c r="N641" s="38">
        <v>867060032085900</v>
      </c>
      <c r="O641" s="38"/>
      <c r="P641" s="14" t="s">
        <v>798</v>
      </c>
      <c r="Q641" s="39" t="s">
        <v>2559</v>
      </c>
      <c r="R641" s="40">
        <v>0</v>
      </c>
      <c r="S641" s="41" t="s">
        <v>1504</v>
      </c>
      <c r="T641" s="17"/>
      <c r="U641" s="66"/>
    </row>
    <row r="642" spans="2:21" s="15" customFormat="1" ht="29" x14ac:dyDescent="0.35">
      <c r="B642" s="64">
        <v>45218</v>
      </c>
      <c r="C642" s="17">
        <v>557</v>
      </c>
      <c r="D642" s="36" t="s">
        <v>2659</v>
      </c>
      <c r="E642" s="17" t="s">
        <v>1505</v>
      </c>
      <c r="F642" s="85" t="s">
        <v>1468</v>
      </c>
      <c r="G642" s="17" t="s">
        <v>5</v>
      </c>
      <c r="H642" s="17" t="s">
        <v>1469</v>
      </c>
      <c r="I642" s="145"/>
      <c r="J642" s="17" t="s">
        <v>1486</v>
      </c>
      <c r="K642" s="14" t="s">
        <v>1508</v>
      </c>
      <c r="L642" s="17" t="s">
        <v>39</v>
      </c>
      <c r="M642" s="38">
        <v>345901012161615</v>
      </c>
      <c r="N642" s="38">
        <v>863844051167499</v>
      </c>
      <c r="O642" s="38"/>
      <c r="P642" s="14" t="s">
        <v>795</v>
      </c>
      <c r="Q642" s="39" t="s">
        <v>2559</v>
      </c>
      <c r="R642" s="40">
        <v>0</v>
      </c>
      <c r="S642" s="41" t="s">
        <v>1504</v>
      </c>
      <c r="T642" s="17"/>
      <c r="U642" s="66"/>
    </row>
    <row r="643" spans="2:21" s="15" customFormat="1" ht="29" x14ac:dyDescent="0.35">
      <c r="B643" s="64">
        <v>45218</v>
      </c>
      <c r="C643" s="17">
        <v>558</v>
      </c>
      <c r="D643" s="36" t="s">
        <v>2664</v>
      </c>
      <c r="E643" s="17" t="s">
        <v>1505</v>
      </c>
      <c r="F643" s="85" t="s">
        <v>1468</v>
      </c>
      <c r="G643" s="17" t="s">
        <v>5</v>
      </c>
      <c r="H643" s="17" t="s">
        <v>1469</v>
      </c>
      <c r="I643" s="145"/>
      <c r="J643" s="17" t="s">
        <v>1487</v>
      </c>
      <c r="K643" s="17" t="s">
        <v>1063</v>
      </c>
      <c r="L643" s="17" t="s">
        <v>39</v>
      </c>
      <c r="M643" s="38">
        <v>345901012473212</v>
      </c>
      <c r="N643" s="38">
        <v>865011032218845</v>
      </c>
      <c r="O643" s="38"/>
      <c r="P643" s="14" t="s">
        <v>792</v>
      </c>
      <c r="Q643" s="39" t="s">
        <v>2559</v>
      </c>
      <c r="R643" s="40">
        <v>0</v>
      </c>
      <c r="S643" s="41" t="s">
        <v>1504</v>
      </c>
      <c r="T643" s="17"/>
      <c r="U643" s="66"/>
    </row>
    <row r="644" spans="2:21" s="15" customFormat="1" ht="29" x14ac:dyDescent="0.35">
      <c r="B644" s="64">
        <v>45218</v>
      </c>
      <c r="C644" s="17">
        <v>559</v>
      </c>
      <c r="D644" s="85" t="s">
        <v>2667</v>
      </c>
      <c r="E644" s="17" t="s">
        <v>1505</v>
      </c>
      <c r="F644" s="85" t="s">
        <v>1468</v>
      </c>
      <c r="G644" s="17" t="s">
        <v>5</v>
      </c>
      <c r="H644" s="17" t="s">
        <v>1469</v>
      </c>
      <c r="I644" s="145"/>
      <c r="J644" s="17" t="s">
        <v>1488</v>
      </c>
      <c r="K644" s="17" t="s">
        <v>1066</v>
      </c>
      <c r="L644" s="17" t="s">
        <v>39</v>
      </c>
      <c r="M644" s="38">
        <v>345901012473186</v>
      </c>
      <c r="N644" s="38">
        <v>865011032239684</v>
      </c>
      <c r="O644" s="38"/>
      <c r="P644" s="14" t="s">
        <v>791</v>
      </c>
      <c r="Q644" s="39" t="s">
        <v>2559</v>
      </c>
      <c r="R644" s="40">
        <v>0</v>
      </c>
      <c r="S644" s="41" t="s">
        <v>1504</v>
      </c>
      <c r="T644" s="17"/>
      <c r="U644" s="66"/>
    </row>
    <row r="645" spans="2:21" s="15" customFormat="1" ht="29" x14ac:dyDescent="0.35">
      <c r="B645" s="64">
        <v>45218</v>
      </c>
      <c r="C645" s="17">
        <v>560</v>
      </c>
      <c r="D645" s="85" t="s">
        <v>2681</v>
      </c>
      <c r="E645" s="17" t="s">
        <v>1505</v>
      </c>
      <c r="F645" s="85" t="s">
        <v>1468</v>
      </c>
      <c r="G645" s="17" t="s">
        <v>5</v>
      </c>
      <c r="H645" s="17" t="s">
        <v>1469</v>
      </c>
      <c r="I645" s="145"/>
      <c r="J645" s="17" t="s">
        <v>1484</v>
      </c>
      <c r="K645" s="17" t="s">
        <v>1482</v>
      </c>
      <c r="L645" s="17" t="s">
        <v>39</v>
      </c>
      <c r="M645" s="38">
        <v>345901012471682</v>
      </c>
      <c r="N645" s="38">
        <v>865011031935704</v>
      </c>
      <c r="O645" s="38"/>
      <c r="P645" s="14" t="s">
        <v>785</v>
      </c>
      <c r="Q645" s="39" t="s">
        <v>2559</v>
      </c>
      <c r="R645" s="40">
        <v>0</v>
      </c>
      <c r="S645" s="41" t="s">
        <v>1504</v>
      </c>
      <c r="T645" s="17"/>
      <c r="U645" s="66"/>
    </row>
    <row r="646" spans="2:21" s="15" customFormat="1" ht="29" x14ac:dyDescent="0.35">
      <c r="B646" s="64">
        <v>45218</v>
      </c>
      <c r="C646" s="17">
        <v>561</v>
      </c>
      <c r="D646" s="85" t="s">
        <v>2684</v>
      </c>
      <c r="E646" s="17" t="s">
        <v>1505</v>
      </c>
      <c r="F646" s="85" t="s">
        <v>1468</v>
      </c>
      <c r="G646" s="17" t="s">
        <v>5</v>
      </c>
      <c r="H646" s="17" t="s">
        <v>1469</v>
      </c>
      <c r="I646" s="145"/>
      <c r="J646" s="17" t="s">
        <v>1483</v>
      </c>
      <c r="K646" s="17" t="s">
        <v>1075</v>
      </c>
      <c r="L646" s="17" t="s">
        <v>39</v>
      </c>
      <c r="M646" s="38">
        <v>345901012255307</v>
      </c>
      <c r="N646" s="38">
        <v>863844050695888</v>
      </c>
      <c r="O646" s="38"/>
      <c r="P646" s="14" t="s">
        <v>780</v>
      </c>
      <c r="Q646" s="39" t="s">
        <v>2623</v>
      </c>
      <c r="R646" s="40">
        <v>0</v>
      </c>
      <c r="S646" s="41" t="s">
        <v>1504</v>
      </c>
      <c r="T646" s="17"/>
      <c r="U646" s="66"/>
    </row>
    <row r="647" spans="2:21" s="15" customFormat="1" ht="29" x14ac:dyDescent="0.35">
      <c r="B647" s="64">
        <v>45218</v>
      </c>
      <c r="C647" s="17">
        <v>562</v>
      </c>
      <c r="D647" s="85" t="s">
        <v>2686</v>
      </c>
      <c r="E647" s="17" t="s">
        <v>1505</v>
      </c>
      <c r="F647" s="85" t="s">
        <v>1468</v>
      </c>
      <c r="G647" s="17" t="s">
        <v>5</v>
      </c>
      <c r="H647" s="17" t="s">
        <v>1469</v>
      </c>
      <c r="I647" s="145"/>
      <c r="J647" s="17" t="s">
        <v>1489</v>
      </c>
      <c r="K647" s="17" t="s">
        <v>1490</v>
      </c>
      <c r="L647" s="17" t="s">
        <v>39</v>
      </c>
      <c r="M647" s="37">
        <v>345901012255369</v>
      </c>
      <c r="N647" s="38">
        <v>863844050695607</v>
      </c>
      <c r="O647" s="38"/>
      <c r="P647" s="14" t="s">
        <v>778</v>
      </c>
      <c r="Q647" s="39" t="s">
        <v>2559</v>
      </c>
      <c r="R647" s="40">
        <v>0</v>
      </c>
      <c r="S647" s="41" t="s">
        <v>1504</v>
      </c>
      <c r="T647" s="17"/>
      <c r="U647" s="66"/>
    </row>
    <row r="648" spans="2:21" s="15" customFormat="1" ht="29" x14ac:dyDescent="0.35">
      <c r="B648" s="64">
        <v>45218</v>
      </c>
      <c r="C648" s="17">
        <v>563</v>
      </c>
      <c r="D648" s="85" t="s">
        <v>2690</v>
      </c>
      <c r="E648" s="17" t="s">
        <v>1505</v>
      </c>
      <c r="F648" s="85" t="s">
        <v>1468</v>
      </c>
      <c r="G648" s="17" t="s">
        <v>5</v>
      </c>
      <c r="H648" s="17" t="s">
        <v>1930</v>
      </c>
      <c r="I648" s="145"/>
      <c r="J648" s="17" t="s">
        <v>1491</v>
      </c>
      <c r="K648" s="17" t="s">
        <v>1081</v>
      </c>
      <c r="L648" s="17" t="s">
        <v>39</v>
      </c>
      <c r="M648" s="38">
        <v>8123195890</v>
      </c>
      <c r="N648" s="38">
        <v>865011033005951</v>
      </c>
      <c r="O648" s="38"/>
      <c r="P648" s="14" t="s">
        <v>752</v>
      </c>
      <c r="Q648" s="39" t="s">
        <v>2623</v>
      </c>
      <c r="R648" s="40">
        <v>0</v>
      </c>
      <c r="S648" s="41" t="s">
        <v>1504</v>
      </c>
      <c r="T648" s="17"/>
      <c r="U648" s="66"/>
    </row>
    <row r="649" spans="2:21" s="15" customFormat="1" ht="29" x14ac:dyDescent="0.35">
      <c r="B649" s="64">
        <v>45218</v>
      </c>
      <c r="C649" s="17">
        <v>564</v>
      </c>
      <c r="D649" s="85" t="s">
        <v>2698</v>
      </c>
      <c r="E649" s="17" t="s">
        <v>1505</v>
      </c>
      <c r="F649" s="85" t="s">
        <v>1468</v>
      </c>
      <c r="G649" s="17" t="s">
        <v>5</v>
      </c>
      <c r="H649" s="17" t="s">
        <v>1469</v>
      </c>
      <c r="I649" s="145"/>
      <c r="J649" s="17" t="s">
        <v>1492</v>
      </c>
      <c r="K649" s="17" t="s">
        <v>1493</v>
      </c>
      <c r="L649" s="17" t="s">
        <v>39</v>
      </c>
      <c r="M649" s="37">
        <v>345901012597176</v>
      </c>
      <c r="N649" s="38">
        <v>863844050547204</v>
      </c>
      <c r="O649" s="38"/>
      <c r="P649" s="14" t="s">
        <v>750</v>
      </c>
      <c r="Q649" s="39" t="s">
        <v>2559</v>
      </c>
      <c r="R649" s="40">
        <v>0</v>
      </c>
      <c r="S649" s="41" t="s">
        <v>1504</v>
      </c>
      <c r="T649" s="17"/>
      <c r="U649" s="66"/>
    </row>
    <row r="650" spans="2:21" s="15" customFormat="1" ht="29" x14ac:dyDescent="0.35">
      <c r="B650" s="64">
        <v>45218</v>
      </c>
      <c r="C650" s="17">
        <v>565</v>
      </c>
      <c r="D650" s="85" t="s">
        <v>2703</v>
      </c>
      <c r="E650" s="17" t="s">
        <v>1505</v>
      </c>
      <c r="F650" s="85" t="s">
        <v>1468</v>
      </c>
      <c r="G650" s="17" t="s">
        <v>5</v>
      </c>
      <c r="H650" s="17" t="s">
        <v>1930</v>
      </c>
      <c r="I650" s="145"/>
      <c r="J650" s="17" t="s">
        <v>1494</v>
      </c>
      <c r="K650" s="17" t="s">
        <v>1495</v>
      </c>
      <c r="L650" s="17" t="s">
        <v>39</v>
      </c>
      <c r="M650" s="37">
        <v>345901012471721</v>
      </c>
      <c r="N650" s="38">
        <v>865011031931166</v>
      </c>
      <c r="O650" s="38"/>
      <c r="P650" s="14" t="s">
        <v>741</v>
      </c>
      <c r="Q650" s="39" t="s">
        <v>2559</v>
      </c>
      <c r="R650" s="40">
        <v>0</v>
      </c>
      <c r="S650" s="41" t="s">
        <v>1504</v>
      </c>
      <c r="T650" s="17"/>
      <c r="U650" s="66"/>
    </row>
    <row r="651" spans="2:21" s="15" customFormat="1" ht="29" x14ac:dyDescent="0.35">
      <c r="B651" s="64">
        <v>45218</v>
      </c>
      <c r="C651" s="17">
        <v>566</v>
      </c>
      <c r="D651" s="85" t="s">
        <v>2738</v>
      </c>
      <c r="E651" s="17" t="s">
        <v>1505</v>
      </c>
      <c r="F651" s="85" t="s">
        <v>1468</v>
      </c>
      <c r="G651" s="17" t="s">
        <v>5</v>
      </c>
      <c r="H651" s="17" t="s">
        <v>1469</v>
      </c>
      <c r="I651" s="145"/>
      <c r="J651" s="17" t="s">
        <v>1496</v>
      </c>
      <c r="K651" s="17" t="s">
        <v>1497</v>
      </c>
      <c r="L651" s="17" t="s">
        <v>39</v>
      </c>
      <c r="M651" s="37">
        <v>345901012704870</v>
      </c>
      <c r="N651" s="38">
        <v>863844052821755</v>
      </c>
      <c r="O651" s="118"/>
      <c r="P651" s="63" t="s">
        <v>1522</v>
      </c>
      <c r="Q651" s="39" t="s">
        <v>2559</v>
      </c>
      <c r="R651" s="40">
        <v>0</v>
      </c>
      <c r="S651" s="41" t="s">
        <v>1504</v>
      </c>
      <c r="T651" s="17"/>
      <c r="U651" s="66"/>
    </row>
    <row r="652" spans="2:21" s="15" customFormat="1" ht="29" x14ac:dyDescent="0.35">
      <c r="B652" s="64">
        <v>45218</v>
      </c>
      <c r="C652" s="17">
        <v>567</v>
      </c>
      <c r="D652" s="85" t="s">
        <v>2740</v>
      </c>
      <c r="E652" s="17" t="s">
        <v>1505</v>
      </c>
      <c r="F652" s="85" t="s">
        <v>1468</v>
      </c>
      <c r="G652" s="17" t="s">
        <v>5</v>
      </c>
      <c r="H652" s="17" t="s">
        <v>1469</v>
      </c>
      <c r="I652" s="145"/>
      <c r="J652" s="17" t="s">
        <v>1498</v>
      </c>
      <c r="K652" s="17" t="s">
        <v>1112</v>
      </c>
      <c r="L652" s="17" t="s">
        <v>39</v>
      </c>
      <c r="M652" s="37">
        <v>345901012471722</v>
      </c>
      <c r="N652" s="38">
        <v>863844052818298</v>
      </c>
      <c r="O652" s="38"/>
      <c r="P652" s="14" t="s">
        <v>708</v>
      </c>
      <c r="Q652" s="39" t="s">
        <v>2559</v>
      </c>
      <c r="R652" s="40">
        <v>0</v>
      </c>
      <c r="S652" s="41" t="s">
        <v>1504</v>
      </c>
      <c r="T652" s="17"/>
      <c r="U652" s="66"/>
    </row>
    <row r="653" spans="2:21" s="15" customFormat="1" ht="29" x14ac:dyDescent="0.35">
      <c r="B653" s="64">
        <v>45218</v>
      </c>
      <c r="C653" s="17">
        <v>568</v>
      </c>
      <c r="D653" s="36" t="s">
        <v>1962</v>
      </c>
      <c r="E653" s="17" t="s">
        <v>1505</v>
      </c>
      <c r="F653" s="85" t="s">
        <v>1468</v>
      </c>
      <c r="G653" s="17" t="s">
        <v>5</v>
      </c>
      <c r="H653" s="17" t="s">
        <v>1930</v>
      </c>
      <c r="I653" s="145"/>
      <c r="J653" s="17" t="s">
        <v>1499</v>
      </c>
      <c r="K653" s="17" t="s">
        <v>1461</v>
      </c>
      <c r="L653" s="17" t="s">
        <v>39</v>
      </c>
      <c r="M653" s="38">
        <v>8134058857</v>
      </c>
      <c r="N653" s="38">
        <v>359857084511641</v>
      </c>
      <c r="O653" s="38"/>
      <c r="P653" s="14" t="s">
        <v>654</v>
      </c>
      <c r="Q653" s="39" t="s">
        <v>2559</v>
      </c>
      <c r="R653" s="40">
        <v>0</v>
      </c>
      <c r="S653" s="41" t="s">
        <v>1504</v>
      </c>
      <c r="T653" s="17"/>
      <c r="U653" s="66"/>
    </row>
    <row r="654" spans="2:21" s="15" customFormat="1" ht="29" x14ac:dyDescent="0.35">
      <c r="B654" s="64">
        <v>45218</v>
      </c>
      <c r="C654" s="17">
        <v>569</v>
      </c>
      <c r="D654" s="85" t="s">
        <v>2832</v>
      </c>
      <c r="E654" s="17" t="s">
        <v>1505</v>
      </c>
      <c r="F654" s="85" t="s">
        <v>1468</v>
      </c>
      <c r="G654" s="17" t="s">
        <v>5</v>
      </c>
      <c r="H654" s="17" t="s">
        <v>1930</v>
      </c>
      <c r="I654" s="145"/>
      <c r="J654" s="17" t="s">
        <v>1500</v>
      </c>
      <c r="K654" s="17" t="s">
        <v>1501</v>
      </c>
      <c r="L654" s="17" t="s">
        <v>39</v>
      </c>
      <c r="M654" s="38">
        <v>8134058889</v>
      </c>
      <c r="N654" s="38">
        <v>359857084507813</v>
      </c>
      <c r="O654" s="38"/>
      <c r="P654" s="14" t="s">
        <v>569</v>
      </c>
      <c r="Q654" s="39" t="s">
        <v>2559</v>
      </c>
      <c r="R654" s="40">
        <v>0</v>
      </c>
      <c r="S654" s="41" t="s">
        <v>1504</v>
      </c>
      <c r="T654" s="17"/>
      <c r="U654" s="66"/>
    </row>
    <row r="655" spans="2:21" s="15" customFormat="1" ht="29" x14ac:dyDescent="0.35">
      <c r="B655" s="64">
        <v>45218</v>
      </c>
      <c r="C655" s="17">
        <v>570</v>
      </c>
      <c r="D655" s="36" t="s">
        <v>2251</v>
      </c>
      <c r="E655" s="17" t="s">
        <v>1505</v>
      </c>
      <c r="F655" s="85" t="s">
        <v>1468</v>
      </c>
      <c r="G655" s="17" t="s">
        <v>5</v>
      </c>
      <c r="H655" s="17" t="s">
        <v>1469</v>
      </c>
      <c r="I655" s="145"/>
      <c r="J655" s="17" t="s">
        <v>2252</v>
      </c>
      <c r="K655" s="17" t="s">
        <v>1293</v>
      </c>
      <c r="L655" s="17" t="s">
        <v>39</v>
      </c>
      <c r="M655" s="37">
        <v>8119774593</v>
      </c>
      <c r="N655" s="38">
        <v>863756050116675</v>
      </c>
      <c r="O655" s="38"/>
      <c r="P655" s="14" t="s">
        <v>293</v>
      </c>
      <c r="Q655" s="39" t="s">
        <v>459</v>
      </c>
      <c r="R655" s="40">
        <v>0</v>
      </c>
      <c r="S655" s="41" t="s">
        <v>1504</v>
      </c>
      <c r="T655" s="17"/>
      <c r="U655" s="66"/>
    </row>
    <row r="656" spans="2:21" s="15" customFormat="1" ht="29" x14ac:dyDescent="0.35">
      <c r="B656" s="64">
        <v>45218</v>
      </c>
      <c r="C656" s="17">
        <v>571</v>
      </c>
      <c r="D656" s="36">
        <v>442</v>
      </c>
      <c r="E656" s="17" t="s">
        <v>1505</v>
      </c>
      <c r="F656" s="85" t="s">
        <v>1468</v>
      </c>
      <c r="G656" s="17" t="s">
        <v>5</v>
      </c>
      <c r="H656" s="17" t="s">
        <v>1469</v>
      </c>
      <c r="I656" s="145"/>
      <c r="J656" s="17" t="s">
        <v>1509</v>
      </c>
      <c r="K656" s="17" t="s">
        <v>1323</v>
      </c>
      <c r="L656" s="17" t="s">
        <v>39</v>
      </c>
      <c r="M656" s="37">
        <v>8120395632</v>
      </c>
      <c r="N656" s="38">
        <v>869220040534160</v>
      </c>
      <c r="O656" s="38"/>
      <c r="P656" s="14" t="s">
        <v>34</v>
      </c>
      <c r="Q656" s="39" t="s">
        <v>459</v>
      </c>
      <c r="R656" s="40">
        <v>0</v>
      </c>
      <c r="S656" s="41" t="s">
        <v>1504</v>
      </c>
      <c r="T656" s="17"/>
      <c r="U656" s="66"/>
    </row>
    <row r="657" spans="2:22" s="15" customFormat="1" ht="29" x14ac:dyDescent="0.35">
      <c r="B657" s="64">
        <v>45218</v>
      </c>
      <c r="C657" s="17">
        <v>572</v>
      </c>
      <c r="D657" s="36">
        <v>456</v>
      </c>
      <c r="E657" s="17" t="s">
        <v>1505</v>
      </c>
      <c r="F657" s="85" t="s">
        <v>1468</v>
      </c>
      <c r="G657" s="17" t="s">
        <v>5</v>
      </c>
      <c r="H657" s="17" t="s">
        <v>1469</v>
      </c>
      <c r="I657" s="145"/>
      <c r="J657" s="17" t="s">
        <v>1510</v>
      </c>
      <c r="K657" s="17" t="s">
        <v>1333</v>
      </c>
      <c r="L657" s="17" t="s">
        <v>39</v>
      </c>
      <c r="M657" s="38">
        <v>8118226610</v>
      </c>
      <c r="N657" s="38">
        <v>868166053311916</v>
      </c>
      <c r="O657" s="38"/>
      <c r="P657" s="14" t="s">
        <v>184</v>
      </c>
      <c r="Q657" s="39" t="s">
        <v>459</v>
      </c>
      <c r="R657" s="40">
        <v>0</v>
      </c>
      <c r="S657" s="41" t="s">
        <v>1504</v>
      </c>
      <c r="T657" s="17"/>
      <c r="U657" s="66"/>
    </row>
    <row r="658" spans="2:22" s="15" customFormat="1" ht="29" x14ac:dyDescent="0.35">
      <c r="B658" s="64">
        <v>45218</v>
      </c>
      <c r="C658" s="17">
        <v>573</v>
      </c>
      <c r="D658" s="36">
        <v>486</v>
      </c>
      <c r="E658" s="17" t="s">
        <v>899</v>
      </c>
      <c r="F658" s="85" t="s">
        <v>1468</v>
      </c>
      <c r="G658" s="17" t="s">
        <v>5</v>
      </c>
      <c r="H658" s="17" t="s">
        <v>1469</v>
      </c>
      <c r="I658" s="145"/>
      <c r="J658" s="17" t="s">
        <v>1512</v>
      </c>
      <c r="K658" s="17" t="s">
        <v>1515</v>
      </c>
      <c r="L658" s="17" t="s">
        <v>39</v>
      </c>
      <c r="M658" s="37">
        <v>8126206901</v>
      </c>
      <c r="N658" s="38">
        <v>869220040811238</v>
      </c>
      <c r="O658" s="38"/>
      <c r="P658" s="14" t="s">
        <v>901</v>
      </c>
      <c r="Q658" s="60" t="s">
        <v>1511</v>
      </c>
      <c r="R658" s="40">
        <v>0</v>
      </c>
      <c r="S658" s="41" t="s">
        <v>899</v>
      </c>
      <c r="T658" s="17"/>
      <c r="U658" s="66"/>
      <c r="V658" s="15" t="s">
        <v>1514</v>
      </c>
    </row>
    <row r="659" spans="2:22" s="15" customFormat="1" ht="29" x14ac:dyDescent="0.35">
      <c r="B659" s="64">
        <v>45218</v>
      </c>
      <c r="C659" s="17">
        <v>574</v>
      </c>
      <c r="D659" s="39">
        <v>536</v>
      </c>
      <c r="E659" s="14" t="s">
        <v>1505</v>
      </c>
      <c r="F659" s="85" t="s">
        <v>1468</v>
      </c>
      <c r="G659" s="17" t="s">
        <v>5</v>
      </c>
      <c r="H659" s="17" t="s">
        <v>1469</v>
      </c>
      <c r="I659" s="145"/>
      <c r="J659" s="17" t="s">
        <v>1502</v>
      </c>
      <c r="K659" s="17" t="s">
        <v>1408</v>
      </c>
      <c r="L659" s="17" t="s">
        <v>39</v>
      </c>
      <c r="M659" s="37">
        <v>8115777694</v>
      </c>
      <c r="N659" s="38">
        <v>863719060486702</v>
      </c>
      <c r="O659" s="38"/>
      <c r="P659" s="14" t="s">
        <v>1516</v>
      </c>
      <c r="Q659" s="39" t="s">
        <v>459</v>
      </c>
      <c r="R659" s="40">
        <v>0</v>
      </c>
      <c r="S659" s="41" t="s">
        <v>1504</v>
      </c>
      <c r="T659" s="17"/>
      <c r="U659" s="66"/>
    </row>
    <row r="660" spans="2:22" s="15" customFormat="1" ht="29" x14ac:dyDescent="0.35">
      <c r="B660" s="64">
        <v>45218</v>
      </c>
      <c r="C660" s="17">
        <v>575</v>
      </c>
      <c r="D660" s="68">
        <v>556</v>
      </c>
      <c r="E660" s="69" t="s">
        <v>1505</v>
      </c>
      <c r="F660" s="85" t="s">
        <v>1468</v>
      </c>
      <c r="G660" s="17" t="s">
        <v>5</v>
      </c>
      <c r="H660" s="17" t="s">
        <v>1469</v>
      </c>
      <c r="I660" s="145"/>
      <c r="J660" s="17" t="s">
        <v>1517</v>
      </c>
      <c r="K660" s="14" t="s">
        <v>1429</v>
      </c>
      <c r="L660" s="17" t="s">
        <v>39</v>
      </c>
      <c r="M660" s="14">
        <v>8126206901</v>
      </c>
      <c r="N660" s="38">
        <v>869220040811238</v>
      </c>
      <c r="O660" s="38"/>
      <c r="P660" s="14" t="s">
        <v>905</v>
      </c>
      <c r="Q660" s="39" t="s">
        <v>459</v>
      </c>
      <c r="R660" s="40">
        <v>0</v>
      </c>
      <c r="S660" s="41" t="s">
        <v>1504</v>
      </c>
      <c r="T660" s="17"/>
      <c r="U660" s="66"/>
    </row>
    <row r="661" spans="2:22" s="15" customFormat="1" ht="29" x14ac:dyDescent="0.35">
      <c r="B661" s="64">
        <v>45224</v>
      </c>
      <c r="C661" s="70">
        <v>576</v>
      </c>
      <c r="D661" s="85" t="s">
        <v>4784</v>
      </c>
      <c r="E661" s="14" t="s">
        <v>1518</v>
      </c>
      <c r="F661" s="103" t="s">
        <v>13</v>
      </c>
      <c r="G661" s="17" t="s">
        <v>5</v>
      </c>
      <c r="H661" s="14" t="s">
        <v>1793</v>
      </c>
      <c r="I661" s="145">
        <v>0.58333333333333337</v>
      </c>
      <c r="J661" s="17" t="s">
        <v>4310</v>
      </c>
      <c r="K661" s="17" t="s">
        <v>1519</v>
      </c>
      <c r="L661" s="17" t="s">
        <v>2</v>
      </c>
      <c r="M661" s="37">
        <v>8123209954</v>
      </c>
      <c r="N661" s="38">
        <v>869220040810792</v>
      </c>
      <c r="O661" s="38" t="s">
        <v>39</v>
      </c>
      <c r="P661" s="14" t="s">
        <v>1520</v>
      </c>
      <c r="Q661" s="17" t="s">
        <v>2559</v>
      </c>
      <c r="R661" s="40">
        <v>1999.84</v>
      </c>
      <c r="S661" s="19" t="s">
        <v>4776</v>
      </c>
      <c r="T661" s="17"/>
      <c r="U661" s="66"/>
      <c r="V661" s="15" t="s">
        <v>1521</v>
      </c>
    </row>
    <row r="662" spans="2:22" s="15" customFormat="1" ht="29" x14ac:dyDescent="0.35">
      <c r="B662" s="64">
        <v>45226</v>
      </c>
      <c r="C662" s="70">
        <v>577</v>
      </c>
      <c r="D662" s="85" t="s">
        <v>3989</v>
      </c>
      <c r="E662" s="14" t="s">
        <v>1523</v>
      </c>
      <c r="F662" s="103" t="s">
        <v>13</v>
      </c>
      <c r="G662" s="17" t="s">
        <v>1805</v>
      </c>
      <c r="H662" s="17" t="s">
        <v>1787</v>
      </c>
      <c r="I662" s="145">
        <v>0.70833333333333337</v>
      </c>
      <c r="J662" s="17" t="s">
        <v>26</v>
      </c>
      <c r="K662" s="17" t="s">
        <v>1524</v>
      </c>
      <c r="L662" s="17" t="s">
        <v>50</v>
      </c>
      <c r="M662" s="65">
        <v>8135514816</v>
      </c>
      <c r="N662" s="16">
        <v>863756050074122</v>
      </c>
      <c r="O662" s="16" t="s">
        <v>39</v>
      </c>
      <c r="P662" s="17" t="s">
        <v>1525</v>
      </c>
      <c r="Q662" s="17" t="s">
        <v>4174</v>
      </c>
      <c r="R662" s="40">
        <v>1999.84</v>
      </c>
      <c r="S662" s="19" t="s">
        <v>3584</v>
      </c>
      <c r="T662" s="17"/>
      <c r="U662" s="66"/>
    </row>
    <row r="663" spans="2:22" s="15" customFormat="1" ht="29" x14ac:dyDescent="0.35">
      <c r="B663" s="64">
        <v>45230</v>
      </c>
      <c r="C663" s="70">
        <v>578</v>
      </c>
      <c r="D663" s="91">
        <v>589</v>
      </c>
      <c r="E663" s="14" t="s">
        <v>1526</v>
      </c>
      <c r="F663" s="103" t="s">
        <v>13</v>
      </c>
      <c r="G663" s="17" t="s">
        <v>5</v>
      </c>
      <c r="H663" s="17" t="s">
        <v>1530</v>
      </c>
      <c r="I663" s="145"/>
      <c r="J663" s="17" t="s">
        <v>1527</v>
      </c>
      <c r="K663" s="17" t="s">
        <v>1528</v>
      </c>
      <c r="L663" s="17" t="s">
        <v>2</v>
      </c>
      <c r="M663" s="65">
        <v>8118228911</v>
      </c>
      <c r="N663" s="16">
        <v>869220040534228</v>
      </c>
      <c r="O663" s="16"/>
      <c r="P663" s="17" t="s">
        <v>1529</v>
      </c>
      <c r="Q663" s="14" t="s">
        <v>8</v>
      </c>
      <c r="R663" s="40">
        <v>1999.84</v>
      </c>
      <c r="S663" s="41">
        <v>174</v>
      </c>
      <c r="T663" s="17"/>
      <c r="U663" s="66"/>
    </row>
    <row r="664" spans="2:22" s="15" customFormat="1" ht="29" x14ac:dyDescent="0.35">
      <c r="B664" s="64">
        <v>45232</v>
      </c>
      <c r="C664" s="70">
        <v>579</v>
      </c>
      <c r="D664" s="85" t="s">
        <v>4134</v>
      </c>
      <c r="E664" s="14" t="s">
        <v>1531</v>
      </c>
      <c r="F664" s="103" t="s">
        <v>13</v>
      </c>
      <c r="G664" s="17" t="s">
        <v>1805</v>
      </c>
      <c r="H664" s="14" t="s">
        <v>1767</v>
      </c>
      <c r="I664" s="145">
        <v>0.5</v>
      </c>
      <c r="J664" s="17" t="s">
        <v>4148</v>
      </c>
      <c r="K664" s="17" t="s">
        <v>1532</v>
      </c>
      <c r="L664" s="17" t="s">
        <v>2</v>
      </c>
      <c r="M664" s="14">
        <v>8184660480</v>
      </c>
      <c r="N664" s="16">
        <v>865011034396474</v>
      </c>
      <c r="O664" s="16" t="s">
        <v>4150</v>
      </c>
      <c r="P664" s="17" t="s">
        <v>4149</v>
      </c>
      <c r="Q664" s="17" t="s">
        <v>2559</v>
      </c>
      <c r="R664" s="40">
        <v>1999.84</v>
      </c>
      <c r="S664" s="41" t="s">
        <v>4147</v>
      </c>
      <c r="T664" s="17"/>
      <c r="U664" s="66"/>
    </row>
    <row r="665" spans="2:22" s="15" customFormat="1" ht="36.75" customHeight="1" x14ac:dyDescent="0.35">
      <c r="B665" s="64">
        <v>45232</v>
      </c>
      <c r="C665" s="70">
        <v>580</v>
      </c>
      <c r="D665" s="36" t="s">
        <v>2244</v>
      </c>
      <c r="E665" s="14" t="s">
        <v>1570</v>
      </c>
      <c r="F665" s="103" t="s">
        <v>213</v>
      </c>
      <c r="G665" s="17" t="s">
        <v>5</v>
      </c>
      <c r="H665" s="17" t="s">
        <v>989</v>
      </c>
      <c r="I665" s="145"/>
      <c r="J665" s="17" t="s">
        <v>939</v>
      </c>
      <c r="K665" s="14" t="s">
        <v>1269</v>
      </c>
      <c r="L665" s="17" t="s">
        <v>2</v>
      </c>
      <c r="M665" s="37">
        <v>8110800740</v>
      </c>
      <c r="N665" s="38">
        <v>865011034752072</v>
      </c>
      <c r="O665" s="38"/>
      <c r="P665" s="14" t="s">
        <v>2246</v>
      </c>
      <c r="Q665" s="94" t="s">
        <v>1571</v>
      </c>
      <c r="R665" s="40">
        <v>522</v>
      </c>
      <c r="S665" s="41" t="s">
        <v>2200</v>
      </c>
      <c r="T665" s="17"/>
      <c r="U665" s="66"/>
    </row>
    <row r="666" spans="2:22" s="15" customFormat="1" ht="29" x14ac:dyDescent="0.35">
      <c r="B666" s="64">
        <v>45234</v>
      </c>
      <c r="C666" s="70">
        <v>581</v>
      </c>
      <c r="D666" s="85" t="s">
        <v>4917</v>
      </c>
      <c r="E666" s="14" t="s">
        <v>1534</v>
      </c>
      <c r="F666" s="103" t="s">
        <v>13</v>
      </c>
      <c r="G666" s="17" t="s">
        <v>5</v>
      </c>
      <c r="H666" s="17" t="s">
        <v>4928</v>
      </c>
      <c r="I666" s="145" t="s">
        <v>4929</v>
      </c>
      <c r="J666" s="17" t="s">
        <v>4931</v>
      </c>
      <c r="K666" s="17" t="s">
        <v>1535</v>
      </c>
      <c r="L666" s="17" t="s">
        <v>2</v>
      </c>
      <c r="M666" s="65">
        <v>8116006966</v>
      </c>
      <c r="N666" s="16">
        <v>865011034397431</v>
      </c>
      <c r="O666" s="16" t="s">
        <v>4933</v>
      </c>
      <c r="P666" s="17" t="s">
        <v>4932</v>
      </c>
      <c r="Q666" s="14" t="s">
        <v>8</v>
      </c>
      <c r="R666" s="40">
        <v>1999.84</v>
      </c>
      <c r="S666" s="19" t="s">
        <v>4912</v>
      </c>
      <c r="T666" s="17"/>
      <c r="U666" s="66"/>
    </row>
    <row r="667" spans="2:22" s="15" customFormat="1" ht="29" x14ac:dyDescent="0.35">
      <c r="B667" s="64">
        <v>45238</v>
      </c>
      <c r="C667" s="70">
        <v>582</v>
      </c>
      <c r="D667" s="85" t="s">
        <v>4917</v>
      </c>
      <c r="E667" s="46" t="s">
        <v>1536</v>
      </c>
      <c r="F667" s="103" t="s">
        <v>213</v>
      </c>
      <c r="G667" s="17" t="s">
        <v>5</v>
      </c>
      <c r="H667" s="17" t="s">
        <v>4928</v>
      </c>
      <c r="I667" s="145" t="s">
        <v>4652</v>
      </c>
      <c r="J667" s="17" t="s">
        <v>4931</v>
      </c>
      <c r="K667" s="17" t="s">
        <v>1535</v>
      </c>
      <c r="L667" s="17" t="s">
        <v>2</v>
      </c>
      <c r="M667" s="65">
        <v>8116006966</v>
      </c>
      <c r="N667" s="16">
        <v>865011034397431</v>
      </c>
      <c r="O667" s="16" t="s">
        <v>4933</v>
      </c>
      <c r="P667" s="17" t="s">
        <v>4932</v>
      </c>
      <c r="Q667" s="14" t="s">
        <v>1565</v>
      </c>
      <c r="R667" s="40">
        <v>0</v>
      </c>
      <c r="S667" s="19" t="s">
        <v>4912</v>
      </c>
      <c r="T667" s="17"/>
      <c r="U667" s="66"/>
    </row>
    <row r="668" spans="2:22" s="15" customFormat="1" ht="29" x14ac:dyDescent="0.35">
      <c r="B668" s="64">
        <v>45238</v>
      </c>
      <c r="C668" s="70">
        <v>583</v>
      </c>
      <c r="D668" s="36" t="s">
        <v>2622</v>
      </c>
      <c r="E668" s="14" t="s">
        <v>1504</v>
      </c>
      <c r="F668" s="85" t="s">
        <v>1468</v>
      </c>
      <c r="G668" s="17" t="s">
        <v>5</v>
      </c>
      <c r="H668" s="17" t="s">
        <v>1930</v>
      </c>
      <c r="I668" s="145" t="s">
        <v>39</v>
      </c>
      <c r="J668" s="17" t="s">
        <v>1475</v>
      </c>
      <c r="K668" s="17" t="s">
        <v>1476</v>
      </c>
      <c r="L668" s="17" t="s">
        <v>39</v>
      </c>
      <c r="M668" s="38">
        <v>345901012159559</v>
      </c>
      <c r="N668" s="38">
        <v>865011032759806</v>
      </c>
      <c r="O668" s="14" t="s">
        <v>816</v>
      </c>
      <c r="P668" s="14" t="s">
        <v>39</v>
      </c>
      <c r="Q668" s="72" t="s">
        <v>2559</v>
      </c>
      <c r="R668" s="41">
        <v>0</v>
      </c>
      <c r="S668" s="41" t="s">
        <v>1504</v>
      </c>
      <c r="T668" s="17"/>
      <c r="U668" s="66"/>
    </row>
    <row r="669" spans="2:22" s="15" customFormat="1" ht="29" x14ac:dyDescent="0.35">
      <c r="B669" s="64">
        <v>45238</v>
      </c>
      <c r="C669" s="70">
        <v>584</v>
      </c>
      <c r="D669" s="74" t="s">
        <v>2759</v>
      </c>
      <c r="E669" s="14" t="s">
        <v>1537</v>
      </c>
      <c r="F669" s="85" t="s">
        <v>1468</v>
      </c>
      <c r="G669" s="17" t="s">
        <v>5</v>
      </c>
      <c r="H669" s="17" t="s">
        <v>1469</v>
      </c>
      <c r="I669" s="145"/>
      <c r="J669" s="14" t="s">
        <v>682</v>
      </c>
      <c r="K669" s="14" t="s">
        <v>1125</v>
      </c>
      <c r="L669" s="17" t="s">
        <v>39</v>
      </c>
      <c r="M669" s="38">
        <v>8128616935</v>
      </c>
      <c r="N669" s="38">
        <v>359857084515394</v>
      </c>
      <c r="O669" s="38"/>
      <c r="P669" s="14" t="s">
        <v>681</v>
      </c>
      <c r="Q669" s="39" t="s">
        <v>2559</v>
      </c>
      <c r="R669" s="41">
        <v>0</v>
      </c>
      <c r="S669" s="41" t="s">
        <v>1539</v>
      </c>
      <c r="T669" s="17"/>
      <c r="U669" s="66"/>
    </row>
    <row r="670" spans="2:22" s="15" customFormat="1" ht="29" x14ac:dyDescent="0.35">
      <c r="B670" s="64">
        <v>45238</v>
      </c>
      <c r="C670" s="70">
        <v>585</v>
      </c>
      <c r="D670" s="74" t="s">
        <v>2761</v>
      </c>
      <c r="E670" s="14" t="s">
        <v>1537</v>
      </c>
      <c r="F670" s="85" t="s">
        <v>1468</v>
      </c>
      <c r="G670" s="17" t="s">
        <v>5</v>
      </c>
      <c r="H670" s="17" t="s">
        <v>1469</v>
      </c>
      <c r="I670" s="145"/>
      <c r="J670" s="17" t="s">
        <v>1541</v>
      </c>
      <c r="K670" s="17" t="s">
        <v>1127</v>
      </c>
      <c r="L670" s="17" t="s">
        <v>39</v>
      </c>
      <c r="M670" s="38">
        <v>8119174017</v>
      </c>
      <c r="N670" s="38">
        <v>359857084515345</v>
      </c>
      <c r="O670" s="38"/>
      <c r="P670" s="14" t="s">
        <v>675</v>
      </c>
      <c r="Q670" s="39" t="s">
        <v>2559</v>
      </c>
      <c r="R670" s="41">
        <v>0</v>
      </c>
      <c r="S670" s="41" t="s">
        <v>1539</v>
      </c>
      <c r="T670" s="17"/>
      <c r="U670" s="66"/>
    </row>
    <row r="671" spans="2:22" s="15" customFormat="1" ht="29" x14ac:dyDescent="0.35">
      <c r="B671" s="64">
        <v>45238</v>
      </c>
      <c r="C671" s="70">
        <v>586</v>
      </c>
      <c r="D671" s="74" t="s">
        <v>2763</v>
      </c>
      <c r="E671" s="14" t="s">
        <v>1537</v>
      </c>
      <c r="F671" s="85" t="s">
        <v>1468</v>
      </c>
      <c r="G671" s="17" t="s">
        <v>5</v>
      </c>
      <c r="H671" s="17" t="s">
        <v>1469</v>
      </c>
      <c r="I671" s="145"/>
      <c r="J671" s="14" t="s">
        <v>674</v>
      </c>
      <c r="K671" s="17" t="s">
        <v>1542</v>
      </c>
      <c r="L671" s="17" t="s">
        <v>39</v>
      </c>
      <c r="M671" s="38">
        <v>8119086283</v>
      </c>
      <c r="N671" s="38">
        <v>359857084507953</v>
      </c>
      <c r="O671" s="38"/>
      <c r="P671" s="14" t="s">
        <v>673</v>
      </c>
      <c r="Q671" s="39" t="s">
        <v>2559</v>
      </c>
      <c r="R671" s="41">
        <v>0</v>
      </c>
      <c r="S671" s="41" t="s">
        <v>1539</v>
      </c>
      <c r="T671" s="17"/>
      <c r="U671" s="66"/>
    </row>
    <row r="672" spans="2:22" s="15" customFormat="1" ht="29" x14ac:dyDescent="0.35">
      <c r="B672" s="64">
        <v>45238</v>
      </c>
      <c r="C672" s="70">
        <v>587</v>
      </c>
      <c r="D672" s="74" t="s">
        <v>2769</v>
      </c>
      <c r="E672" s="14" t="s">
        <v>1537</v>
      </c>
      <c r="F672" s="85" t="s">
        <v>1468</v>
      </c>
      <c r="G672" s="17" t="s">
        <v>5</v>
      </c>
      <c r="H672" s="17" t="s">
        <v>1469</v>
      </c>
      <c r="I672" s="145"/>
      <c r="J672" s="14" t="s">
        <v>658</v>
      </c>
      <c r="K672" s="17" t="s">
        <v>1543</v>
      </c>
      <c r="L672" s="17" t="s">
        <v>39</v>
      </c>
      <c r="M672" s="38">
        <v>8128616957</v>
      </c>
      <c r="N672" s="38">
        <v>359857084616366</v>
      </c>
      <c r="O672" s="38"/>
      <c r="P672" s="14" t="s">
        <v>657</v>
      </c>
      <c r="Q672" s="39" t="s">
        <v>2559</v>
      </c>
      <c r="R672" s="41">
        <v>0</v>
      </c>
      <c r="S672" s="41" t="s">
        <v>1539</v>
      </c>
      <c r="T672" s="17"/>
      <c r="U672" s="66"/>
    </row>
    <row r="673" spans="2:21" s="15" customFormat="1" ht="29" x14ac:dyDescent="0.35">
      <c r="B673" s="64">
        <v>45238</v>
      </c>
      <c r="C673" s="70">
        <v>588</v>
      </c>
      <c r="D673" s="74" t="s">
        <v>2775</v>
      </c>
      <c r="E673" s="14" t="s">
        <v>1537</v>
      </c>
      <c r="F673" s="85" t="s">
        <v>1468</v>
      </c>
      <c r="G673" s="17" t="s">
        <v>5</v>
      </c>
      <c r="H673" s="17" t="s">
        <v>1930</v>
      </c>
      <c r="I673" s="145"/>
      <c r="J673" s="14" t="s">
        <v>650</v>
      </c>
      <c r="K673" s="17" t="s">
        <v>1142</v>
      </c>
      <c r="L673" s="17" t="s">
        <v>39</v>
      </c>
      <c r="M673" s="38">
        <v>8184662893</v>
      </c>
      <c r="N673" s="38">
        <v>865011034235268</v>
      </c>
      <c r="O673" s="38"/>
      <c r="P673" s="14" t="s">
        <v>649</v>
      </c>
      <c r="Q673" s="39" t="s">
        <v>2559</v>
      </c>
      <c r="R673" s="41">
        <v>0</v>
      </c>
      <c r="S673" s="41" t="s">
        <v>1539</v>
      </c>
      <c r="T673" s="17"/>
      <c r="U673" s="66"/>
    </row>
    <row r="674" spans="2:21" s="15" customFormat="1" ht="29" x14ac:dyDescent="0.35">
      <c r="B674" s="64">
        <v>45238</v>
      </c>
      <c r="C674" s="70">
        <v>589</v>
      </c>
      <c r="D674" s="74" t="s">
        <v>2777</v>
      </c>
      <c r="E674" s="14" t="s">
        <v>1537</v>
      </c>
      <c r="F674" s="85" t="s">
        <v>1468</v>
      </c>
      <c r="G674" s="17" t="s">
        <v>5</v>
      </c>
      <c r="H674" s="17" t="s">
        <v>1469</v>
      </c>
      <c r="I674" s="145"/>
      <c r="J674" s="14" t="s">
        <v>646</v>
      </c>
      <c r="K674" s="17" t="s">
        <v>1145</v>
      </c>
      <c r="L674" s="17" t="s">
        <v>39</v>
      </c>
      <c r="M674" s="38">
        <v>8118247475</v>
      </c>
      <c r="N674" s="38">
        <v>865011034235235</v>
      </c>
      <c r="O674" s="38"/>
      <c r="P674" s="14" t="s">
        <v>645</v>
      </c>
      <c r="Q674" s="39" t="s">
        <v>2559</v>
      </c>
      <c r="R674" s="41">
        <v>0</v>
      </c>
      <c r="S674" s="41" t="s">
        <v>1539</v>
      </c>
      <c r="T674" s="17"/>
      <c r="U674" s="66"/>
    </row>
    <row r="675" spans="2:21" s="15" customFormat="1" ht="29" x14ac:dyDescent="0.35">
      <c r="B675" s="64">
        <v>45238</v>
      </c>
      <c r="C675" s="70">
        <v>590</v>
      </c>
      <c r="D675" s="74" t="s">
        <v>2779</v>
      </c>
      <c r="E675" s="14" t="s">
        <v>1537</v>
      </c>
      <c r="F675" s="85" t="s">
        <v>1468</v>
      </c>
      <c r="G675" s="17" t="s">
        <v>5</v>
      </c>
      <c r="H675" s="17" t="s">
        <v>1469</v>
      </c>
      <c r="I675" s="145"/>
      <c r="J675" s="17" t="s">
        <v>1544</v>
      </c>
      <c r="K675" s="17" t="s">
        <v>1148</v>
      </c>
      <c r="L675" s="17" t="s">
        <v>39</v>
      </c>
      <c r="M675" s="38">
        <v>8115777571</v>
      </c>
      <c r="N675" s="38">
        <v>865011034234824</v>
      </c>
      <c r="O675" s="38"/>
      <c r="P675" s="14" t="s">
        <v>642</v>
      </c>
      <c r="Q675" s="39" t="s">
        <v>2559</v>
      </c>
      <c r="R675" s="41">
        <v>0</v>
      </c>
      <c r="S675" s="41" t="s">
        <v>1539</v>
      </c>
      <c r="T675" s="17"/>
      <c r="U675" s="66"/>
    </row>
    <row r="676" spans="2:21" s="15" customFormat="1" ht="29" x14ac:dyDescent="0.35">
      <c r="B676" s="64">
        <v>45238</v>
      </c>
      <c r="C676" s="70">
        <v>591</v>
      </c>
      <c r="D676" s="74" t="s">
        <v>2789</v>
      </c>
      <c r="E676" s="14" t="s">
        <v>1537</v>
      </c>
      <c r="F676" s="85" t="s">
        <v>1468</v>
      </c>
      <c r="G676" s="17" t="s">
        <v>5</v>
      </c>
      <c r="H676" s="17" t="s">
        <v>1930</v>
      </c>
      <c r="I676" s="145"/>
      <c r="J676" s="14" t="s">
        <v>626</v>
      </c>
      <c r="K676" s="17" t="s">
        <v>1545</v>
      </c>
      <c r="L676" s="17" t="s">
        <v>39</v>
      </c>
      <c r="M676" s="38">
        <v>8120010096</v>
      </c>
      <c r="N676" s="38">
        <v>865011033830226</v>
      </c>
      <c r="O676" s="38"/>
      <c r="P676" s="14" t="s">
        <v>625</v>
      </c>
      <c r="Q676" s="39" t="s">
        <v>2559</v>
      </c>
      <c r="R676" s="41">
        <v>0</v>
      </c>
      <c r="S676" s="41" t="s">
        <v>1539</v>
      </c>
      <c r="T676" s="17"/>
      <c r="U676" s="66"/>
    </row>
    <row r="677" spans="2:21" s="15" customFormat="1" ht="29" x14ac:dyDescent="0.35">
      <c r="B677" s="64">
        <v>45238</v>
      </c>
      <c r="C677" s="70">
        <v>592</v>
      </c>
      <c r="D677" s="74" t="s">
        <v>2794</v>
      </c>
      <c r="E677" s="14" t="s">
        <v>1537</v>
      </c>
      <c r="F677" s="85" t="s">
        <v>1468</v>
      </c>
      <c r="G677" s="17" t="s">
        <v>5</v>
      </c>
      <c r="H677" s="17" t="s">
        <v>1930</v>
      </c>
      <c r="I677" s="145"/>
      <c r="J677" s="17" t="s">
        <v>1546</v>
      </c>
      <c r="K677" s="17" t="s">
        <v>1547</v>
      </c>
      <c r="L677" s="17" t="s">
        <v>39</v>
      </c>
      <c r="M677" s="38">
        <v>8119174128</v>
      </c>
      <c r="N677" s="38">
        <v>865011031968119</v>
      </c>
      <c r="O677" s="38"/>
      <c r="P677" s="14" t="s">
        <v>610</v>
      </c>
      <c r="Q677" s="39" t="s">
        <v>2559</v>
      </c>
      <c r="R677" s="41">
        <v>0</v>
      </c>
      <c r="S677" s="41" t="s">
        <v>1539</v>
      </c>
      <c r="T677" s="17"/>
      <c r="U677" s="66"/>
    </row>
    <row r="678" spans="2:21" s="15" customFormat="1" ht="29" x14ac:dyDescent="0.35">
      <c r="B678" s="64">
        <v>45238</v>
      </c>
      <c r="C678" s="70">
        <v>593</v>
      </c>
      <c r="D678" s="74" t="s">
        <v>2812</v>
      </c>
      <c r="E678" s="14" t="s">
        <v>1537</v>
      </c>
      <c r="F678" s="85" t="s">
        <v>1468</v>
      </c>
      <c r="G678" s="17" t="s">
        <v>5</v>
      </c>
      <c r="H678" s="17" t="s">
        <v>1930</v>
      </c>
      <c r="I678" s="145"/>
      <c r="J678" s="17" t="s">
        <v>1548</v>
      </c>
      <c r="K678" s="17" t="s">
        <v>1549</v>
      </c>
      <c r="L678" s="17" t="s">
        <v>39</v>
      </c>
      <c r="M678" s="38">
        <v>8135514811</v>
      </c>
      <c r="N678" s="38">
        <v>865011033829152</v>
      </c>
      <c r="O678" s="38"/>
      <c r="P678" s="14" t="s">
        <v>592</v>
      </c>
      <c r="Q678" s="39" t="s">
        <v>2559</v>
      </c>
      <c r="R678" s="41">
        <v>0</v>
      </c>
      <c r="S678" s="41" t="s">
        <v>1539</v>
      </c>
      <c r="T678" s="17"/>
      <c r="U678" s="66"/>
    </row>
    <row r="679" spans="2:21" s="15" customFormat="1" ht="29" x14ac:dyDescent="0.35">
      <c r="B679" s="64">
        <v>45238</v>
      </c>
      <c r="C679" s="70">
        <v>594</v>
      </c>
      <c r="D679" s="75">
        <v>253</v>
      </c>
      <c r="E679" s="14" t="s">
        <v>1537</v>
      </c>
      <c r="F679" s="85" t="s">
        <v>1468</v>
      </c>
      <c r="G679" s="17" t="s">
        <v>5</v>
      </c>
      <c r="H679" s="17" t="s">
        <v>1469</v>
      </c>
      <c r="I679" s="145"/>
      <c r="J679" s="17" t="s">
        <v>371</v>
      </c>
      <c r="K679" s="17" t="s">
        <v>1550</v>
      </c>
      <c r="L679" s="17" t="s">
        <v>39</v>
      </c>
      <c r="M679" s="65"/>
      <c r="N679" s="16"/>
      <c r="O679" s="16"/>
      <c r="P679" s="17"/>
      <c r="Q679" s="74"/>
      <c r="R679" s="41">
        <v>0</v>
      </c>
      <c r="S679" s="41"/>
      <c r="T679" s="17"/>
      <c r="U679" s="66"/>
    </row>
    <row r="680" spans="2:21" s="15" customFormat="1" ht="72.5" x14ac:dyDescent="0.35">
      <c r="B680" s="64">
        <v>45238</v>
      </c>
      <c r="C680" s="70">
        <v>595</v>
      </c>
      <c r="D680" s="75">
        <v>257</v>
      </c>
      <c r="E680" s="14" t="s">
        <v>1537</v>
      </c>
      <c r="F680" s="85" t="s">
        <v>1468</v>
      </c>
      <c r="G680" s="17" t="s">
        <v>5</v>
      </c>
      <c r="H680" s="17" t="s">
        <v>1469</v>
      </c>
      <c r="I680" s="145"/>
      <c r="J680" s="17" t="s">
        <v>1551</v>
      </c>
      <c r="K680" s="17" t="s">
        <v>1169</v>
      </c>
      <c r="L680" s="17" t="s">
        <v>39</v>
      </c>
      <c r="M680" s="65" t="s">
        <v>39</v>
      </c>
      <c r="N680" s="16" t="s">
        <v>39</v>
      </c>
      <c r="O680" s="16"/>
      <c r="P680" s="17" t="s">
        <v>39</v>
      </c>
      <c r="Q680" s="14" t="s">
        <v>1564</v>
      </c>
      <c r="R680" s="41">
        <v>0</v>
      </c>
      <c r="S680" s="41"/>
      <c r="T680" s="17"/>
      <c r="U680" s="66"/>
    </row>
    <row r="681" spans="2:21" s="15" customFormat="1" ht="29" x14ac:dyDescent="0.35">
      <c r="B681" s="64">
        <v>45238</v>
      </c>
      <c r="C681" s="70">
        <v>596</v>
      </c>
      <c r="D681" s="85" t="s">
        <v>2832</v>
      </c>
      <c r="E681" s="17" t="s">
        <v>1505</v>
      </c>
      <c r="F681" s="85" t="s">
        <v>1468</v>
      </c>
      <c r="G681" s="17" t="s">
        <v>5</v>
      </c>
      <c r="H681" s="17" t="s">
        <v>1930</v>
      </c>
      <c r="I681" s="145"/>
      <c r="J681" s="17" t="s">
        <v>1500</v>
      </c>
      <c r="K681" s="17" t="s">
        <v>1501</v>
      </c>
      <c r="L681" s="17" t="s">
        <v>39</v>
      </c>
      <c r="M681" s="38">
        <v>8134058889</v>
      </c>
      <c r="N681" s="38">
        <v>359857084507813</v>
      </c>
      <c r="O681" s="38"/>
      <c r="P681" s="14" t="s">
        <v>569</v>
      </c>
      <c r="Q681" s="72" t="s">
        <v>2559</v>
      </c>
      <c r="R681" s="41">
        <v>0</v>
      </c>
      <c r="S681" s="41" t="s">
        <v>1504</v>
      </c>
      <c r="T681" s="17"/>
      <c r="U681" s="66"/>
    </row>
    <row r="682" spans="2:21" s="15" customFormat="1" ht="29" x14ac:dyDescent="0.35">
      <c r="B682" s="64">
        <v>45238</v>
      </c>
      <c r="C682" s="70">
        <v>597</v>
      </c>
      <c r="D682" s="74" t="s">
        <v>2858</v>
      </c>
      <c r="E682" s="14" t="s">
        <v>1537</v>
      </c>
      <c r="F682" s="85" t="s">
        <v>1468</v>
      </c>
      <c r="G682" s="17" t="s">
        <v>5</v>
      </c>
      <c r="H682" s="17" t="s">
        <v>1930</v>
      </c>
      <c r="I682" s="145"/>
      <c r="J682" s="17" t="s">
        <v>1552</v>
      </c>
      <c r="K682" s="17" t="s">
        <v>1187</v>
      </c>
      <c r="L682" s="17" t="s">
        <v>39</v>
      </c>
      <c r="M682" s="38">
        <v>8182596240</v>
      </c>
      <c r="N682" s="38">
        <v>863844055233891</v>
      </c>
      <c r="O682" s="38"/>
      <c r="P682" s="14" t="s">
        <v>553</v>
      </c>
      <c r="Q682" s="39" t="s">
        <v>2559</v>
      </c>
      <c r="R682" s="41">
        <v>0</v>
      </c>
      <c r="S682" s="41" t="s">
        <v>1539</v>
      </c>
      <c r="T682" s="17"/>
      <c r="U682" s="66"/>
    </row>
    <row r="683" spans="2:21" s="15" customFormat="1" ht="29" x14ac:dyDescent="0.35">
      <c r="B683" s="64">
        <v>45238</v>
      </c>
      <c r="C683" s="70">
        <v>598</v>
      </c>
      <c r="D683" s="74" t="s">
        <v>2874</v>
      </c>
      <c r="E683" s="14" t="s">
        <v>1537</v>
      </c>
      <c r="F683" s="85" t="s">
        <v>1468</v>
      </c>
      <c r="G683" s="17" t="s">
        <v>5</v>
      </c>
      <c r="H683" s="17" t="s">
        <v>1930</v>
      </c>
      <c r="I683" s="145"/>
      <c r="J683" s="17" t="s">
        <v>1553</v>
      </c>
      <c r="K683" s="17" t="s">
        <v>1554</v>
      </c>
      <c r="L683" s="17" t="s">
        <v>39</v>
      </c>
      <c r="M683" s="38">
        <v>8183963141</v>
      </c>
      <c r="N683" s="38">
        <v>865011034399155</v>
      </c>
      <c r="O683" s="38"/>
      <c r="P683" s="14" t="s">
        <v>540</v>
      </c>
      <c r="Q683" s="39" t="s">
        <v>2559</v>
      </c>
      <c r="R683" s="41">
        <v>0</v>
      </c>
      <c r="S683" s="41" t="s">
        <v>1539</v>
      </c>
      <c r="T683" s="17"/>
      <c r="U683" s="66"/>
    </row>
    <row r="684" spans="2:21" s="15" customFormat="1" ht="29" x14ac:dyDescent="0.35">
      <c r="B684" s="64">
        <v>45238</v>
      </c>
      <c r="C684" s="70">
        <v>599</v>
      </c>
      <c r="D684" s="74" t="s">
        <v>2875</v>
      </c>
      <c r="E684" s="14" t="s">
        <v>1537</v>
      </c>
      <c r="F684" s="85" t="s">
        <v>1468</v>
      </c>
      <c r="G684" s="17" t="s">
        <v>5</v>
      </c>
      <c r="H684" s="17" t="s">
        <v>1930</v>
      </c>
      <c r="I684" s="145"/>
      <c r="J684" s="17" t="s">
        <v>1555</v>
      </c>
      <c r="K684" s="17" t="s">
        <v>1556</v>
      </c>
      <c r="L684" s="17" t="s">
        <v>39</v>
      </c>
      <c r="M684" s="55">
        <v>8182597393</v>
      </c>
      <c r="N684" s="56">
        <v>865011030370333</v>
      </c>
      <c r="O684" s="56"/>
      <c r="P684" s="55" t="s">
        <v>536</v>
      </c>
      <c r="Q684" s="39" t="s">
        <v>2559</v>
      </c>
      <c r="R684" s="41">
        <v>0</v>
      </c>
      <c r="S684" s="41" t="s">
        <v>1539</v>
      </c>
      <c r="T684" s="17"/>
      <c r="U684" s="66"/>
    </row>
    <row r="685" spans="2:21" s="15" customFormat="1" ht="29" x14ac:dyDescent="0.35">
      <c r="B685" s="64">
        <v>45238</v>
      </c>
      <c r="C685" s="70">
        <v>600</v>
      </c>
      <c r="D685" s="73">
        <v>308</v>
      </c>
      <c r="E685" s="14" t="s">
        <v>1537</v>
      </c>
      <c r="F685" s="85" t="s">
        <v>1468</v>
      </c>
      <c r="G685" s="17" t="s">
        <v>5</v>
      </c>
      <c r="H685" s="17" t="s">
        <v>1469</v>
      </c>
      <c r="I685" s="145"/>
      <c r="J685" s="17" t="s">
        <v>1557</v>
      </c>
      <c r="K685" s="17" t="s">
        <v>1214</v>
      </c>
      <c r="L685" s="17" t="s">
        <v>39</v>
      </c>
      <c r="M685" s="38">
        <v>8115777979</v>
      </c>
      <c r="N685" s="38">
        <v>864895031520578</v>
      </c>
      <c r="O685" s="38"/>
      <c r="P685" s="14" t="s">
        <v>485</v>
      </c>
      <c r="Q685" s="39" t="s">
        <v>1538</v>
      </c>
      <c r="R685" s="41">
        <v>0</v>
      </c>
      <c r="S685" s="41" t="s">
        <v>1539</v>
      </c>
      <c r="T685" s="17"/>
      <c r="U685" s="66"/>
    </row>
    <row r="686" spans="2:21" s="15" customFormat="1" ht="29" x14ac:dyDescent="0.35">
      <c r="B686" s="64">
        <v>45238</v>
      </c>
      <c r="C686" s="70">
        <v>601</v>
      </c>
      <c r="D686" s="73">
        <v>309</v>
      </c>
      <c r="E686" s="14" t="s">
        <v>1537</v>
      </c>
      <c r="F686" s="85" t="s">
        <v>1468</v>
      </c>
      <c r="G686" s="17" t="s">
        <v>5</v>
      </c>
      <c r="H686" s="17" t="s">
        <v>1469</v>
      </c>
      <c r="I686" s="145"/>
      <c r="J686" s="17" t="s">
        <v>1558</v>
      </c>
      <c r="K686" s="17" t="s">
        <v>1215</v>
      </c>
      <c r="L686" s="17" t="s">
        <v>39</v>
      </c>
      <c r="M686" s="37">
        <v>8120010596</v>
      </c>
      <c r="N686" s="38">
        <v>865011030653704</v>
      </c>
      <c r="O686" s="38"/>
      <c r="P686" s="14" t="s">
        <v>482</v>
      </c>
      <c r="Q686" s="39" t="s">
        <v>1538</v>
      </c>
      <c r="R686" s="41">
        <v>0</v>
      </c>
      <c r="S686" s="41" t="s">
        <v>1539</v>
      </c>
      <c r="T686" s="17"/>
      <c r="U686" s="66"/>
    </row>
    <row r="687" spans="2:21" s="15" customFormat="1" ht="29" x14ac:dyDescent="0.35">
      <c r="B687" s="64">
        <v>45238</v>
      </c>
      <c r="C687" s="70">
        <v>602</v>
      </c>
      <c r="D687" s="73">
        <v>418</v>
      </c>
      <c r="E687" s="14" t="s">
        <v>1537</v>
      </c>
      <c r="F687" s="85" t="s">
        <v>1468</v>
      </c>
      <c r="G687" s="17" t="s">
        <v>5</v>
      </c>
      <c r="H687" s="17" t="s">
        <v>1469</v>
      </c>
      <c r="I687" s="145"/>
      <c r="J687" s="17" t="s">
        <v>1559</v>
      </c>
      <c r="K687" s="17" t="s">
        <v>1299</v>
      </c>
      <c r="L687" s="17" t="s">
        <v>39</v>
      </c>
      <c r="M687" s="37">
        <v>8115777886</v>
      </c>
      <c r="N687" s="38">
        <v>862193027973957</v>
      </c>
      <c r="O687" s="38"/>
      <c r="P687" s="14" t="s">
        <v>248</v>
      </c>
      <c r="Q687" s="39" t="s">
        <v>1538</v>
      </c>
      <c r="R687" s="41">
        <v>0</v>
      </c>
      <c r="S687" s="41" t="s">
        <v>1539</v>
      </c>
      <c r="T687" s="17"/>
      <c r="U687" s="66"/>
    </row>
    <row r="688" spans="2:21" s="15" customFormat="1" ht="29" x14ac:dyDescent="0.35">
      <c r="B688" s="64">
        <v>45238</v>
      </c>
      <c r="C688" s="70">
        <v>603</v>
      </c>
      <c r="D688" s="73">
        <v>419</v>
      </c>
      <c r="E688" s="14" t="s">
        <v>1537</v>
      </c>
      <c r="F688" s="85" t="s">
        <v>1468</v>
      </c>
      <c r="G688" s="17" t="s">
        <v>5</v>
      </c>
      <c r="H688" s="17" t="s">
        <v>1469</v>
      </c>
      <c r="I688" s="145"/>
      <c r="J688" s="17" t="s">
        <v>1560</v>
      </c>
      <c r="K688" s="14" t="s">
        <v>1300</v>
      </c>
      <c r="L688" s="17" t="s">
        <v>39</v>
      </c>
      <c r="M688" s="37">
        <v>8184024915</v>
      </c>
      <c r="N688" s="38">
        <v>863830030717926</v>
      </c>
      <c r="O688" s="38"/>
      <c r="P688" s="14" t="s">
        <v>260</v>
      </c>
      <c r="Q688" s="39" t="s">
        <v>1538</v>
      </c>
      <c r="R688" s="41">
        <v>0</v>
      </c>
      <c r="S688" s="41" t="s">
        <v>1539</v>
      </c>
      <c r="T688" s="17"/>
      <c r="U688" s="66"/>
    </row>
    <row r="689" spans="2:22" s="15" customFormat="1" ht="29" x14ac:dyDescent="0.35">
      <c r="B689" s="64">
        <v>45238</v>
      </c>
      <c r="C689" s="70">
        <v>604</v>
      </c>
      <c r="D689" s="73">
        <v>424</v>
      </c>
      <c r="E689" s="14" t="s">
        <v>1537</v>
      </c>
      <c r="F689" s="85" t="s">
        <v>1468</v>
      </c>
      <c r="G689" s="17" t="s">
        <v>5</v>
      </c>
      <c r="H689" s="17" t="s">
        <v>1469</v>
      </c>
      <c r="I689" s="145"/>
      <c r="J689" s="14" t="s">
        <v>254</v>
      </c>
      <c r="K689" s="17" t="s">
        <v>1305</v>
      </c>
      <c r="L689" s="17" t="s">
        <v>39</v>
      </c>
      <c r="M689" s="38">
        <v>8126203023</v>
      </c>
      <c r="N689" s="38">
        <v>860896051469252</v>
      </c>
      <c r="O689" s="38"/>
      <c r="P689" s="14" t="s">
        <v>253</v>
      </c>
      <c r="Q689" s="39" t="s">
        <v>1538</v>
      </c>
      <c r="R689" s="41">
        <v>0</v>
      </c>
      <c r="S689" s="41" t="s">
        <v>1539</v>
      </c>
      <c r="T689" s="17"/>
      <c r="U689" s="66"/>
    </row>
    <row r="690" spans="2:22" s="15" customFormat="1" ht="29" x14ac:dyDescent="0.35">
      <c r="B690" s="64">
        <v>45238</v>
      </c>
      <c r="C690" s="70">
        <v>605</v>
      </c>
      <c r="D690" s="71">
        <v>442</v>
      </c>
      <c r="E690" s="17" t="s">
        <v>1504</v>
      </c>
      <c r="F690" s="85" t="s">
        <v>1468</v>
      </c>
      <c r="G690" s="17" t="s">
        <v>5</v>
      </c>
      <c r="H690" s="17" t="s">
        <v>1469</v>
      </c>
      <c r="I690" s="145"/>
      <c r="J690" s="17" t="s">
        <v>1561</v>
      </c>
      <c r="K690" s="17" t="s">
        <v>1323</v>
      </c>
      <c r="L690" s="17" t="s">
        <v>39</v>
      </c>
      <c r="M690" s="37">
        <v>8120395632</v>
      </c>
      <c r="N690" s="38">
        <v>869220040534160</v>
      </c>
      <c r="O690" s="38"/>
      <c r="P690" s="14" t="s">
        <v>34</v>
      </c>
      <c r="Q690" s="72" t="s">
        <v>1506</v>
      </c>
      <c r="R690" s="41">
        <v>0</v>
      </c>
      <c r="S690" s="41" t="s">
        <v>1504</v>
      </c>
      <c r="T690" s="17"/>
      <c r="U690" s="66"/>
    </row>
    <row r="691" spans="2:22" s="15" customFormat="1" ht="29" x14ac:dyDescent="0.35">
      <c r="B691" s="64">
        <v>45238</v>
      </c>
      <c r="C691" s="70">
        <v>606</v>
      </c>
      <c r="D691" s="74" t="s">
        <v>2950</v>
      </c>
      <c r="E691" s="14" t="s">
        <v>1537</v>
      </c>
      <c r="F691" s="85" t="s">
        <v>1468</v>
      </c>
      <c r="G691" s="17" t="s">
        <v>5</v>
      </c>
      <c r="H691" s="17" t="s">
        <v>1469</v>
      </c>
      <c r="I691" s="145"/>
      <c r="J691" s="17" t="s">
        <v>1562</v>
      </c>
      <c r="K691" s="17" t="s">
        <v>1563</v>
      </c>
      <c r="L691" s="17" t="s">
        <v>39</v>
      </c>
      <c r="M691" s="37">
        <v>8123574781</v>
      </c>
      <c r="N691" s="38">
        <v>863756050057945</v>
      </c>
      <c r="O691" s="38"/>
      <c r="P691" s="14" t="s">
        <v>158</v>
      </c>
      <c r="Q691" s="39" t="s">
        <v>2559</v>
      </c>
      <c r="R691" s="41">
        <v>0</v>
      </c>
      <c r="S691" s="41" t="s">
        <v>1539</v>
      </c>
      <c r="T691" s="17"/>
      <c r="U691" s="66"/>
    </row>
    <row r="692" spans="2:22" s="15" customFormat="1" ht="29" x14ac:dyDescent="0.35">
      <c r="B692" s="64">
        <v>45240</v>
      </c>
      <c r="C692" s="70">
        <v>607</v>
      </c>
      <c r="D692" s="85" t="s">
        <v>4917</v>
      </c>
      <c r="E692" s="46" t="s">
        <v>1536</v>
      </c>
      <c r="F692" s="103" t="s">
        <v>213</v>
      </c>
      <c r="G692" s="17" t="s">
        <v>5</v>
      </c>
      <c r="H692" s="17" t="s">
        <v>4930</v>
      </c>
      <c r="I692" s="145" t="s">
        <v>4652</v>
      </c>
      <c r="J692" s="17" t="s">
        <v>4931</v>
      </c>
      <c r="K692" s="17" t="s">
        <v>1535</v>
      </c>
      <c r="L692" s="17" t="s">
        <v>2</v>
      </c>
      <c r="M692" s="65">
        <v>8116006966</v>
      </c>
      <c r="N692" s="16">
        <v>865011034397431</v>
      </c>
      <c r="O692" s="16" t="s">
        <v>4933</v>
      </c>
      <c r="P692" s="17" t="s">
        <v>4932</v>
      </c>
      <c r="Q692" s="14" t="s">
        <v>1565</v>
      </c>
      <c r="R692" s="40">
        <v>290</v>
      </c>
      <c r="S692" s="19" t="s">
        <v>4912</v>
      </c>
      <c r="T692" s="17"/>
      <c r="U692" s="66"/>
    </row>
    <row r="693" spans="2:22" s="15" customFormat="1" ht="29" x14ac:dyDescent="0.35">
      <c r="B693" s="64">
        <v>45244</v>
      </c>
      <c r="C693" s="70">
        <v>608</v>
      </c>
      <c r="D693" s="85" t="s">
        <v>3990</v>
      </c>
      <c r="E693" s="14" t="s">
        <v>1566</v>
      </c>
      <c r="F693" s="103" t="s">
        <v>13</v>
      </c>
      <c r="G693" s="17" t="s">
        <v>5</v>
      </c>
      <c r="H693" s="17" t="s">
        <v>1720</v>
      </c>
      <c r="I693" s="145">
        <v>0.58333333333333337</v>
      </c>
      <c r="J693" s="17" t="s">
        <v>26</v>
      </c>
      <c r="K693" s="17" t="s">
        <v>1567</v>
      </c>
      <c r="L693" s="17" t="s">
        <v>2</v>
      </c>
      <c r="M693" s="65">
        <v>8123195890</v>
      </c>
      <c r="N693" s="16">
        <v>860896052671120</v>
      </c>
      <c r="O693" s="16" t="s">
        <v>3992</v>
      </c>
      <c r="P693" s="17" t="s">
        <v>3991</v>
      </c>
      <c r="Q693" s="17" t="s">
        <v>4174</v>
      </c>
      <c r="R693" s="40">
        <v>1999.84</v>
      </c>
      <c r="S693" s="19" t="s">
        <v>3584</v>
      </c>
      <c r="T693" s="17"/>
      <c r="U693" s="66"/>
    </row>
    <row r="694" spans="2:22" s="15" customFormat="1" ht="29" x14ac:dyDescent="0.35">
      <c r="B694" s="64">
        <v>45246</v>
      </c>
      <c r="C694" s="70">
        <v>609</v>
      </c>
      <c r="D694" s="85" t="s">
        <v>3995</v>
      </c>
      <c r="E694" s="14" t="s">
        <v>1568</v>
      </c>
      <c r="F694" s="103" t="s">
        <v>13</v>
      </c>
      <c r="G694" s="17" t="s">
        <v>5</v>
      </c>
      <c r="H694" s="17" t="s">
        <v>1530</v>
      </c>
      <c r="I694" s="145">
        <v>0.45833333333333331</v>
      </c>
      <c r="J694" s="17" t="s">
        <v>24</v>
      </c>
      <c r="K694" s="17" t="s">
        <v>1569</v>
      </c>
      <c r="L694" s="17" t="s">
        <v>2</v>
      </c>
      <c r="M694" s="65">
        <v>8126210390</v>
      </c>
      <c r="N694" s="16" t="s">
        <v>4304</v>
      </c>
      <c r="O694" s="16" t="s">
        <v>3994</v>
      </c>
      <c r="P694" s="17" t="s">
        <v>3993</v>
      </c>
      <c r="Q694" s="17" t="s">
        <v>4174</v>
      </c>
      <c r="R694" s="40">
        <v>1999.84</v>
      </c>
      <c r="S694" s="19" t="s">
        <v>3584</v>
      </c>
      <c r="T694" s="17"/>
      <c r="U694" s="66"/>
    </row>
    <row r="695" spans="2:22" s="15" customFormat="1" ht="29" x14ac:dyDescent="0.35">
      <c r="B695" s="64">
        <v>45252</v>
      </c>
      <c r="C695" s="70">
        <v>610</v>
      </c>
      <c r="D695" s="73">
        <v>594</v>
      </c>
      <c r="E695" s="14" t="s">
        <v>1594</v>
      </c>
      <c r="F695" s="103" t="s">
        <v>13</v>
      </c>
      <c r="G695" s="17" t="s">
        <v>5</v>
      </c>
      <c r="H695" s="14" t="s">
        <v>1786</v>
      </c>
      <c r="I695" s="145"/>
      <c r="J695" s="17" t="s">
        <v>1572</v>
      </c>
      <c r="K695" s="17" t="s">
        <v>1573</v>
      </c>
      <c r="L695" s="17" t="s">
        <v>2</v>
      </c>
      <c r="M695" s="65">
        <v>8120107535</v>
      </c>
      <c r="N695" s="16">
        <v>868166053313458</v>
      </c>
      <c r="O695" s="16"/>
      <c r="P695" s="17" t="s">
        <v>1575</v>
      </c>
      <c r="Q695" s="14" t="s">
        <v>8</v>
      </c>
      <c r="R695" s="40">
        <v>1999.84</v>
      </c>
      <c r="S695" s="41" t="s">
        <v>1589</v>
      </c>
      <c r="T695" s="17"/>
      <c r="U695" s="66"/>
    </row>
    <row r="696" spans="2:22" s="15" customFormat="1" ht="29" x14ac:dyDescent="0.35">
      <c r="B696" s="64">
        <v>45253</v>
      </c>
      <c r="C696" s="70">
        <v>611</v>
      </c>
      <c r="D696" s="85" t="s">
        <v>4785</v>
      </c>
      <c r="E696" s="14" t="s">
        <v>1574</v>
      </c>
      <c r="F696" s="103" t="s">
        <v>13</v>
      </c>
      <c r="G696" s="17" t="s">
        <v>1805</v>
      </c>
      <c r="H696" s="17" t="s">
        <v>17</v>
      </c>
      <c r="I696" s="145" t="s">
        <v>4459</v>
      </c>
      <c r="J696" s="17" t="s">
        <v>4799</v>
      </c>
      <c r="K696" s="17" t="s">
        <v>4800</v>
      </c>
      <c r="L696" s="17" t="s">
        <v>2</v>
      </c>
      <c r="M696" s="65">
        <v>8117462822</v>
      </c>
      <c r="N696" s="16">
        <v>869220041534888</v>
      </c>
      <c r="O696" s="16" t="s">
        <v>4798</v>
      </c>
      <c r="P696" s="17" t="s">
        <v>4797</v>
      </c>
      <c r="Q696" s="17" t="s">
        <v>2559</v>
      </c>
      <c r="R696" s="40">
        <v>1999.84</v>
      </c>
      <c r="S696" s="19" t="s">
        <v>4776</v>
      </c>
      <c r="T696" s="17"/>
      <c r="U696" s="66"/>
    </row>
    <row r="697" spans="2:22" s="15" customFormat="1" ht="29" x14ac:dyDescent="0.35">
      <c r="B697" s="64">
        <v>45255</v>
      </c>
      <c r="C697" s="70">
        <v>612</v>
      </c>
      <c r="D697" s="85" t="s">
        <v>3996</v>
      </c>
      <c r="E697" s="14" t="s">
        <v>1576</v>
      </c>
      <c r="F697" s="103" t="s">
        <v>13</v>
      </c>
      <c r="G697" s="17" t="s">
        <v>1805</v>
      </c>
      <c r="H697" s="14" t="s">
        <v>1767</v>
      </c>
      <c r="I697" s="145">
        <v>0.41666666666666669</v>
      </c>
      <c r="J697" s="17" t="s">
        <v>26</v>
      </c>
      <c r="K697" s="14" t="s">
        <v>1577</v>
      </c>
      <c r="L697" s="17" t="s">
        <v>50</v>
      </c>
      <c r="M697" s="65">
        <v>8112446750</v>
      </c>
      <c r="N697" s="38">
        <v>869530043022470</v>
      </c>
      <c r="O697" s="16" t="s">
        <v>1578</v>
      </c>
      <c r="P697" s="17" t="s">
        <v>39</v>
      </c>
      <c r="Q697" s="17" t="s">
        <v>4174</v>
      </c>
      <c r="R697" s="40">
        <v>1999.84</v>
      </c>
      <c r="S697" s="19" t="s">
        <v>3584</v>
      </c>
      <c r="T697" s="17"/>
      <c r="U697" s="66"/>
    </row>
    <row r="698" spans="2:22" s="15" customFormat="1" ht="29" x14ac:dyDescent="0.35">
      <c r="B698" s="64">
        <v>45257</v>
      </c>
      <c r="C698" s="70">
        <v>613</v>
      </c>
      <c r="D698" s="91" t="s">
        <v>39</v>
      </c>
      <c r="E698" s="14" t="s">
        <v>878</v>
      </c>
      <c r="F698" s="103" t="s">
        <v>40</v>
      </c>
      <c r="G698" s="17" t="s">
        <v>5</v>
      </c>
      <c r="H698" s="17" t="s">
        <v>17</v>
      </c>
      <c r="I698" s="145"/>
      <c r="J698" s="17" t="s">
        <v>1579</v>
      </c>
      <c r="K698" s="17" t="s">
        <v>1580</v>
      </c>
      <c r="L698" s="17" t="s">
        <v>2</v>
      </c>
      <c r="M698" s="65" t="s">
        <v>39</v>
      </c>
      <c r="N698" s="16" t="s">
        <v>39</v>
      </c>
      <c r="O698" s="16"/>
      <c r="P698" s="17" t="s">
        <v>39</v>
      </c>
      <c r="Q698" s="14" t="s">
        <v>1581</v>
      </c>
      <c r="R698" s="40">
        <v>290</v>
      </c>
      <c r="S698" s="41" t="s">
        <v>40</v>
      </c>
      <c r="T698" s="17"/>
      <c r="U698" s="66"/>
    </row>
    <row r="699" spans="2:22" s="15" customFormat="1" ht="29" x14ac:dyDescent="0.35">
      <c r="B699" s="64">
        <v>45258</v>
      </c>
      <c r="C699" s="70">
        <v>614</v>
      </c>
      <c r="D699" s="74" t="s">
        <v>5014</v>
      </c>
      <c r="E699" s="14" t="s">
        <v>1582</v>
      </c>
      <c r="F699" s="103" t="s">
        <v>13</v>
      </c>
      <c r="G699" s="17" t="s">
        <v>5</v>
      </c>
      <c r="H699" s="17" t="s">
        <v>17</v>
      </c>
      <c r="I699" s="145" t="s">
        <v>4605</v>
      </c>
      <c r="J699" s="17" t="s">
        <v>5091</v>
      </c>
      <c r="K699" s="17" t="s">
        <v>1583</v>
      </c>
      <c r="L699" s="17" t="s">
        <v>2</v>
      </c>
      <c r="M699" s="65">
        <v>8126201745</v>
      </c>
      <c r="N699" s="16">
        <v>869220041537162</v>
      </c>
      <c r="O699" s="16" t="s">
        <v>39</v>
      </c>
      <c r="P699" s="17" t="s">
        <v>39</v>
      </c>
      <c r="Q699" s="14" t="s">
        <v>8</v>
      </c>
      <c r="R699" s="40">
        <v>1999.84</v>
      </c>
      <c r="S699" s="19" t="s">
        <v>5002</v>
      </c>
      <c r="T699" s="17"/>
      <c r="U699" s="66"/>
      <c r="V699" s="15" t="s">
        <v>1584</v>
      </c>
    </row>
    <row r="700" spans="2:22" s="15" customFormat="1" ht="43.5" x14ac:dyDescent="0.35">
      <c r="B700" s="64">
        <v>45260</v>
      </c>
      <c r="C700" s="70">
        <v>615</v>
      </c>
      <c r="D700" s="91" t="s">
        <v>39</v>
      </c>
      <c r="E700" s="14" t="s">
        <v>878</v>
      </c>
      <c r="F700" s="103" t="s">
        <v>40</v>
      </c>
      <c r="G700" s="17" t="s">
        <v>5</v>
      </c>
      <c r="H700" s="17" t="s">
        <v>17</v>
      </c>
      <c r="I700" s="145"/>
      <c r="J700" s="17" t="s">
        <v>1579</v>
      </c>
      <c r="K700" s="17" t="s">
        <v>1580</v>
      </c>
      <c r="L700" s="17" t="s">
        <v>2</v>
      </c>
      <c r="M700" s="65" t="s">
        <v>39</v>
      </c>
      <c r="N700" s="16" t="s">
        <v>39</v>
      </c>
      <c r="O700" s="16"/>
      <c r="P700" s="17" t="s">
        <v>39</v>
      </c>
      <c r="Q700" s="14" t="s">
        <v>1587</v>
      </c>
      <c r="R700" s="40">
        <v>290</v>
      </c>
      <c r="S700" s="41" t="s">
        <v>40</v>
      </c>
      <c r="T700" s="17"/>
      <c r="U700" s="66"/>
    </row>
    <row r="701" spans="2:22" s="15" customFormat="1" ht="29" x14ac:dyDescent="0.35">
      <c r="B701" s="64">
        <v>45260</v>
      </c>
      <c r="C701" s="17">
        <v>617</v>
      </c>
      <c r="D701" s="74" t="s">
        <v>5015</v>
      </c>
      <c r="E701" s="14" t="s">
        <v>1585</v>
      </c>
      <c r="F701" s="103" t="s">
        <v>13</v>
      </c>
      <c r="G701" s="17" t="s">
        <v>5</v>
      </c>
      <c r="H701" s="17" t="s">
        <v>1586</v>
      </c>
      <c r="I701" s="145" t="s">
        <v>4934</v>
      </c>
      <c r="J701" s="17" t="s">
        <v>5092</v>
      </c>
      <c r="K701" s="17" t="s">
        <v>1598</v>
      </c>
      <c r="L701" s="17" t="s">
        <v>2</v>
      </c>
      <c r="M701" s="65">
        <v>8118230185</v>
      </c>
      <c r="N701" s="16">
        <v>865413051397643</v>
      </c>
      <c r="O701" s="16" t="s">
        <v>5094</v>
      </c>
      <c r="P701" s="17" t="s">
        <v>5093</v>
      </c>
      <c r="Q701" s="14" t="s">
        <v>8</v>
      </c>
      <c r="R701" s="40">
        <v>1999.84</v>
      </c>
      <c r="S701" s="19" t="s">
        <v>5002</v>
      </c>
      <c r="T701" s="17"/>
      <c r="U701" s="66"/>
    </row>
    <row r="702" spans="2:22" s="15" customFormat="1" ht="29" x14ac:dyDescent="0.35">
      <c r="B702" s="64">
        <v>45260</v>
      </c>
      <c r="C702" s="70">
        <v>616</v>
      </c>
      <c r="D702" s="85" t="s">
        <v>2603</v>
      </c>
      <c r="E702" s="14" t="s">
        <v>1585</v>
      </c>
      <c r="F702" s="103" t="s">
        <v>13</v>
      </c>
      <c r="G702" s="17" t="s">
        <v>1805</v>
      </c>
      <c r="H702" s="17" t="s">
        <v>1787</v>
      </c>
      <c r="I702" s="145">
        <v>0.625</v>
      </c>
      <c r="J702" s="17" t="s">
        <v>2604</v>
      </c>
      <c r="K702" s="17" t="s">
        <v>1599</v>
      </c>
      <c r="L702" s="17" t="s">
        <v>2</v>
      </c>
      <c r="M702" s="65">
        <v>8135516717</v>
      </c>
      <c r="N702" s="16">
        <v>865011034210337</v>
      </c>
      <c r="O702" s="16" t="s">
        <v>39</v>
      </c>
      <c r="P702" s="16" t="s">
        <v>1588</v>
      </c>
      <c r="Q702" s="17" t="s">
        <v>2559</v>
      </c>
      <c r="R702" s="40">
        <v>1999.84</v>
      </c>
      <c r="S702" s="19" t="s">
        <v>2560</v>
      </c>
      <c r="T702" s="17"/>
      <c r="U702" s="66"/>
    </row>
    <row r="703" spans="2:22" s="15" customFormat="1" ht="29" x14ac:dyDescent="0.35">
      <c r="B703" s="64">
        <v>45264</v>
      </c>
      <c r="C703" s="17">
        <v>617</v>
      </c>
      <c r="D703" s="85">
        <v>594</v>
      </c>
      <c r="E703" s="17" t="s">
        <v>1592</v>
      </c>
      <c r="F703" s="103" t="s">
        <v>40</v>
      </c>
      <c r="G703" s="17" t="s">
        <v>21</v>
      </c>
      <c r="H703" s="14" t="s">
        <v>1786</v>
      </c>
      <c r="I703" s="145"/>
      <c r="J703" s="17" t="s">
        <v>1596</v>
      </c>
      <c r="K703" s="17" t="s">
        <v>1573</v>
      </c>
      <c r="L703" s="17" t="s">
        <v>2</v>
      </c>
      <c r="M703" s="65">
        <v>8120107535</v>
      </c>
      <c r="N703" s="16">
        <v>868166053313458</v>
      </c>
      <c r="O703" s="16"/>
      <c r="P703" s="17" t="s">
        <v>1575</v>
      </c>
      <c r="Q703" s="14" t="s">
        <v>1590</v>
      </c>
      <c r="R703" s="40">
        <v>0</v>
      </c>
      <c r="S703" s="41" t="s">
        <v>1589</v>
      </c>
      <c r="T703" s="17"/>
      <c r="U703" s="66"/>
    </row>
    <row r="704" spans="2:22" s="15" customFormat="1" ht="29" x14ac:dyDescent="0.35">
      <c r="B704" s="64">
        <v>45264</v>
      </c>
      <c r="C704" s="17">
        <v>618</v>
      </c>
      <c r="D704" s="36">
        <v>594</v>
      </c>
      <c r="E704" s="17" t="s">
        <v>1589</v>
      </c>
      <c r="F704" s="85" t="s">
        <v>6</v>
      </c>
      <c r="G704" s="17" t="s">
        <v>21</v>
      </c>
      <c r="H704" s="17" t="s">
        <v>1591</v>
      </c>
      <c r="I704" s="145"/>
      <c r="J704" s="17" t="s">
        <v>1595</v>
      </c>
      <c r="K704" s="17" t="s">
        <v>1573</v>
      </c>
      <c r="L704" s="17" t="s">
        <v>2</v>
      </c>
      <c r="M704" s="65">
        <v>8120107535</v>
      </c>
      <c r="N704" s="16">
        <v>868166053313458</v>
      </c>
      <c r="O704" s="16"/>
      <c r="P704" s="17" t="s">
        <v>1575</v>
      </c>
      <c r="Q704" s="14" t="s">
        <v>1593</v>
      </c>
      <c r="R704" s="40">
        <v>754</v>
      </c>
      <c r="S704" s="41" t="s">
        <v>1589</v>
      </c>
      <c r="T704" s="17"/>
      <c r="U704" s="66"/>
    </row>
    <row r="705" spans="2:22" s="15" customFormat="1" ht="29" x14ac:dyDescent="0.35">
      <c r="B705" s="64">
        <v>45264</v>
      </c>
      <c r="C705" s="17">
        <v>619</v>
      </c>
      <c r="D705" s="74" t="s">
        <v>5018</v>
      </c>
      <c r="E705" s="17" t="s">
        <v>1597</v>
      </c>
      <c r="F705" s="85" t="s">
        <v>13</v>
      </c>
      <c r="G705" s="17" t="s">
        <v>1805</v>
      </c>
      <c r="H705" s="17" t="s">
        <v>17</v>
      </c>
      <c r="I705" s="145" t="s">
        <v>5095</v>
      </c>
      <c r="J705" s="17" t="s">
        <v>26</v>
      </c>
      <c r="K705" s="17" t="s">
        <v>1600</v>
      </c>
      <c r="L705" s="17" t="s">
        <v>2</v>
      </c>
      <c r="M705" s="65">
        <v>8120107535</v>
      </c>
      <c r="N705" s="16">
        <v>868166053313458</v>
      </c>
      <c r="O705" s="16" t="s">
        <v>5097</v>
      </c>
      <c r="P705" s="17" t="s">
        <v>5096</v>
      </c>
      <c r="Q705" s="14" t="s">
        <v>8</v>
      </c>
      <c r="R705" s="40">
        <v>1999.84</v>
      </c>
      <c r="S705" s="19" t="s">
        <v>5002</v>
      </c>
      <c r="T705" s="17"/>
      <c r="U705" s="66"/>
    </row>
    <row r="706" spans="2:22" s="15" customFormat="1" ht="29" x14ac:dyDescent="0.35">
      <c r="B706" s="64">
        <v>45265</v>
      </c>
      <c r="C706" s="17">
        <v>620</v>
      </c>
      <c r="D706" s="74" t="s">
        <v>5016</v>
      </c>
      <c r="E706" s="17" t="s">
        <v>1601</v>
      </c>
      <c r="F706" s="85" t="s">
        <v>13</v>
      </c>
      <c r="G706" s="17" t="s">
        <v>5</v>
      </c>
      <c r="H706" s="17" t="s">
        <v>17</v>
      </c>
      <c r="I706" s="145" t="s">
        <v>4102</v>
      </c>
      <c r="J706" s="17" t="s">
        <v>24</v>
      </c>
      <c r="K706" s="17" t="s">
        <v>1602</v>
      </c>
      <c r="L706" s="17" t="s">
        <v>2</v>
      </c>
      <c r="M706" s="38">
        <v>8134058894</v>
      </c>
      <c r="N706" s="37">
        <v>865011031932149</v>
      </c>
      <c r="O706" s="65" t="s">
        <v>39</v>
      </c>
      <c r="P706" s="17" t="s">
        <v>1603</v>
      </c>
      <c r="Q706" s="14" t="s">
        <v>8</v>
      </c>
      <c r="R706" s="40">
        <v>1999.84</v>
      </c>
      <c r="S706" s="19" t="s">
        <v>5002</v>
      </c>
      <c r="T706" s="17"/>
      <c r="U706" s="66"/>
    </row>
    <row r="707" spans="2:22" s="15" customFormat="1" ht="29" x14ac:dyDescent="0.35">
      <c r="B707" s="64">
        <v>45265</v>
      </c>
      <c r="C707" s="17">
        <v>621</v>
      </c>
      <c r="D707" s="85" t="s">
        <v>3998</v>
      </c>
      <c r="E707" s="17" t="s">
        <v>1601</v>
      </c>
      <c r="F707" s="85" t="s">
        <v>13</v>
      </c>
      <c r="G707" s="17" t="s">
        <v>1805</v>
      </c>
      <c r="H707" s="17" t="s">
        <v>1787</v>
      </c>
      <c r="I707" s="145">
        <v>0.75</v>
      </c>
      <c r="J707" s="17" t="s">
        <v>26</v>
      </c>
      <c r="K707" s="14" t="s">
        <v>1604</v>
      </c>
      <c r="L707" s="17" t="s">
        <v>2</v>
      </c>
      <c r="M707" s="37">
        <v>8110449027</v>
      </c>
      <c r="N707" s="38">
        <v>868166056885171</v>
      </c>
      <c r="O707" s="16" t="s">
        <v>1605</v>
      </c>
      <c r="P707" s="17" t="s">
        <v>39</v>
      </c>
      <c r="Q707" s="17" t="s">
        <v>4174</v>
      </c>
      <c r="R707" s="40">
        <v>1999.84</v>
      </c>
      <c r="S707" s="19" t="s">
        <v>3584</v>
      </c>
      <c r="T707" s="17"/>
      <c r="U707" s="66"/>
      <c r="V707" s="15" t="s">
        <v>1606</v>
      </c>
    </row>
    <row r="708" spans="2:22" s="15" customFormat="1" ht="29" x14ac:dyDescent="0.35">
      <c r="B708" s="64">
        <v>45267</v>
      </c>
      <c r="C708" s="17">
        <v>622</v>
      </c>
      <c r="D708" s="74" t="s">
        <v>2725</v>
      </c>
      <c r="E708" s="14" t="s">
        <v>338</v>
      </c>
      <c r="F708" s="85" t="s">
        <v>1468</v>
      </c>
      <c r="G708" s="14" t="s">
        <v>5</v>
      </c>
      <c r="H708" s="14" t="s">
        <v>1767</v>
      </c>
      <c r="I708" s="145" t="s">
        <v>39</v>
      </c>
      <c r="J708" s="14" t="s">
        <v>337</v>
      </c>
      <c r="K708" s="14" t="s">
        <v>1276</v>
      </c>
      <c r="L708" s="14" t="s">
        <v>2</v>
      </c>
      <c r="M708" s="38">
        <v>8118241462</v>
      </c>
      <c r="N708" s="38">
        <v>863844051238373</v>
      </c>
      <c r="O708" s="38" t="s">
        <v>271</v>
      </c>
      <c r="P708" s="14" t="s">
        <v>4213</v>
      </c>
      <c r="Q708" s="72" t="s">
        <v>2728</v>
      </c>
      <c r="R708" s="40">
        <v>0</v>
      </c>
      <c r="S708" s="41" t="s">
        <v>338</v>
      </c>
      <c r="T708" s="17"/>
      <c r="U708" s="66"/>
    </row>
    <row r="709" spans="2:22" s="15" customFormat="1" ht="29" x14ac:dyDescent="0.35">
      <c r="B709" s="64">
        <v>45267</v>
      </c>
      <c r="C709" s="17">
        <v>623</v>
      </c>
      <c r="D709" s="74" t="s">
        <v>2771</v>
      </c>
      <c r="E709" s="14" t="s">
        <v>1607</v>
      </c>
      <c r="F709" s="85" t="s">
        <v>1468</v>
      </c>
      <c r="G709" s="14" t="s">
        <v>5</v>
      </c>
      <c r="H709" s="14" t="s">
        <v>1930</v>
      </c>
      <c r="I709" s="144"/>
      <c r="J709" s="14" t="s">
        <v>656</v>
      </c>
      <c r="K709" s="14" t="s">
        <v>1137</v>
      </c>
      <c r="L709" s="14" t="s">
        <v>2</v>
      </c>
      <c r="M709" s="38">
        <v>8120013078</v>
      </c>
      <c r="N709" s="38">
        <v>865011032921448</v>
      </c>
      <c r="O709" s="38"/>
      <c r="P709" s="14" t="s">
        <v>655</v>
      </c>
      <c r="Q709" s="39" t="s">
        <v>2559</v>
      </c>
      <c r="R709" s="40">
        <v>0</v>
      </c>
      <c r="S709" s="41" t="s">
        <v>1607</v>
      </c>
      <c r="T709" s="17"/>
      <c r="U709" s="66"/>
    </row>
    <row r="710" spans="2:22" s="15" customFormat="1" ht="29" x14ac:dyDescent="0.35">
      <c r="B710" s="64">
        <v>45267</v>
      </c>
      <c r="C710" s="17">
        <v>624</v>
      </c>
      <c r="D710" s="74" t="s">
        <v>2810</v>
      </c>
      <c r="E710" s="14" t="s">
        <v>1607</v>
      </c>
      <c r="F710" s="85" t="s">
        <v>1468</v>
      </c>
      <c r="G710" s="14" t="s">
        <v>5</v>
      </c>
      <c r="H710" s="14" t="s">
        <v>1930</v>
      </c>
      <c r="I710" s="144"/>
      <c r="J710" s="14" t="s">
        <v>605</v>
      </c>
      <c r="K710" s="14" t="s">
        <v>1159</v>
      </c>
      <c r="L710" s="14" t="s">
        <v>2</v>
      </c>
      <c r="M710" s="38">
        <v>8126201719</v>
      </c>
      <c r="N710" s="38">
        <v>865011032921729</v>
      </c>
      <c r="O710" s="38"/>
      <c r="P710" s="14" t="s">
        <v>604</v>
      </c>
      <c r="Q710" s="39" t="s">
        <v>2559</v>
      </c>
      <c r="R710" s="41">
        <v>0</v>
      </c>
      <c r="S710" s="41" t="s">
        <v>1607</v>
      </c>
      <c r="T710" s="17"/>
      <c r="U710" s="66"/>
    </row>
    <row r="711" spans="2:22" s="15" customFormat="1" ht="29" x14ac:dyDescent="0.35">
      <c r="B711" s="64">
        <v>45267</v>
      </c>
      <c r="C711" s="17">
        <v>625</v>
      </c>
      <c r="D711" s="74" t="s">
        <v>2847</v>
      </c>
      <c r="E711" s="46" t="s">
        <v>562</v>
      </c>
      <c r="F711" s="85" t="s">
        <v>1468</v>
      </c>
      <c r="G711" s="14" t="s">
        <v>5</v>
      </c>
      <c r="H711" s="14" t="s">
        <v>473</v>
      </c>
      <c r="I711" s="145" t="s">
        <v>39</v>
      </c>
      <c r="J711" s="17" t="s">
        <v>3771</v>
      </c>
      <c r="K711" s="14" t="s">
        <v>1183</v>
      </c>
      <c r="L711" s="14" t="s">
        <v>2</v>
      </c>
      <c r="M711" s="38">
        <v>8112814639</v>
      </c>
      <c r="N711" s="38">
        <v>863844052820880</v>
      </c>
      <c r="O711" s="16" t="s">
        <v>39</v>
      </c>
      <c r="P711" s="14" t="s">
        <v>558</v>
      </c>
      <c r="Q711" s="72" t="s">
        <v>2848</v>
      </c>
      <c r="R711" s="41">
        <v>0</v>
      </c>
      <c r="S711" s="41" t="s">
        <v>2850</v>
      </c>
      <c r="T711" s="42" t="s">
        <v>2849</v>
      </c>
      <c r="U711" s="117">
        <v>273</v>
      </c>
    </row>
    <row r="712" spans="2:22" s="15" customFormat="1" ht="29" x14ac:dyDescent="0.35">
      <c r="B712" s="64">
        <v>45267</v>
      </c>
      <c r="C712" s="17">
        <v>626</v>
      </c>
      <c r="D712" s="74" t="s">
        <v>2860</v>
      </c>
      <c r="E712" s="14" t="s">
        <v>1607</v>
      </c>
      <c r="F712" s="85" t="s">
        <v>1468</v>
      </c>
      <c r="G712" s="14" t="s">
        <v>5</v>
      </c>
      <c r="H712" s="14" t="s">
        <v>1930</v>
      </c>
      <c r="I712" s="144"/>
      <c r="J712" s="14" t="s">
        <v>548</v>
      </c>
      <c r="K712" s="14" t="s">
        <v>1192</v>
      </c>
      <c r="L712" s="14" t="s">
        <v>2</v>
      </c>
      <c r="M712" s="38">
        <v>8183963032</v>
      </c>
      <c r="N712" s="38">
        <v>863844055230624</v>
      </c>
      <c r="O712" s="38"/>
      <c r="P712" s="14" t="s">
        <v>547</v>
      </c>
      <c r="Q712" s="39" t="s">
        <v>2559</v>
      </c>
      <c r="R712" s="41">
        <v>0</v>
      </c>
      <c r="S712" s="41" t="s">
        <v>1607</v>
      </c>
      <c r="T712" s="17"/>
      <c r="U712" s="66"/>
    </row>
    <row r="713" spans="2:22" s="15" customFormat="1" ht="29" x14ac:dyDescent="0.35">
      <c r="B713" s="64">
        <v>45267</v>
      </c>
      <c r="C713" s="17">
        <v>627</v>
      </c>
      <c r="D713" s="36">
        <v>312</v>
      </c>
      <c r="E713" s="14" t="s">
        <v>1607</v>
      </c>
      <c r="F713" s="85" t="s">
        <v>1468</v>
      </c>
      <c r="G713" s="14" t="s">
        <v>5</v>
      </c>
      <c r="H713" s="14" t="s">
        <v>1767</v>
      </c>
      <c r="I713" s="144"/>
      <c r="J713" s="14" t="s">
        <v>244</v>
      </c>
      <c r="K713" s="14" t="s">
        <v>1611</v>
      </c>
      <c r="L713" s="14" t="s">
        <v>2</v>
      </c>
      <c r="M713" s="37">
        <v>8118003775</v>
      </c>
      <c r="N713" s="38">
        <v>864606048768229</v>
      </c>
      <c r="O713" s="38"/>
      <c r="P713" s="14" t="s">
        <v>478</v>
      </c>
      <c r="Q713" s="39" t="s">
        <v>1538</v>
      </c>
      <c r="R713" s="41">
        <v>0</v>
      </c>
      <c r="S713" s="41" t="s">
        <v>1607</v>
      </c>
      <c r="T713" s="17"/>
      <c r="U713" s="66"/>
    </row>
    <row r="714" spans="2:22" s="15" customFormat="1" ht="29" x14ac:dyDescent="0.35">
      <c r="B714" s="64">
        <v>45267</v>
      </c>
      <c r="C714" s="17">
        <v>628</v>
      </c>
      <c r="D714" s="36">
        <v>316</v>
      </c>
      <c r="E714" s="14" t="s">
        <v>1607</v>
      </c>
      <c r="F714" s="85" t="s">
        <v>1468</v>
      </c>
      <c r="G714" s="14" t="s">
        <v>5</v>
      </c>
      <c r="H714" s="14" t="s">
        <v>1767</v>
      </c>
      <c r="I714" s="144"/>
      <c r="J714" s="14" t="s">
        <v>1613</v>
      </c>
      <c r="K714" s="14" t="s">
        <v>1612</v>
      </c>
      <c r="L714" s="14" t="s">
        <v>2</v>
      </c>
      <c r="M714" s="37">
        <v>8112120446</v>
      </c>
      <c r="N714" s="38">
        <v>865011034399205</v>
      </c>
      <c r="O714" s="38"/>
      <c r="P714" s="14" t="s">
        <v>453</v>
      </c>
      <c r="Q714" s="39" t="s">
        <v>1538</v>
      </c>
      <c r="R714" s="41">
        <v>0</v>
      </c>
      <c r="S714" s="41" t="s">
        <v>1607</v>
      </c>
      <c r="T714" s="17"/>
      <c r="U714" s="66"/>
    </row>
    <row r="715" spans="2:22" s="15" customFormat="1" ht="29" x14ac:dyDescent="0.35">
      <c r="B715" s="64">
        <v>45267</v>
      </c>
      <c r="C715" s="17">
        <v>629</v>
      </c>
      <c r="D715" s="36">
        <v>318</v>
      </c>
      <c r="E715" s="14" t="s">
        <v>1607</v>
      </c>
      <c r="F715" s="85" t="s">
        <v>1468</v>
      </c>
      <c r="G715" s="14" t="s">
        <v>5</v>
      </c>
      <c r="H715" s="17" t="s">
        <v>1787</v>
      </c>
      <c r="I715" s="145"/>
      <c r="J715" s="14" t="s">
        <v>450</v>
      </c>
      <c r="K715" s="14" t="s">
        <v>1614</v>
      </c>
      <c r="L715" s="14" t="s">
        <v>2</v>
      </c>
      <c r="M715" s="14">
        <v>8112128873</v>
      </c>
      <c r="N715" s="38">
        <v>860856040422242</v>
      </c>
      <c r="O715" s="38"/>
      <c r="P715" s="14" t="s">
        <v>449</v>
      </c>
      <c r="Q715" s="39" t="s">
        <v>1538</v>
      </c>
      <c r="R715" s="40">
        <v>0</v>
      </c>
      <c r="S715" s="41" t="s">
        <v>1607</v>
      </c>
      <c r="T715" s="17"/>
      <c r="U715" s="66"/>
    </row>
    <row r="716" spans="2:22" s="15" customFormat="1" ht="29" x14ac:dyDescent="0.35">
      <c r="B716" s="64">
        <v>45267</v>
      </c>
      <c r="C716" s="17">
        <v>630</v>
      </c>
      <c r="D716" s="36">
        <v>330</v>
      </c>
      <c r="E716" s="14" t="s">
        <v>1607</v>
      </c>
      <c r="F716" s="85" t="s">
        <v>1468</v>
      </c>
      <c r="G716" s="14" t="s">
        <v>5</v>
      </c>
      <c r="H716" s="14" t="s">
        <v>11</v>
      </c>
      <c r="I716" s="144"/>
      <c r="J716" s="14" t="s">
        <v>426</v>
      </c>
      <c r="K716" s="14" t="s">
        <v>1228</v>
      </c>
      <c r="L716" s="14" t="s">
        <v>2</v>
      </c>
      <c r="M716" s="37">
        <v>8120020301</v>
      </c>
      <c r="N716" s="38">
        <v>865011034399569</v>
      </c>
      <c r="O716" s="38"/>
      <c r="P716" s="14" t="s">
        <v>425</v>
      </c>
      <c r="Q716" s="39" t="s">
        <v>1538</v>
      </c>
      <c r="R716" s="40">
        <v>0</v>
      </c>
      <c r="S716" s="41" t="s">
        <v>1607</v>
      </c>
      <c r="T716" s="17"/>
      <c r="U716" s="66"/>
    </row>
    <row r="717" spans="2:22" s="15" customFormat="1" ht="29" x14ac:dyDescent="0.35">
      <c r="B717" s="64">
        <v>45267</v>
      </c>
      <c r="C717" s="17">
        <v>631</v>
      </c>
      <c r="D717" s="36">
        <v>337</v>
      </c>
      <c r="E717" s="14" t="s">
        <v>1607</v>
      </c>
      <c r="F717" s="85" t="s">
        <v>1468</v>
      </c>
      <c r="G717" s="14" t="s">
        <v>5</v>
      </c>
      <c r="H717" s="14" t="s">
        <v>1767</v>
      </c>
      <c r="I717" s="144"/>
      <c r="J717" s="14" t="s">
        <v>418</v>
      </c>
      <c r="K717" s="14" t="s">
        <v>1234</v>
      </c>
      <c r="L717" s="14" t="s">
        <v>2</v>
      </c>
      <c r="M717" s="37">
        <v>8126210862</v>
      </c>
      <c r="N717" s="38">
        <v>865011034398710</v>
      </c>
      <c r="O717" s="38"/>
      <c r="P717" s="14" t="s">
        <v>417</v>
      </c>
      <c r="Q717" s="39" t="s">
        <v>1538</v>
      </c>
      <c r="R717" s="40">
        <v>0</v>
      </c>
      <c r="S717" s="41" t="s">
        <v>1607</v>
      </c>
      <c r="T717" s="17"/>
      <c r="U717" s="66"/>
    </row>
    <row r="718" spans="2:22" s="15" customFormat="1" ht="29" x14ac:dyDescent="0.35">
      <c r="B718" s="64">
        <v>45267</v>
      </c>
      <c r="C718" s="17">
        <v>632</v>
      </c>
      <c r="D718" s="36">
        <v>339</v>
      </c>
      <c r="E718" s="14" t="s">
        <v>1607</v>
      </c>
      <c r="F718" s="85" t="s">
        <v>1468</v>
      </c>
      <c r="G718" s="14" t="s">
        <v>5</v>
      </c>
      <c r="H718" s="14" t="s">
        <v>1767</v>
      </c>
      <c r="I718" s="144"/>
      <c r="J718" s="14" t="s">
        <v>1615</v>
      </c>
      <c r="K718" s="14" t="s">
        <v>1236</v>
      </c>
      <c r="L718" s="14" t="s">
        <v>2</v>
      </c>
      <c r="M718" s="37">
        <v>8118247487</v>
      </c>
      <c r="N718" s="38">
        <v>865011034398587</v>
      </c>
      <c r="O718" s="38"/>
      <c r="P718" s="14" t="s">
        <v>416</v>
      </c>
      <c r="Q718" s="39" t="s">
        <v>1538</v>
      </c>
      <c r="R718" s="40">
        <v>0</v>
      </c>
      <c r="S718" s="41" t="s">
        <v>1607</v>
      </c>
      <c r="T718" s="17"/>
      <c r="U718" s="66"/>
    </row>
    <row r="719" spans="2:22" s="15" customFormat="1" ht="29" x14ac:dyDescent="0.35">
      <c r="B719" s="64">
        <v>45267</v>
      </c>
      <c r="C719" s="17">
        <v>633</v>
      </c>
      <c r="D719" s="36">
        <v>340</v>
      </c>
      <c r="E719" s="14" t="s">
        <v>1607</v>
      </c>
      <c r="F719" s="85" t="s">
        <v>1468</v>
      </c>
      <c r="G719" s="14" t="s">
        <v>5</v>
      </c>
      <c r="H719" s="17" t="s">
        <v>1787</v>
      </c>
      <c r="I719" s="145"/>
      <c r="J719" s="14" t="s">
        <v>1616</v>
      </c>
      <c r="K719" s="14" t="s">
        <v>1237</v>
      </c>
      <c r="L719" s="14" t="s">
        <v>2</v>
      </c>
      <c r="M719" s="37">
        <v>8119173960</v>
      </c>
      <c r="N719" s="38">
        <v>865011034397696</v>
      </c>
      <c r="O719" s="38"/>
      <c r="P719" s="14" t="s">
        <v>415</v>
      </c>
      <c r="Q719" s="39" t="s">
        <v>1538</v>
      </c>
      <c r="R719" s="40">
        <v>0</v>
      </c>
      <c r="S719" s="41" t="s">
        <v>1607</v>
      </c>
      <c r="T719" s="17"/>
      <c r="U719" s="66"/>
    </row>
    <row r="720" spans="2:22" s="15" customFormat="1" ht="29" x14ac:dyDescent="0.35">
      <c r="B720" s="64">
        <v>45267</v>
      </c>
      <c r="C720" s="17">
        <v>634</v>
      </c>
      <c r="D720" s="36" t="s">
        <v>2910</v>
      </c>
      <c r="E720" s="14" t="s">
        <v>1607</v>
      </c>
      <c r="F720" s="85" t="s">
        <v>1468</v>
      </c>
      <c r="G720" s="17" t="s">
        <v>5</v>
      </c>
      <c r="H720" s="14" t="s">
        <v>1793</v>
      </c>
      <c r="I720" s="144"/>
      <c r="J720" s="14" t="s">
        <v>2912</v>
      </c>
      <c r="K720" s="14" t="s">
        <v>1243</v>
      </c>
      <c r="L720" s="14" t="s">
        <v>2</v>
      </c>
      <c r="M720" s="37">
        <v>8122016549</v>
      </c>
      <c r="N720" s="38">
        <v>865011034397662</v>
      </c>
      <c r="O720" s="38"/>
      <c r="P720" s="14" t="s">
        <v>407</v>
      </c>
      <c r="Q720" s="39" t="s">
        <v>2559</v>
      </c>
      <c r="R720" s="40">
        <v>0</v>
      </c>
      <c r="S720" s="41" t="s">
        <v>1607</v>
      </c>
      <c r="T720" s="17"/>
      <c r="U720" s="66"/>
    </row>
    <row r="721" spans="2:21" s="15" customFormat="1" ht="29" x14ac:dyDescent="0.35">
      <c r="B721" s="64">
        <v>45267</v>
      </c>
      <c r="C721" s="17">
        <v>635</v>
      </c>
      <c r="D721" s="74" t="s">
        <v>2958</v>
      </c>
      <c r="E721" s="14" t="s">
        <v>1607</v>
      </c>
      <c r="F721" s="85" t="s">
        <v>1468</v>
      </c>
      <c r="G721" s="17" t="s">
        <v>5</v>
      </c>
      <c r="H721" s="14" t="s">
        <v>1793</v>
      </c>
      <c r="I721" s="144"/>
      <c r="J721" s="14" t="s">
        <v>402</v>
      </c>
      <c r="K721" s="14" t="s">
        <v>1244</v>
      </c>
      <c r="L721" s="14" t="s">
        <v>2</v>
      </c>
      <c r="M721" s="37">
        <v>8134058855</v>
      </c>
      <c r="N721" s="38">
        <v>865011034396375</v>
      </c>
      <c r="O721" s="38"/>
      <c r="P721" s="14" t="s">
        <v>401</v>
      </c>
      <c r="Q721" s="39" t="s">
        <v>1538</v>
      </c>
      <c r="R721" s="40">
        <v>0</v>
      </c>
      <c r="S721" s="41"/>
      <c r="T721" s="17"/>
      <c r="U721" s="66"/>
    </row>
    <row r="722" spans="2:21" s="15" customFormat="1" ht="29" x14ac:dyDescent="0.35">
      <c r="B722" s="64">
        <v>45267</v>
      </c>
      <c r="C722" s="17">
        <v>636</v>
      </c>
      <c r="D722" s="85" t="s">
        <v>4220</v>
      </c>
      <c r="E722" s="14" t="s">
        <v>142</v>
      </c>
      <c r="F722" s="85" t="s">
        <v>1468</v>
      </c>
      <c r="G722" s="17" t="s">
        <v>5</v>
      </c>
      <c r="H722" s="14" t="s">
        <v>17</v>
      </c>
      <c r="I722" s="145" t="s">
        <v>39</v>
      </c>
      <c r="J722" s="17" t="s">
        <v>26</v>
      </c>
      <c r="K722" s="14" t="s">
        <v>1352</v>
      </c>
      <c r="L722" s="14" t="s">
        <v>2</v>
      </c>
      <c r="M722" s="37">
        <v>8119085184</v>
      </c>
      <c r="N722" s="38">
        <v>865011034740945</v>
      </c>
      <c r="O722" s="38" t="s">
        <v>4222</v>
      </c>
      <c r="P722" s="14" t="s">
        <v>4221</v>
      </c>
      <c r="Q722" s="17" t="s">
        <v>4174</v>
      </c>
      <c r="R722" s="40">
        <v>0</v>
      </c>
      <c r="S722" s="41" t="s">
        <v>142</v>
      </c>
      <c r="T722" s="41" t="s">
        <v>4224</v>
      </c>
      <c r="U722" s="66"/>
    </row>
    <row r="723" spans="2:21" s="15" customFormat="1" ht="29" x14ac:dyDescent="0.35">
      <c r="B723" s="64">
        <v>45267</v>
      </c>
      <c r="C723" s="17">
        <v>637</v>
      </c>
      <c r="D723" s="76">
        <v>354</v>
      </c>
      <c r="E723" s="14" t="s">
        <v>1607</v>
      </c>
      <c r="F723" s="85" t="s">
        <v>1468</v>
      </c>
      <c r="G723" s="17" t="s">
        <v>5</v>
      </c>
      <c r="H723" s="14" t="s">
        <v>1767</v>
      </c>
      <c r="I723" s="144"/>
      <c r="J723" s="14" t="s">
        <v>1618</v>
      </c>
      <c r="K723" s="14" t="s">
        <v>1248</v>
      </c>
      <c r="L723" s="14" t="s">
        <v>2</v>
      </c>
      <c r="M723" s="37">
        <v>8119085289</v>
      </c>
      <c r="N723" s="38">
        <v>865011034739285</v>
      </c>
      <c r="O723" s="38"/>
      <c r="P723" s="14" t="s">
        <v>391</v>
      </c>
      <c r="Q723" s="39" t="s">
        <v>1538</v>
      </c>
      <c r="R723" s="40">
        <v>0</v>
      </c>
      <c r="S723" s="41" t="s">
        <v>1607</v>
      </c>
      <c r="T723" s="17"/>
      <c r="U723" s="66"/>
    </row>
    <row r="724" spans="2:21" s="15" customFormat="1" ht="29" x14ac:dyDescent="0.35">
      <c r="B724" s="64">
        <v>45267</v>
      </c>
      <c r="C724" s="17">
        <v>638</v>
      </c>
      <c r="D724" s="36">
        <v>355</v>
      </c>
      <c r="E724" s="14" t="s">
        <v>1607</v>
      </c>
      <c r="F724" s="85" t="s">
        <v>1468</v>
      </c>
      <c r="G724" s="17" t="s">
        <v>5</v>
      </c>
      <c r="H724" s="17" t="s">
        <v>1720</v>
      </c>
      <c r="I724" s="145"/>
      <c r="J724" s="14" t="s">
        <v>390</v>
      </c>
      <c r="K724" s="14" t="s">
        <v>1249</v>
      </c>
      <c r="L724" s="14" t="s">
        <v>2</v>
      </c>
      <c r="M724" s="37">
        <v>8119174193</v>
      </c>
      <c r="N724" s="38">
        <v>865011031684641</v>
      </c>
      <c r="O724" s="38"/>
      <c r="P724" s="14" t="s">
        <v>389</v>
      </c>
      <c r="Q724" s="39" t="s">
        <v>1538</v>
      </c>
      <c r="R724" s="40">
        <v>0</v>
      </c>
      <c r="S724" s="41" t="s">
        <v>1607</v>
      </c>
      <c r="T724" s="17"/>
      <c r="U724" s="66"/>
    </row>
    <row r="725" spans="2:21" s="15" customFormat="1" ht="29" x14ac:dyDescent="0.35">
      <c r="B725" s="64">
        <v>45267</v>
      </c>
      <c r="C725" s="17">
        <v>639</v>
      </c>
      <c r="D725" s="74" t="s">
        <v>2674</v>
      </c>
      <c r="E725" s="14" t="s">
        <v>1607</v>
      </c>
      <c r="F725" s="85" t="s">
        <v>1468</v>
      </c>
      <c r="G725" s="17" t="s">
        <v>5</v>
      </c>
      <c r="H725" s="14" t="s">
        <v>1767</v>
      </c>
      <c r="I725" s="144"/>
      <c r="J725" s="14" t="s">
        <v>1620</v>
      </c>
      <c r="K725" s="14" t="s">
        <v>1619</v>
      </c>
      <c r="L725" s="14" t="s">
        <v>2</v>
      </c>
      <c r="M725" s="37">
        <v>8120107549</v>
      </c>
      <c r="N725" s="38">
        <v>865011031937601</v>
      </c>
      <c r="O725" s="38"/>
      <c r="P725" s="14" t="s">
        <v>388</v>
      </c>
      <c r="Q725" s="39" t="s">
        <v>2559</v>
      </c>
      <c r="R725" s="40">
        <v>0</v>
      </c>
      <c r="S725" s="41" t="s">
        <v>1607</v>
      </c>
      <c r="T725" s="17"/>
      <c r="U725" s="66"/>
    </row>
    <row r="726" spans="2:21" s="15" customFormat="1" ht="29" x14ac:dyDescent="0.35">
      <c r="B726" s="64">
        <v>45267</v>
      </c>
      <c r="C726" s="17">
        <v>640</v>
      </c>
      <c r="D726" s="74" t="s">
        <v>2851</v>
      </c>
      <c r="E726" s="14" t="s">
        <v>1607</v>
      </c>
      <c r="F726" s="85" t="s">
        <v>1468</v>
      </c>
      <c r="G726" s="17" t="s">
        <v>5</v>
      </c>
      <c r="H726" s="14" t="s">
        <v>1930</v>
      </c>
      <c r="I726" s="144"/>
      <c r="J726" s="14" t="s">
        <v>387</v>
      </c>
      <c r="K726" s="14" t="s">
        <v>1250</v>
      </c>
      <c r="L726" s="14" t="s">
        <v>2</v>
      </c>
      <c r="M726" s="37">
        <v>8118249704</v>
      </c>
      <c r="N726" s="38">
        <v>864606047158281</v>
      </c>
      <c r="O726" s="38"/>
      <c r="P726" s="14" t="s">
        <v>386</v>
      </c>
      <c r="Q726" s="39" t="s">
        <v>2559</v>
      </c>
      <c r="R726" s="40">
        <v>0</v>
      </c>
      <c r="S726" s="41" t="s">
        <v>1607</v>
      </c>
      <c r="T726" s="17"/>
      <c r="U726" s="66"/>
    </row>
    <row r="727" spans="2:21" s="15" customFormat="1" ht="29" x14ac:dyDescent="0.35">
      <c r="B727" s="64">
        <v>45267</v>
      </c>
      <c r="C727" s="17">
        <v>641</v>
      </c>
      <c r="D727" s="36">
        <v>359</v>
      </c>
      <c r="E727" s="14" t="s">
        <v>1607</v>
      </c>
      <c r="F727" s="85" t="s">
        <v>1468</v>
      </c>
      <c r="G727" s="17" t="s">
        <v>5</v>
      </c>
      <c r="H727" s="17" t="s">
        <v>1787</v>
      </c>
      <c r="I727" s="145"/>
      <c r="J727" s="14" t="s">
        <v>379</v>
      </c>
      <c r="K727" s="14" t="s">
        <v>1252</v>
      </c>
      <c r="L727" s="14" t="s">
        <v>2</v>
      </c>
      <c r="M727" s="37">
        <v>8123522039</v>
      </c>
      <c r="N727" s="38">
        <v>865011034740911</v>
      </c>
      <c r="O727" s="38"/>
      <c r="P727" s="14" t="s">
        <v>378</v>
      </c>
      <c r="Q727" s="39" t="s">
        <v>1538</v>
      </c>
      <c r="R727" s="40">
        <v>0</v>
      </c>
      <c r="S727" s="41" t="s">
        <v>1607</v>
      </c>
      <c r="T727" s="17"/>
      <c r="U727" s="66"/>
    </row>
    <row r="728" spans="2:21" s="15" customFormat="1" ht="29" x14ac:dyDescent="0.35">
      <c r="B728" s="64">
        <v>45267</v>
      </c>
      <c r="C728" s="17">
        <v>642</v>
      </c>
      <c r="D728" s="36">
        <v>366</v>
      </c>
      <c r="E728" s="14" t="s">
        <v>1607</v>
      </c>
      <c r="F728" s="85" t="s">
        <v>1468</v>
      </c>
      <c r="G728" s="17" t="s">
        <v>5</v>
      </c>
      <c r="H728" s="14" t="s">
        <v>17</v>
      </c>
      <c r="I728" s="144"/>
      <c r="J728" s="14" t="s">
        <v>371</v>
      </c>
      <c r="K728" s="14" t="s">
        <v>1258</v>
      </c>
      <c r="L728" s="14" t="s">
        <v>2</v>
      </c>
      <c r="M728" s="37">
        <v>8123518525</v>
      </c>
      <c r="N728" s="38">
        <v>865011034741802</v>
      </c>
      <c r="O728" s="38"/>
      <c r="P728" s="14" t="s">
        <v>370</v>
      </c>
      <c r="Q728" s="39" t="s">
        <v>1538</v>
      </c>
      <c r="R728" s="40">
        <v>0</v>
      </c>
      <c r="S728" s="41" t="s">
        <v>1607</v>
      </c>
      <c r="T728" s="17"/>
      <c r="U728" s="66"/>
    </row>
    <row r="729" spans="2:21" s="15" customFormat="1" ht="29" x14ac:dyDescent="0.35">
      <c r="B729" s="64">
        <v>45274</v>
      </c>
      <c r="C729" s="17">
        <v>643</v>
      </c>
      <c r="D729" s="124" t="s">
        <v>3601</v>
      </c>
      <c r="E729" s="17" t="s">
        <v>1609</v>
      </c>
      <c r="F729" s="85" t="s">
        <v>13</v>
      </c>
      <c r="G729" s="17" t="s">
        <v>1805</v>
      </c>
      <c r="H729" s="17" t="s">
        <v>989</v>
      </c>
      <c r="I729" s="145">
        <v>0.41666666666666669</v>
      </c>
      <c r="J729" s="55" t="s">
        <v>3614</v>
      </c>
      <c r="K729" s="17" t="s">
        <v>1610</v>
      </c>
      <c r="L729" s="17" t="s">
        <v>50</v>
      </c>
      <c r="M729" s="65">
        <v>8123574781</v>
      </c>
      <c r="N729" s="38">
        <v>868166057391872</v>
      </c>
      <c r="O729" s="16" t="s">
        <v>3617</v>
      </c>
      <c r="P729" s="17" t="s">
        <v>3616</v>
      </c>
      <c r="Q729" s="17" t="s">
        <v>2559</v>
      </c>
      <c r="R729" s="40">
        <v>1999.84</v>
      </c>
      <c r="S729" s="19" t="s">
        <v>3584</v>
      </c>
      <c r="T729" s="17"/>
      <c r="U729" s="66"/>
    </row>
    <row r="730" spans="2:21" s="15" customFormat="1" ht="29" x14ac:dyDescent="0.35">
      <c r="B730" s="64">
        <v>45275</v>
      </c>
      <c r="C730" s="17">
        <v>644</v>
      </c>
      <c r="D730" s="85" t="s">
        <v>2594</v>
      </c>
      <c r="E730" s="17" t="s">
        <v>1621</v>
      </c>
      <c r="F730" s="85" t="s">
        <v>13</v>
      </c>
      <c r="G730" s="17" t="s">
        <v>5</v>
      </c>
      <c r="H730" s="17" t="s">
        <v>3305</v>
      </c>
      <c r="I730" s="145">
        <v>0.60416666666666663</v>
      </c>
      <c r="J730" s="17" t="s">
        <v>3306</v>
      </c>
      <c r="K730" s="17" t="s">
        <v>1622</v>
      </c>
      <c r="L730" s="17" t="s">
        <v>50</v>
      </c>
      <c r="M730" s="65">
        <v>8120298617</v>
      </c>
      <c r="N730" s="38">
        <v>868166057391815</v>
      </c>
      <c r="O730" s="16" t="s">
        <v>3303</v>
      </c>
      <c r="P730" s="17" t="s">
        <v>3304</v>
      </c>
      <c r="Q730" s="17" t="s">
        <v>2559</v>
      </c>
      <c r="R730" s="40">
        <v>1999.84</v>
      </c>
      <c r="S730" s="19" t="s">
        <v>2560</v>
      </c>
      <c r="T730" s="17"/>
      <c r="U730" s="66"/>
    </row>
    <row r="731" spans="2:21" s="15" customFormat="1" ht="43.5" x14ac:dyDescent="0.35">
      <c r="B731" s="64">
        <v>45275</v>
      </c>
      <c r="C731" s="17">
        <v>645</v>
      </c>
      <c r="D731" s="85" t="s">
        <v>3407</v>
      </c>
      <c r="E731" s="17" t="s">
        <v>1621</v>
      </c>
      <c r="F731" s="85" t="s">
        <v>13</v>
      </c>
      <c r="G731" s="17" t="s">
        <v>5</v>
      </c>
      <c r="H731" s="17" t="s">
        <v>2413</v>
      </c>
      <c r="I731" s="145">
        <v>0.66666666666666663</v>
      </c>
      <c r="J731" s="17" t="s">
        <v>3513</v>
      </c>
      <c r="K731" s="17" t="s">
        <v>1634</v>
      </c>
      <c r="L731" s="17" t="s">
        <v>50</v>
      </c>
      <c r="M731" s="65">
        <v>8115360161</v>
      </c>
      <c r="N731" s="38">
        <v>350612070977200</v>
      </c>
      <c r="O731" s="16" t="s">
        <v>3464</v>
      </c>
      <c r="P731" s="17" t="s">
        <v>3463</v>
      </c>
      <c r="Q731" s="17" t="s">
        <v>2559</v>
      </c>
      <c r="R731" s="40">
        <v>1999.84</v>
      </c>
      <c r="S731" s="19" t="s">
        <v>3329</v>
      </c>
      <c r="T731" s="17"/>
      <c r="U731" s="66"/>
    </row>
    <row r="732" spans="2:21" s="15" customFormat="1" ht="29" x14ac:dyDescent="0.35">
      <c r="B732" s="64">
        <v>45280</v>
      </c>
      <c r="C732" s="17">
        <v>646</v>
      </c>
      <c r="D732" s="36" t="s">
        <v>2273</v>
      </c>
      <c r="E732" s="17" t="s">
        <v>1623</v>
      </c>
      <c r="F732" s="85" t="s">
        <v>13</v>
      </c>
      <c r="G732" s="17" t="s">
        <v>1805</v>
      </c>
      <c r="H732" s="17" t="s">
        <v>989</v>
      </c>
      <c r="I732" s="145"/>
      <c r="J732" s="17" t="s">
        <v>2275</v>
      </c>
      <c r="K732" s="17" t="s">
        <v>1625</v>
      </c>
      <c r="L732" s="17" t="s">
        <v>965</v>
      </c>
      <c r="M732" s="65">
        <v>8110166988</v>
      </c>
      <c r="N732" s="38">
        <v>868166057391245</v>
      </c>
      <c r="O732" s="16"/>
      <c r="P732" s="17" t="s">
        <v>1624</v>
      </c>
      <c r="Q732" s="14" t="s">
        <v>8</v>
      </c>
      <c r="R732" s="40">
        <v>1999.84</v>
      </c>
      <c r="S732" s="19" t="s">
        <v>2200</v>
      </c>
      <c r="T732" s="17"/>
      <c r="U732" s="66"/>
    </row>
    <row r="733" spans="2:21" s="15" customFormat="1" ht="43.5" x14ac:dyDescent="0.35">
      <c r="B733" s="64">
        <v>45281</v>
      </c>
      <c r="C733" s="17">
        <v>647</v>
      </c>
      <c r="D733" s="85">
        <v>607</v>
      </c>
      <c r="E733" s="17" t="s">
        <v>1626</v>
      </c>
      <c r="F733" s="85" t="s">
        <v>13</v>
      </c>
      <c r="G733" s="17" t="s">
        <v>5</v>
      </c>
      <c r="H733" s="17" t="s">
        <v>1629</v>
      </c>
      <c r="I733" s="145"/>
      <c r="J733" s="17" t="s">
        <v>1630</v>
      </c>
      <c r="K733" s="17" t="s">
        <v>1627</v>
      </c>
      <c r="L733" s="17" t="s">
        <v>965</v>
      </c>
      <c r="M733" s="65">
        <v>8115398845</v>
      </c>
      <c r="N733" s="38">
        <v>868166057400459</v>
      </c>
      <c r="O733" s="16"/>
      <c r="P733" s="17" t="s">
        <v>1628</v>
      </c>
      <c r="Q733" s="14" t="s">
        <v>8</v>
      </c>
      <c r="R733" s="40">
        <v>1999.84</v>
      </c>
      <c r="S733" s="41">
        <v>174</v>
      </c>
      <c r="T733" s="17"/>
      <c r="U733" s="66"/>
    </row>
    <row r="734" spans="2:21" s="15" customFormat="1" ht="29" x14ac:dyDescent="0.35">
      <c r="B734" s="64">
        <v>45281</v>
      </c>
      <c r="C734" s="17">
        <v>648</v>
      </c>
      <c r="D734" s="85" t="s">
        <v>5254</v>
      </c>
      <c r="E734" s="17" t="s">
        <v>1626</v>
      </c>
      <c r="F734" s="85" t="s">
        <v>13</v>
      </c>
      <c r="G734" s="17" t="s">
        <v>5</v>
      </c>
      <c r="H734" s="17" t="s">
        <v>1720</v>
      </c>
      <c r="I734" s="145">
        <v>0.66666666666666663</v>
      </c>
      <c r="J734" s="17" t="s">
        <v>5265</v>
      </c>
      <c r="K734" s="17" t="s">
        <v>1631</v>
      </c>
      <c r="L734" s="17" t="s">
        <v>965</v>
      </c>
      <c r="M734" s="65">
        <v>8110508748</v>
      </c>
      <c r="N734" s="38">
        <v>868166057398729</v>
      </c>
      <c r="O734" s="16" t="s">
        <v>5267</v>
      </c>
      <c r="P734" s="17" t="s">
        <v>5266</v>
      </c>
      <c r="Q734" s="14" t="s">
        <v>8</v>
      </c>
      <c r="R734" s="40">
        <v>1999.84</v>
      </c>
      <c r="S734" s="19" t="s">
        <v>5264</v>
      </c>
      <c r="T734" s="17"/>
      <c r="U734" s="66"/>
    </row>
    <row r="735" spans="2:21" s="15" customFormat="1" ht="29" x14ac:dyDescent="0.35">
      <c r="B735" s="64">
        <v>45282</v>
      </c>
      <c r="C735" s="17">
        <v>649</v>
      </c>
      <c r="D735" s="36" t="s">
        <v>2028</v>
      </c>
      <c r="E735" s="85" t="s">
        <v>1929</v>
      </c>
      <c r="F735" s="85" t="s">
        <v>13</v>
      </c>
      <c r="G735" s="17" t="s">
        <v>1805</v>
      </c>
      <c r="H735" s="17" t="s">
        <v>1715</v>
      </c>
      <c r="I735" s="145"/>
      <c r="J735" s="17" t="s">
        <v>2044</v>
      </c>
      <c r="K735" s="17" t="s">
        <v>2030</v>
      </c>
      <c r="L735" s="17" t="s">
        <v>965</v>
      </c>
      <c r="M735" s="65">
        <v>8115294135</v>
      </c>
      <c r="N735" s="16">
        <v>868166057398695</v>
      </c>
      <c r="O735" s="16"/>
      <c r="P735" s="17" t="s">
        <v>1633</v>
      </c>
      <c r="Q735" s="14" t="s">
        <v>8</v>
      </c>
      <c r="R735" s="40">
        <v>1999.84</v>
      </c>
      <c r="S735" s="41" t="s">
        <v>1931</v>
      </c>
      <c r="T735" s="17"/>
      <c r="U735" s="66"/>
    </row>
    <row r="736" spans="2:21" s="15" customFormat="1" ht="29" x14ac:dyDescent="0.35">
      <c r="B736" s="64">
        <v>45282</v>
      </c>
      <c r="C736" s="17">
        <v>650</v>
      </c>
      <c r="D736" s="85" t="s">
        <v>2595</v>
      </c>
      <c r="E736" s="17" t="s">
        <v>1632</v>
      </c>
      <c r="F736" s="85" t="s">
        <v>13</v>
      </c>
      <c r="G736" s="17" t="s">
        <v>1805</v>
      </c>
      <c r="H736" s="14" t="s">
        <v>1767</v>
      </c>
      <c r="I736" s="145">
        <v>0.70833333333333337</v>
      </c>
      <c r="J736" s="17" t="s">
        <v>2597</v>
      </c>
      <c r="K736" s="17" t="s">
        <v>2596</v>
      </c>
      <c r="L736" s="17" t="s">
        <v>965</v>
      </c>
      <c r="M736" s="65">
        <v>8184024915</v>
      </c>
      <c r="N736" s="16">
        <v>868166057391583</v>
      </c>
      <c r="O736" s="16" t="s">
        <v>3307</v>
      </c>
      <c r="P736" s="17" t="s">
        <v>3308</v>
      </c>
      <c r="Q736" s="17" t="s">
        <v>2559</v>
      </c>
      <c r="R736" s="40">
        <v>1999.84</v>
      </c>
      <c r="S736" s="19" t="s">
        <v>2560</v>
      </c>
      <c r="T736" s="17"/>
      <c r="U736" s="66"/>
    </row>
    <row r="737" spans="2:21" s="15" customFormat="1" ht="29" x14ac:dyDescent="0.35">
      <c r="B737" s="64">
        <v>45287</v>
      </c>
      <c r="C737" s="17">
        <v>651</v>
      </c>
      <c r="D737" s="85" t="s">
        <v>4143</v>
      </c>
      <c r="E737" s="17" t="s">
        <v>1635</v>
      </c>
      <c r="F737" s="85" t="s">
        <v>13</v>
      </c>
      <c r="G737" s="17" t="s">
        <v>5</v>
      </c>
      <c r="H737" s="17" t="s">
        <v>1720</v>
      </c>
      <c r="I737" s="145">
        <v>0.70833333333333337</v>
      </c>
      <c r="J737" s="17" t="s">
        <v>4165</v>
      </c>
      <c r="K737" s="17" t="s">
        <v>1636</v>
      </c>
      <c r="L737" s="17" t="s">
        <v>2</v>
      </c>
      <c r="M737" s="65">
        <v>8115382595</v>
      </c>
      <c r="N737" s="16">
        <v>868166057385288</v>
      </c>
      <c r="O737" s="16" t="s">
        <v>4167</v>
      </c>
      <c r="P737" s="17" t="s">
        <v>4166</v>
      </c>
      <c r="Q737" s="17" t="s">
        <v>2559</v>
      </c>
      <c r="R737" s="40">
        <v>1999.84</v>
      </c>
      <c r="S737" s="19" t="s">
        <v>4147</v>
      </c>
      <c r="T737" s="17"/>
      <c r="U737" s="66"/>
    </row>
    <row r="738" spans="2:21" s="15" customFormat="1" ht="29" x14ac:dyDescent="0.35">
      <c r="B738" s="64">
        <v>45288</v>
      </c>
      <c r="C738" s="17">
        <v>652</v>
      </c>
      <c r="D738" s="74" t="s">
        <v>5017</v>
      </c>
      <c r="E738" s="17" t="s">
        <v>1635</v>
      </c>
      <c r="F738" s="85" t="s">
        <v>13</v>
      </c>
      <c r="G738" s="17" t="s">
        <v>5</v>
      </c>
      <c r="H738" s="17" t="s">
        <v>11</v>
      </c>
      <c r="I738" s="145" t="s">
        <v>4609</v>
      </c>
      <c r="J738" s="17" t="s">
        <v>5098</v>
      </c>
      <c r="K738" s="17" t="s">
        <v>1637</v>
      </c>
      <c r="L738" s="17" t="s">
        <v>965</v>
      </c>
      <c r="M738" s="65">
        <v>8110441211</v>
      </c>
      <c r="N738" s="16">
        <v>868166057398737</v>
      </c>
      <c r="O738" s="16" t="s">
        <v>5100</v>
      </c>
      <c r="P738" s="17" t="s">
        <v>5099</v>
      </c>
      <c r="Q738" s="14" t="s">
        <v>8</v>
      </c>
      <c r="R738" s="40">
        <v>1999.84</v>
      </c>
      <c r="S738" s="19" t="s">
        <v>5002</v>
      </c>
      <c r="T738" s="17"/>
      <c r="U738" s="66"/>
    </row>
    <row r="739" spans="2:21" s="15" customFormat="1" ht="29" x14ac:dyDescent="0.35">
      <c r="B739" s="64">
        <v>45289</v>
      </c>
      <c r="C739" s="17">
        <v>653</v>
      </c>
      <c r="D739" s="134" t="s">
        <v>4260</v>
      </c>
      <c r="E739" s="17" t="s">
        <v>1638</v>
      </c>
      <c r="F739" s="85" t="s">
        <v>13</v>
      </c>
      <c r="G739" s="17" t="s">
        <v>5</v>
      </c>
      <c r="H739" s="17" t="s">
        <v>4338</v>
      </c>
      <c r="I739" s="145">
        <v>0.70833333333333337</v>
      </c>
      <c r="J739" s="17" t="s">
        <v>4270</v>
      </c>
      <c r="K739" s="17" t="s">
        <v>1639</v>
      </c>
      <c r="L739" s="17" t="s">
        <v>965</v>
      </c>
      <c r="M739" s="65">
        <v>8115009294</v>
      </c>
      <c r="N739" s="16">
        <v>868166057400434</v>
      </c>
      <c r="O739" s="16" t="s">
        <v>4272</v>
      </c>
      <c r="P739" s="17" t="s">
        <v>4271</v>
      </c>
      <c r="Q739" s="17" t="s">
        <v>2559</v>
      </c>
      <c r="R739" s="40">
        <v>1999.84</v>
      </c>
      <c r="S739" s="19" t="s">
        <v>4265</v>
      </c>
      <c r="T739" s="17"/>
      <c r="U739" s="66"/>
    </row>
    <row r="740" spans="2:21" s="15" customFormat="1" ht="29" x14ac:dyDescent="0.35">
      <c r="B740" s="64">
        <v>45294</v>
      </c>
      <c r="C740" s="17">
        <v>654</v>
      </c>
      <c r="D740" s="74" t="s">
        <v>5019</v>
      </c>
      <c r="E740" s="17" t="s">
        <v>1640</v>
      </c>
      <c r="F740" s="85" t="s">
        <v>13</v>
      </c>
      <c r="G740" s="17" t="s">
        <v>5</v>
      </c>
      <c r="H740" s="17" t="s">
        <v>1794</v>
      </c>
      <c r="I740" s="145" t="s">
        <v>960</v>
      </c>
      <c r="J740" s="17" t="s">
        <v>5101</v>
      </c>
      <c r="K740" s="17" t="s">
        <v>1641</v>
      </c>
      <c r="L740" s="17" t="s">
        <v>2</v>
      </c>
      <c r="M740" s="14">
        <v>8180209181</v>
      </c>
      <c r="N740" s="38">
        <v>868166054738760</v>
      </c>
      <c r="O740" s="16" t="s">
        <v>39</v>
      </c>
      <c r="P740" s="17" t="s">
        <v>1642</v>
      </c>
      <c r="Q740" s="14" t="s">
        <v>8</v>
      </c>
      <c r="R740" s="40">
        <v>1999.84</v>
      </c>
      <c r="S740" s="19" t="s">
        <v>5002</v>
      </c>
      <c r="T740" s="17"/>
      <c r="U740" s="66"/>
    </row>
    <row r="741" spans="2:21" s="15" customFormat="1" ht="29" x14ac:dyDescent="0.35">
      <c r="B741" s="64">
        <v>45295</v>
      </c>
      <c r="C741" s="17">
        <v>655</v>
      </c>
      <c r="D741" s="85" t="s">
        <v>3999</v>
      </c>
      <c r="E741" s="17" t="s">
        <v>1644</v>
      </c>
      <c r="F741" s="85" t="s">
        <v>13</v>
      </c>
      <c r="G741" s="17" t="s">
        <v>5</v>
      </c>
      <c r="H741" s="14" t="s">
        <v>1744</v>
      </c>
      <c r="I741" s="145">
        <v>0.54166666666666663</v>
      </c>
      <c r="J741" s="17" t="s">
        <v>4306</v>
      </c>
      <c r="K741" s="17" t="s">
        <v>1643</v>
      </c>
      <c r="L741" s="17" t="s">
        <v>965</v>
      </c>
      <c r="M741" s="65">
        <v>8119169703</v>
      </c>
      <c r="N741" s="16">
        <v>868166057388696</v>
      </c>
      <c r="O741" s="16" t="s">
        <v>39</v>
      </c>
      <c r="P741" s="17" t="s">
        <v>1645</v>
      </c>
      <c r="Q741" s="17" t="s">
        <v>4174</v>
      </c>
      <c r="R741" s="40">
        <v>1999.84</v>
      </c>
      <c r="S741" s="19" t="s">
        <v>3584</v>
      </c>
      <c r="T741" s="17"/>
      <c r="U741" s="66"/>
    </row>
    <row r="742" spans="2:21" s="15" customFormat="1" ht="43.5" x14ac:dyDescent="0.35">
      <c r="B742" s="64">
        <v>45296</v>
      </c>
      <c r="C742" s="17">
        <v>656</v>
      </c>
      <c r="D742" s="85" t="s">
        <v>4512</v>
      </c>
      <c r="E742" s="17" t="s">
        <v>1646</v>
      </c>
      <c r="F742" s="85" t="s">
        <v>13</v>
      </c>
      <c r="G742" s="17" t="s">
        <v>5</v>
      </c>
      <c r="H742" s="17" t="s">
        <v>2413</v>
      </c>
      <c r="I742" s="145" t="s">
        <v>4097</v>
      </c>
      <c r="J742" s="17" t="s">
        <v>4099</v>
      </c>
      <c r="K742" s="17" t="s">
        <v>1647</v>
      </c>
      <c r="L742" s="17" t="s">
        <v>965</v>
      </c>
      <c r="M742" s="65">
        <v>8110475448</v>
      </c>
      <c r="N742" s="16">
        <v>869220041114699</v>
      </c>
      <c r="O742" s="16" t="s">
        <v>4519</v>
      </c>
      <c r="P742" s="17" t="s">
        <v>4518</v>
      </c>
      <c r="Q742" s="14" t="s">
        <v>8</v>
      </c>
      <c r="R742" s="40">
        <v>1999.84</v>
      </c>
      <c r="S742" s="19" t="s">
        <v>4517</v>
      </c>
      <c r="T742" s="17"/>
      <c r="U742" s="66"/>
    </row>
    <row r="743" spans="2:21" s="15" customFormat="1" ht="29" x14ac:dyDescent="0.35">
      <c r="B743" s="64">
        <v>45296</v>
      </c>
      <c r="C743" s="17">
        <v>657</v>
      </c>
      <c r="D743" s="85" t="s">
        <v>39</v>
      </c>
      <c r="E743" s="17" t="s">
        <v>1646</v>
      </c>
      <c r="F743" s="85" t="s">
        <v>1648</v>
      </c>
      <c r="G743" s="17" t="s">
        <v>5</v>
      </c>
      <c r="H743" s="17" t="s">
        <v>17</v>
      </c>
      <c r="I743" s="145"/>
      <c r="J743" s="17" t="s">
        <v>1649</v>
      </c>
      <c r="K743" s="17" t="s">
        <v>1650</v>
      </c>
      <c r="L743" s="17" t="s">
        <v>2</v>
      </c>
      <c r="M743" s="65" t="s">
        <v>39</v>
      </c>
      <c r="N743" s="16" t="s">
        <v>39</v>
      </c>
      <c r="O743" s="16"/>
      <c r="P743" s="17" t="s">
        <v>39</v>
      </c>
      <c r="Q743" s="14" t="s">
        <v>1651</v>
      </c>
      <c r="R743" s="40">
        <v>0</v>
      </c>
      <c r="S743" s="41">
        <v>0</v>
      </c>
      <c r="T743" s="17"/>
      <c r="U743" s="66"/>
    </row>
    <row r="744" spans="2:21" s="15" customFormat="1" ht="29" x14ac:dyDescent="0.35">
      <c r="B744" s="64">
        <v>45296</v>
      </c>
      <c r="C744" s="17">
        <v>658</v>
      </c>
      <c r="D744" s="85" t="s">
        <v>4001</v>
      </c>
      <c r="E744" s="17" t="s">
        <v>1646</v>
      </c>
      <c r="F744" s="85" t="s">
        <v>13</v>
      </c>
      <c r="G744" s="17" t="s">
        <v>5</v>
      </c>
      <c r="H744" s="17" t="s">
        <v>17</v>
      </c>
      <c r="I744" s="145">
        <v>0.66666666666666663</v>
      </c>
      <c r="J744" s="17" t="s">
        <v>4307</v>
      </c>
      <c r="K744" s="17" t="s">
        <v>1652</v>
      </c>
      <c r="L744" s="17" t="s">
        <v>2</v>
      </c>
      <c r="M744" s="65">
        <v>8120013078</v>
      </c>
      <c r="N744" s="38">
        <v>869220040808606</v>
      </c>
      <c r="O744" s="16" t="s">
        <v>1653</v>
      </c>
      <c r="P744" s="17" t="s">
        <v>39</v>
      </c>
      <c r="Q744" s="17" t="s">
        <v>4174</v>
      </c>
      <c r="R744" s="40">
        <v>1999.84</v>
      </c>
      <c r="S744" s="19" t="s">
        <v>3584</v>
      </c>
      <c r="T744" s="17"/>
      <c r="U744" s="66"/>
    </row>
    <row r="745" spans="2:21" s="15" customFormat="1" ht="29" x14ac:dyDescent="0.35">
      <c r="B745" s="64">
        <v>45296</v>
      </c>
      <c r="C745" s="17">
        <v>659</v>
      </c>
      <c r="D745" s="74" t="s">
        <v>5021</v>
      </c>
      <c r="E745" s="17" t="s">
        <v>1646</v>
      </c>
      <c r="F745" s="85" t="s">
        <v>13</v>
      </c>
      <c r="G745" s="17" t="s">
        <v>5</v>
      </c>
      <c r="H745" s="17" t="s">
        <v>1720</v>
      </c>
      <c r="I745" s="145" t="s">
        <v>5106</v>
      </c>
      <c r="J745" s="17" t="s">
        <v>5105</v>
      </c>
      <c r="K745" s="17" t="s">
        <v>1658</v>
      </c>
      <c r="L745" s="17" t="s">
        <v>2</v>
      </c>
      <c r="M745" s="65">
        <v>8118003775</v>
      </c>
      <c r="N745" s="16">
        <v>350544501550639</v>
      </c>
      <c r="O745" s="16" t="s">
        <v>5108</v>
      </c>
      <c r="P745" s="17" t="s">
        <v>5107</v>
      </c>
      <c r="Q745" s="14" t="s">
        <v>8</v>
      </c>
      <c r="R745" s="40">
        <v>1999.84</v>
      </c>
      <c r="S745" s="19" t="s">
        <v>5002</v>
      </c>
      <c r="T745" s="17"/>
      <c r="U745" s="66"/>
    </row>
    <row r="746" spans="2:21" s="15" customFormat="1" ht="29" x14ac:dyDescent="0.35">
      <c r="B746" s="64">
        <v>45297</v>
      </c>
      <c r="C746" s="17">
        <v>660</v>
      </c>
      <c r="D746" s="74" t="s">
        <v>5020</v>
      </c>
      <c r="E746" s="17" t="s">
        <v>1654</v>
      </c>
      <c r="F746" s="85" t="s">
        <v>13</v>
      </c>
      <c r="G746" s="17" t="s">
        <v>5</v>
      </c>
      <c r="H746" s="17" t="s">
        <v>17</v>
      </c>
      <c r="I746" s="145" t="s">
        <v>5085</v>
      </c>
      <c r="J746" s="17" t="s">
        <v>5102</v>
      </c>
      <c r="K746" s="17" t="s">
        <v>1655</v>
      </c>
      <c r="L746" s="17" t="s">
        <v>2</v>
      </c>
      <c r="M746" s="65">
        <v>8183963032</v>
      </c>
      <c r="N746" s="16">
        <v>868166057388688</v>
      </c>
      <c r="O746" s="16" t="s">
        <v>5104</v>
      </c>
      <c r="P746" s="17" t="s">
        <v>5103</v>
      </c>
      <c r="Q746" s="14" t="s">
        <v>8</v>
      </c>
      <c r="R746" s="40">
        <v>1999.84</v>
      </c>
      <c r="S746" s="19" t="s">
        <v>5002</v>
      </c>
      <c r="T746" s="17"/>
      <c r="U746" s="66"/>
    </row>
    <row r="747" spans="2:21" s="15" customFormat="1" ht="29" x14ac:dyDescent="0.35">
      <c r="B747" s="64">
        <v>45297</v>
      </c>
      <c r="C747" s="17">
        <v>661</v>
      </c>
      <c r="D747" s="85" t="s">
        <v>2605</v>
      </c>
      <c r="E747" s="17" t="s">
        <v>1654</v>
      </c>
      <c r="F747" s="85" t="s">
        <v>13</v>
      </c>
      <c r="G747" s="17" t="s">
        <v>5</v>
      </c>
      <c r="H747" s="14" t="s">
        <v>1744</v>
      </c>
      <c r="I747" s="145">
        <v>0.5</v>
      </c>
      <c r="J747" s="17" t="s">
        <v>3309</v>
      </c>
      <c r="K747" s="17" t="s">
        <v>1657</v>
      </c>
      <c r="L747" s="17" t="s">
        <v>2</v>
      </c>
      <c r="M747" s="65">
        <v>8112128873</v>
      </c>
      <c r="N747" s="16">
        <v>868166057387631</v>
      </c>
      <c r="O747" s="16" t="s">
        <v>39</v>
      </c>
      <c r="P747" s="17" t="s">
        <v>1656</v>
      </c>
      <c r="Q747" s="17" t="s">
        <v>2559</v>
      </c>
      <c r="R747" s="40">
        <v>1999.84</v>
      </c>
      <c r="S747" s="19" t="s">
        <v>2560</v>
      </c>
      <c r="T747" s="17"/>
      <c r="U747" s="66"/>
    </row>
    <row r="748" spans="2:21" s="15" customFormat="1" ht="29" x14ac:dyDescent="0.35">
      <c r="B748" s="64">
        <v>45302</v>
      </c>
      <c r="C748" s="17">
        <v>662</v>
      </c>
      <c r="D748" s="85" t="s">
        <v>3408</v>
      </c>
      <c r="E748" s="17" t="s">
        <v>1659</v>
      </c>
      <c r="F748" s="85" t="s">
        <v>13</v>
      </c>
      <c r="G748" s="17" t="s">
        <v>5</v>
      </c>
      <c r="H748" s="17" t="s">
        <v>3514</v>
      </c>
      <c r="I748" s="145">
        <v>0.625</v>
      </c>
      <c r="J748" s="17" t="s">
        <v>3515</v>
      </c>
      <c r="K748" s="17" t="s">
        <v>1661</v>
      </c>
      <c r="L748" s="17" t="s">
        <v>965</v>
      </c>
      <c r="M748" s="65">
        <v>8122016549</v>
      </c>
      <c r="N748" s="16">
        <v>869220041536933</v>
      </c>
      <c r="O748" s="16" t="s">
        <v>3466</v>
      </c>
      <c r="P748" s="17" t="s">
        <v>3465</v>
      </c>
      <c r="Q748" s="17" t="s">
        <v>2559</v>
      </c>
      <c r="R748" s="40">
        <v>1999.84</v>
      </c>
      <c r="S748" s="19" t="s">
        <v>3329</v>
      </c>
      <c r="T748" s="17"/>
      <c r="U748" s="66"/>
    </row>
    <row r="749" spans="2:21" s="15" customFormat="1" ht="29" x14ac:dyDescent="0.35">
      <c r="B749" s="64">
        <v>45302</v>
      </c>
      <c r="C749" s="17">
        <v>663</v>
      </c>
      <c r="D749" s="74" t="s">
        <v>5022</v>
      </c>
      <c r="E749" s="17" t="s">
        <v>1659</v>
      </c>
      <c r="F749" s="85" t="s">
        <v>13</v>
      </c>
      <c r="G749" s="17" t="s">
        <v>5</v>
      </c>
      <c r="H749" s="14" t="s">
        <v>1786</v>
      </c>
      <c r="I749" s="145" t="s">
        <v>5110</v>
      </c>
      <c r="J749" s="17" t="s">
        <v>5109</v>
      </c>
      <c r="K749" s="17" t="s">
        <v>1662</v>
      </c>
      <c r="L749" s="17" t="s">
        <v>965</v>
      </c>
      <c r="M749" s="65">
        <v>8118247487</v>
      </c>
      <c r="N749" s="16">
        <v>869220041535083</v>
      </c>
      <c r="O749" s="16" t="s">
        <v>39</v>
      </c>
      <c r="P749" s="17" t="s">
        <v>1663</v>
      </c>
      <c r="Q749" s="14" t="s">
        <v>8</v>
      </c>
      <c r="R749" s="40">
        <v>1999.84</v>
      </c>
      <c r="S749" s="19" t="s">
        <v>5002</v>
      </c>
      <c r="T749" s="17"/>
      <c r="U749" s="66"/>
    </row>
    <row r="750" spans="2:21" s="15" customFormat="1" ht="29" x14ac:dyDescent="0.35">
      <c r="B750" s="64">
        <v>45303</v>
      </c>
      <c r="C750" s="17">
        <v>664</v>
      </c>
      <c r="D750" s="74" t="s">
        <v>5023</v>
      </c>
      <c r="E750" s="17" t="s">
        <v>1660</v>
      </c>
      <c r="F750" s="85" t="s">
        <v>13</v>
      </c>
      <c r="G750" s="17" t="s">
        <v>5</v>
      </c>
      <c r="H750" s="17" t="s">
        <v>11</v>
      </c>
      <c r="I750" s="145" t="s">
        <v>4929</v>
      </c>
      <c r="J750" s="17" t="s">
        <v>5111</v>
      </c>
      <c r="K750" s="17" t="s">
        <v>1665</v>
      </c>
      <c r="L750" s="17" t="s">
        <v>965</v>
      </c>
      <c r="M750" s="65">
        <v>8118249704</v>
      </c>
      <c r="N750" s="16">
        <v>869220041535257</v>
      </c>
      <c r="O750" s="16" t="s">
        <v>5113</v>
      </c>
      <c r="P750" s="17" t="s">
        <v>5112</v>
      </c>
      <c r="Q750" s="14" t="s">
        <v>8</v>
      </c>
      <c r="R750" s="40">
        <v>1999.84</v>
      </c>
      <c r="S750" s="19" t="s">
        <v>5002</v>
      </c>
      <c r="T750" s="17"/>
      <c r="U750" s="66"/>
    </row>
    <row r="751" spans="2:21" s="15" customFormat="1" ht="29" x14ac:dyDescent="0.35">
      <c r="B751" s="64">
        <v>45303</v>
      </c>
      <c r="C751" s="17">
        <v>665</v>
      </c>
      <c r="D751" s="74" t="s">
        <v>5024</v>
      </c>
      <c r="E751" s="17" t="s">
        <v>1660</v>
      </c>
      <c r="F751" s="85" t="s">
        <v>13</v>
      </c>
      <c r="G751" s="17" t="s">
        <v>5</v>
      </c>
      <c r="H751" s="17" t="s">
        <v>11</v>
      </c>
      <c r="I751" s="145" t="s">
        <v>4652</v>
      </c>
      <c r="J751" s="77" t="s">
        <v>5114</v>
      </c>
      <c r="K751" s="17" t="s">
        <v>1666</v>
      </c>
      <c r="L751" s="17" t="s">
        <v>2</v>
      </c>
      <c r="M751" s="65">
        <v>8182546244</v>
      </c>
      <c r="N751" s="16">
        <v>868166057388407</v>
      </c>
      <c r="O751" s="16" t="s">
        <v>5116</v>
      </c>
      <c r="P751" s="17" t="s">
        <v>5115</v>
      </c>
      <c r="Q751" s="14" t="s">
        <v>8</v>
      </c>
      <c r="R751" s="40">
        <v>1999.84</v>
      </c>
      <c r="S751" s="19" t="s">
        <v>5002</v>
      </c>
      <c r="T751" s="17"/>
      <c r="U751" s="66"/>
    </row>
    <row r="752" spans="2:21" s="15" customFormat="1" ht="29" x14ac:dyDescent="0.35">
      <c r="B752" s="64">
        <v>45304</v>
      </c>
      <c r="C752" s="17">
        <v>666</v>
      </c>
      <c r="D752" s="85" t="s">
        <v>4002</v>
      </c>
      <c r="E752" s="17" t="s">
        <v>1668</v>
      </c>
      <c r="F752" s="85" t="s">
        <v>13</v>
      </c>
      <c r="G752" s="17" t="s">
        <v>5</v>
      </c>
      <c r="H752" s="17" t="s">
        <v>1720</v>
      </c>
      <c r="I752" s="145">
        <v>0.5</v>
      </c>
      <c r="J752" s="77" t="s">
        <v>4003</v>
      </c>
      <c r="K752" s="17" t="s">
        <v>1670</v>
      </c>
      <c r="L752" s="17" t="s">
        <v>2</v>
      </c>
      <c r="M752" s="65">
        <v>8128617956</v>
      </c>
      <c r="N752" s="16">
        <v>869220041537204</v>
      </c>
      <c r="O752" s="16" t="s">
        <v>39</v>
      </c>
      <c r="P752" s="17" t="s">
        <v>1671</v>
      </c>
      <c r="Q752" s="17" t="s">
        <v>4174</v>
      </c>
      <c r="R752" s="40">
        <v>1999.84</v>
      </c>
      <c r="S752" s="19" t="s">
        <v>3584</v>
      </c>
      <c r="T752" s="17"/>
      <c r="U752" s="66"/>
    </row>
    <row r="753" spans="1:21" s="15" customFormat="1" ht="29" x14ac:dyDescent="0.35">
      <c r="B753" s="64">
        <v>45304</v>
      </c>
      <c r="C753" s="17">
        <v>667</v>
      </c>
      <c r="D753" s="74" t="s">
        <v>5025</v>
      </c>
      <c r="E753" s="17" t="s">
        <v>1668</v>
      </c>
      <c r="F753" s="85" t="s">
        <v>13</v>
      </c>
      <c r="G753" s="17" t="s">
        <v>5</v>
      </c>
      <c r="H753" s="17" t="s">
        <v>11</v>
      </c>
      <c r="I753" s="145" t="s">
        <v>4929</v>
      </c>
      <c r="J753" s="77" t="s">
        <v>5117</v>
      </c>
      <c r="K753" s="17" t="s">
        <v>1669</v>
      </c>
      <c r="L753" s="17" t="s">
        <v>965</v>
      </c>
      <c r="M753" s="65">
        <v>8123522039</v>
      </c>
      <c r="N753" s="16">
        <v>868166057388225</v>
      </c>
      <c r="O753" s="16" t="s">
        <v>5119</v>
      </c>
      <c r="P753" s="17" t="s">
        <v>5118</v>
      </c>
      <c r="Q753" s="14" t="s">
        <v>8</v>
      </c>
      <c r="R753" s="40">
        <v>1999.84</v>
      </c>
      <c r="S753" s="19" t="s">
        <v>5002</v>
      </c>
      <c r="T753" s="17"/>
      <c r="U753" s="66"/>
    </row>
    <row r="754" spans="1:21" s="15" customFormat="1" ht="29" x14ac:dyDescent="0.35">
      <c r="B754" s="64">
        <v>45303</v>
      </c>
      <c r="C754" s="17">
        <v>668</v>
      </c>
      <c r="D754" s="74" t="s">
        <v>5026</v>
      </c>
      <c r="E754" s="17" t="s">
        <v>1672</v>
      </c>
      <c r="F754" s="85" t="s">
        <v>13</v>
      </c>
      <c r="G754" s="17" t="s">
        <v>1805</v>
      </c>
      <c r="H754" s="17" t="s">
        <v>1787</v>
      </c>
      <c r="I754" s="145" t="s">
        <v>4605</v>
      </c>
      <c r="J754" s="17" t="s">
        <v>24</v>
      </c>
      <c r="K754" s="17" t="s">
        <v>1673</v>
      </c>
      <c r="L754" s="17" t="s">
        <v>2</v>
      </c>
      <c r="M754" s="65">
        <v>8123530633</v>
      </c>
      <c r="N754" s="16">
        <v>868166057388670</v>
      </c>
      <c r="O754" s="16" t="s">
        <v>39</v>
      </c>
      <c r="P754" s="17" t="s">
        <v>1664</v>
      </c>
      <c r="Q754" s="14" t="s">
        <v>8</v>
      </c>
      <c r="R754" s="40">
        <v>1999.84</v>
      </c>
      <c r="S754" s="19" t="s">
        <v>5002</v>
      </c>
      <c r="T754" s="17"/>
      <c r="U754" s="66"/>
    </row>
    <row r="755" spans="1:21" s="15" customFormat="1" ht="29" x14ac:dyDescent="0.35">
      <c r="B755" s="64">
        <v>45306</v>
      </c>
      <c r="C755" s="17">
        <v>669</v>
      </c>
      <c r="D755" s="85" t="s">
        <v>4004</v>
      </c>
      <c r="E755" s="17" t="s">
        <v>1672</v>
      </c>
      <c r="F755" s="85" t="s">
        <v>13</v>
      </c>
      <c r="G755" s="17" t="s">
        <v>5</v>
      </c>
      <c r="H755" s="17" t="s">
        <v>11</v>
      </c>
      <c r="I755" s="145">
        <v>0.72916666666666663</v>
      </c>
      <c r="J755" s="17" t="s">
        <v>4308</v>
      </c>
      <c r="K755" s="17" t="s">
        <v>1674</v>
      </c>
      <c r="L755" s="17" t="s">
        <v>2</v>
      </c>
      <c r="M755" s="65">
        <v>8120291824</v>
      </c>
      <c r="N755" s="16">
        <v>869220041536479</v>
      </c>
      <c r="O755" s="16"/>
      <c r="P755" s="17" t="s">
        <v>1675</v>
      </c>
      <c r="Q755" s="17" t="s">
        <v>4174</v>
      </c>
      <c r="R755" s="40">
        <v>1999.84</v>
      </c>
      <c r="S755" s="19" t="s">
        <v>3584</v>
      </c>
      <c r="T755" s="17"/>
      <c r="U755" s="66"/>
    </row>
    <row r="756" spans="1:21" s="15" customFormat="1" ht="29" x14ac:dyDescent="0.35">
      <c r="B756" s="64">
        <v>45308</v>
      </c>
      <c r="C756" s="17">
        <v>670</v>
      </c>
      <c r="D756" s="36" t="s">
        <v>39</v>
      </c>
      <c r="E756" s="46" t="s">
        <v>1678</v>
      </c>
      <c r="F756" s="103" t="s">
        <v>40</v>
      </c>
      <c r="G756" s="17" t="s">
        <v>5</v>
      </c>
      <c r="H756" s="17" t="s">
        <v>11</v>
      </c>
      <c r="I756" s="145"/>
      <c r="J756" s="17" t="s">
        <v>1679</v>
      </c>
      <c r="K756" s="17" t="s">
        <v>1680</v>
      </c>
      <c r="L756" s="17" t="s">
        <v>2</v>
      </c>
      <c r="M756" s="65" t="s">
        <v>39</v>
      </c>
      <c r="N756" s="16" t="s">
        <v>39</v>
      </c>
      <c r="O756" s="16"/>
      <c r="P756" s="17" t="s">
        <v>39</v>
      </c>
      <c r="Q756" s="14" t="s">
        <v>1681</v>
      </c>
      <c r="R756" s="40">
        <v>290</v>
      </c>
      <c r="S756" s="41" t="s">
        <v>40</v>
      </c>
      <c r="T756" s="17"/>
      <c r="U756" s="66"/>
    </row>
    <row r="757" spans="1:21" s="15" customFormat="1" ht="29" x14ac:dyDescent="0.35">
      <c r="B757" s="64">
        <v>45308</v>
      </c>
      <c r="C757" s="17">
        <v>671</v>
      </c>
      <c r="D757" s="74" t="s">
        <v>5027</v>
      </c>
      <c r="E757" s="17" t="s">
        <v>1676</v>
      </c>
      <c r="F757" s="85" t="s">
        <v>13</v>
      </c>
      <c r="G757" s="17" t="s">
        <v>5</v>
      </c>
      <c r="H757" s="17" t="s">
        <v>11</v>
      </c>
      <c r="I757" s="145" t="s">
        <v>4619</v>
      </c>
      <c r="J757" s="17" t="s">
        <v>5120</v>
      </c>
      <c r="K757" s="17" t="s">
        <v>1677</v>
      </c>
      <c r="L757" s="17" t="s">
        <v>2</v>
      </c>
      <c r="M757" s="65">
        <v>8112120446</v>
      </c>
      <c r="N757" s="16">
        <v>869220041536560</v>
      </c>
      <c r="O757" s="16" t="s">
        <v>5122</v>
      </c>
      <c r="P757" s="17" t="s">
        <v>5121</v>
      </c>
      <c r="Q757" s="14" t="s">
        <v>8</v>
      </c>
      <c r="R757" s="40">
        <v>1999.84</v>
      </c>
      <c r="S757" s="19" t="s">
        <v>5002</v>
      </c>
      <c r="T757" s="17"/>
      <c r="U757" s="66"/>
    </row>
    <row r="758" spans="1:21" s="15" customFormat="1" ht="29" x14ac:dyDescent="0.35">
      <c r="B758" s="64">
        <v>45309</v>
      </c>
      <c r="C758" s="17">
        <v>672</v>
      </c>
      <c r="D758" s="74" t="s">
        <v>5028</v>
      </c>
      <c r="E758" s="17" t="s">
        <v>1682</v>
      </c>
      <c r="F758" s="85" t="s">
        <v>13</v>
      </c>
      <c r="G758" s="17" t="s">
        <v>1805</v>
      </c>
      <c r="H758" s="17" t="s">
        <v>1715</v>
      </c>
      <c r="I758" s="145" t="s">
        <v>4647</v>
      </c>
      <c r="J758" s="17" t="s">
        <v>26</v>
      </c>
      <c r="K758" s="17" t="s">
        <v>1683</v>
      </c>
      <c r="L758" s="17" t="s">
        <v>965</v>
      </c>
      <c r="M758" s="65">
        <v>8128740393</v>
      </c>
      <c r="N758" s="16">
        <v>868166057903296</v>
      </c>
      <c r="O758" s="16" t="s">
        <v>5124</v>
      </c>
      <c r="P758" s="17" t="s">
        <v>5123</v>
      </c>
      <c r="Q758" s="14" t="s">
        <v>8</v>
      </c>
      <c r="R758" s="40">
        <v>1999.84</v>
      </c>
      <c r="S758" s="19" t="s">
        <v>5002</v>
      </c>
      <c r="T758" s="17"/>
      <c r="U758" s="66"/>
    </row>
    <row r="759" spans="1:21" s="15" customFormat="1" ht="43.5" x14ac:dyDescent="0.35">
      <c r="B759" s="64">
        <v>45314</v>
      </c>
      <c r="C759" s="17">
        <v>673</v>
      </c>
      <c r="D759" s="36" t="s">
        <v>2276</v>
      </c>
      <c r="E759" s="17" t="s">
        <v>1684</v>
      </c>
      <c r="F759" s="85" t="s">
        <v>13</v>
      </c>
      <c r="G759" s="17" t="s">
        <v>5</v>
      </c>
      <c r="H759" s="17" t="s">
        <v>11</v>
      </c>
      <c r="I759" s="145"/>
      <c r="J759" s="17" t="s">
        <v>1693</v>
      </c>
      <c r="K759" s="17" t="s">
        <v>1685</v>
      </c>
      <c r="L759" s="17" t="s">
        <v>2</v>
      </c>
      <c r="M759" s="65">
        <v>8118284607</v>
      </c>
      <c r="N759" s="16">
        <v>869220041534714</v>
      </c>
      <c r="O759" s="16"/>
      <c r="P759" s="17" t="s">
        <v>1686</v>
      </c>
      <c r="Q759" s="14" t="s">
        <v>8</v>
      </c>
      <c r="R759" s="40">
        <v>1999.84</v>
      </c>
      <c r="S759" s="41" t="s">
        <v>2200</v>
      </c>
      <c r="T759" s="17"/>
      <c r="U759" s="66"/>
    </row>
    <row r="760" spans="1:21" s="15" customFormat="1" ht="29" x14ac:dyDescent="0.35">
      <c r="B760" s="64">
        <v>45315</v>
      </c>
      <c r="C760" s="17">
        <v>674</v>
      </c>
      <c r="D760" s="85" t="s">
        <v>4135</v>
      </c>
      <c r="E760" s="17" t="s">
        <v>1688</v>
      </c>
      <c r="F760" s="85" t="s">
        <v>13</v>
      </c>
      <c r="G760" s="17" t="s">
        <v>1805</v>
      </c>
      <c r="H760" s="14" t="s">
        <v>1767</v>
      </c>
      <c r="I760" s="145">
        <v>0.5625</v>
      </c>
      <c r="J760" s="17" t="s">
        <v>4151</v>
      </c>
      <c r="K760" s="17" t="s">
        <v>1690</v>
      </c>
      <c r="L760" s="17" t="s">
        <v>2</v>
      </c>
      <c r="M760" s="65">
        <v>8110624101</v>
      </c>
      <c r="N760" s="16">
        <v>869220041535109</v>
      </c>
      <c r="O760" s="16" t="s">
        <v>39</v>
      </c>
      <c r="P760" s="17" t="s">
        <v>1691</v>
      </c>
      <c r="Q760" s="17" t="s">
        <v>2559</v>
      </c>
      <c r="R760" s="40">
        <v>1999.84</v>
      </c>
      <c r="S760" s="41" t="s">
        <v>4147</v>
      </c>
      <c r="T760" s="17"/>
      <c r="U760" s="66"/>
    </row>
    <row r="761" spans="1:21" s="15" customFormat="1" ht="36" x14ac:dyDescent="0.35">
      <c r="A761" s="15" t="s">
        <v>1687</v>
      </c>
      <c r="B761" s="64">
        <v>45315</v>
      </c>
      <c r="C761" s="17">
        <v>675</v>
      </c>
      <c r="D761" s="85" t="s">
        <v>2585</v>
      </c>
      <c r="E761" s="17" t="s">
        <v>1689</v>
      </c>
      <c r="F761" s="85" t="s">
        <v>213</v>
      </c>
      <c r="G761" s="17" t="s">
        <v>1805</v>
      </c>
      <c r="H761" s="17" t="s">
        <v>3284</v>
      </c>
      <c r="I761" s="145" t="s">
        <v>39</v>
      </c>
      <c r="J761" s="14" t="s">
        <v>3285</v>
      </c>
      <c r="K761" s="17" t="s">
        <v>1692</v>
      </c>
      <c r="L761" s="17" t="s">
        <v>965</v>
      </c>
      <c r="M761" s="65">
        <v>8120107525</v>
      </c>
      <c r="N761" s="16">
        <v>865011034398975</v>
      </c>
      <c r="O761" s="119" t="s">
        <v>3287</v>
      </c>
      <c r="P761" s="63" t="s">
        <v>3286</v>
      </c>
      <c r="Q761" s="120" t="s">
        <v>1694</v>
      </c>
      <c r="R761" s="40">
        <v>290</v>
      </c>
      <c r="S761" s="19" t="s">
        <v>2560</v>
      </c>
      <c r="T761" s="17"/>
      <c r="U761" s="66"/>
    </row>
    <row r="762" spans="1:21" s="15" customFormat="1" ht="29" x14ac:dyDescent="0.35">
      <c r="B762" s="64">
        <v>45316</v>
      </c>
      <c r="C762" s="17">
        <v>676</v>
      </c>
      <c r="D762" s="74" t="s">
        <v>5029</v>
      </c>
      <c r="E762" s="17" t="s">
        <v>1695</v>
      </c>
      <c r="F762" s="85" t="s">
        <v>13</v>
      </c>
      <c r="G762" s="17" t="s">
        <v>5</v>
      </c>
      <c r="H762" s="17" t="s">
        <v>1696</v>
      </c>
      <c r="I762" s="145" t="s">
        <v>5125</v>
      </c>
      <c r="J762" s="17" t="s">
        <v>5126</v>
      </c>
      <c r="K762" s="17" t="s">
        <v>1705</v>
      </c>
      <c r="L762" s="17" t="s">
        <v>965</v>
      </c>
      <c r="M762" s="65">
        <v>8123728984</v>
      </c>
      <c r="N762" s="16">
        <v>869220041535349</v>
      </c>
      <c r="O762" s="119" t="s">
        <v>5128</v>
      </c>
      <c r="P762" s="70" t="s">
        <v>5127</v>
      </c>
      <c r="Q762" s="14" t="s">
        <v>8</v>
      </c>
      <c r="R762" s="40">
        <v>1999.84</v>
      </c>
      <c r="S762" s="19" t="s">
        <v>5002</v>
      </c>
      <c r="T762" s="17"/>
      <c r="U762" s="66"/>
    </row>
    <row r="763" spans="1:21" s="15" customFormat="1" ht="29" x14ac:dyDescent="0.35">
      <c r="B763" s="64">
        <v>45316</v>
      </c>
      <c r="C763" s="17">
        <v>677</v>
      </c>
      <c r="D763" s="36" t="s">
        <v>39</v>
      </c>
      <c r="E763" s="67" t="s">
        <v>1698</v>
      </c>
      <c r="F763" s="85" t="s">
        <v>40</v>
      </c>
      <c r="G763" s="17" t="s">
        <v>5</v>
      </c>
      <c r="H763" s="17" t="s">
        <v>17</v>
      </c>
      <c r="I763" s="145"/>
      <c r="J763" s="17" t="s">
        <v>1697</v>
      </c>
      <c r="K763" s="17" t="s">
        <v>1706</v>
      </c>
      <c r="L763" s="17" t="s">
        <v>965</v>
      </c>
      <c r="M763" s="65" t="s">
        <v>39</v>
      </c>
      <c r="N763" s="16" t="s">
        <v>39</v>
      </c>
      <c r="O763" s="119"/>
      <c r="P763" s="70" t="s">
        <v>39</v>
      </c>
      <c r="Q763" s="14" t="s">
        <v>8</v>
      </c>
      <c r="R763" s="40">
        <v>290</v>
      </c>
      <c r="S763" s="41">
        <v>0</v>
      </c>
      <c r="T763" s="17"/>
      <c r="U763" s="66"/>
    </row>
    <row r="764" spans="1:21" s="15" customFormat="1" ht="29" x14ac:dyDescent="0.35">
      <c r="B764" s="64">
        <v>45316</v>
      </c>
      <c r="C764" s="17">
        <v>677</v>
      </c>
      <c r="D764" s="36" t="s">
        <v>39</v>
      </c>
      <c r="E764" s="67" t="s">
        <v>1699</v>
      </c>
      <c r="F764" s="85" t="s">
        <v>40</v>
      </c>
      <c r="G764" s="17" t="s">
        <v>5</v>
      </c>
      <c r="H764" s="17" t="s">
        <v>1700</v>
      </c>
      <c r="I764" s="145"/>
      <c r="J764" s="17" t="s">
        <v>1697</v>
      </c>
      <c r="K764" s="17" t="s">
        <v>1706</v>
      </c>
      <c r="L764" s="17" t="s">
        <v>965</v>
      </c>
      <c r="M764" s="65" t="s">
        <v>39</v>
      </c>
      <c r="N764" s="16" t="s">
        <v>39</v>
      </c>
      <c r="O764" s="119"/>
      <c r="P764" s="70" t="s">
        <v>39</v>
      </c>
      <c r="Q764" s="14" t="s">
        <v>8</v>
      </c>
      <c r="R764" s="40">
        <v>290</v>
      </c>
      <c r="S764" s="41">
        <v>0</v>
      </c>
      <c r="T764" s="17"/>
      <c r="U764" s="66"/>
    </row>
    <row r="765" spans="1:21" s="15" customFormat="1" ht="29" x14ac:dyDescent="0.35">
      <c r="B765" s="64">
        <v>45316</v>
      </c>
      <c r="C765" s="17">
        <v>678</v>
      </c>
      <c r="D765" s="85" t="s">
        <v>4006</v>
      </c>
      <c r="E765" s="17" t="s">
        <v>1695</v>
      </c>
      <c r="F765" s="85" t="s">
        <v>13</v>
      </c>
      <c r="G765" s="17" t="s">
        <v>5</v>
      </c>
      <c r="H765" s="14" t="s">
        <v>1786</v>
      </c>
      <c r="I765" s="145" t="s">
        <v>4309</v>
      </c>
      <c r="J765" s="17" t="s">
        <v>4007</v>
      </c>
      <c r="K765" s="17" t="s">
        <v>1707</v>
      </c>
      <c r="L765" s="17" t="s">
        <v>2</v>
      </c>
      <c r="M765" s="65">
        <v>8112777961</v>
      </c>
      <c r="N765" s="16">
        <v>8692200415351330</v>
      </c>
      <c r="O765" s="16" t="s">
        <v>39</v>
      </c>
      <c r="P765" s="17" t="s">
        <v>1701</v>
      </c>
      <c r="Q765" s="17" t="s">
        <v>4174</v>
      </c>
      <c r="R765" s="40">
        <v>1999.84</v>
      </c>
      <c r="S765" s="19" t="s">
        <v>3584</v>
      </c>
      <c r="T765" s="17"/>
      <c r="U765" s="66"/>
    </row>
    <row r="766" spans="1:21" s="15" customFormat="1" ht="29" x14ac:dyDescent="0.35">
      <c r="B766" s="64">
        <v>45316</v>
      </c>
      <c r="C766" s="17">
        <v>677</v>
      </c>
      <c r="D766" s="74" t="s">
        <v>5030</v>
      </c>
      <c r="E766" s="17" t="s">
        <v>1695</v>
      </c>
      <c r="F766" s="85" t="s">
        <v>13</v>
      </c>
      <c r="G766" s="17" t="s">
        <v>5</v>
      </c>
      <c r="H766" s="17" t="s">
        <v>17</v>
      </c>
      <c r="I766" s="145" t="s">
        <v>4599</v>
      </c>
      <c r="J766" s="17" t="s">
        <v>5129</v>
      </c>
      <c r="K766" s="17" t="s">
        <v>1706</v>
      </c>
      <c r="L766" s="17" t="s">
        <v>965</v>
      </c>
      <c r="M766" s="65">
        <v>8110386738</v>
      </c>
      <c r="N766" s="16">
        <v>869220041537097</v>
      </c>
      <c r="O766" s="119" t="s">
        <v>5131</v>
      </c>
      <c r="P766" s="70" t="s">
        <v>5130</v>
      </c>
      <c r="Q766" s="14" t="s">
        <v>8</v>
      </c>
      <c r="R766" s="40">
        <v>1999.84</v>
      </c>
      <c r="S766" s="19" t="s">
        <v>5002</v>
      </c>
      <c r="T766" s="17"/>
      <c r="U766" s="66"/>
    </row>
    <row r="767" spans="1:21" s="15" customFormat="1" ht="29" x14ac:dyDescent="0.35">
      <c r="B767" s="64">
        <v>45316</v>
      </c>
      <c r="C767" s="17">
        <v>678</v>
      </c>
      <c r="D767" s="85" t="s">
        <v>4918</v>
      </c>
      <c r="E767" s="17" t="s">
        <v>1702</v>
      </c>
      <c r="F767" s="85" t="s">
        <v>1703</v>
      </c>
      <c r="G767" s="17" t="s">
        <v>5</v>
      </c>
      <c r="H767" s="17" t="s">
        <v>1704</v>
      </c>
      <c r="I767" s="145" t="s">
        <v>4934</v>
      </c>
      <c r="J767" s="17" t="s">
        <v>4935</v>
      </c>
      <c r="K767" s="17" t="s">
        <v>1708</v>
      </c>
      <c r="L767" s="17" t="s">
        <v>2</v>
      </c>
      <c r="M767" s="65" t="s">
        <v>39</v>
      </c>
      <c r="N767" s="16" t="s">
        <v>39</v>
      </c>
      <c r="O767" s="119"/>
      <c r="P767" s="70" t="s">
        <v>39</v>
      </c>
      <c r="Q767" s="14" t="s">
        <v>1709</v>
      </c>
      <c r="R767" s="40">
        <v>0</v>
      </c>
      <c r="S767" s="19" t="s">
        <v>4912</v>
      </c>
      <c r="T767" s="17"/>
      <c r="U767" s="66"/>
    </row>
    <row r="768" spans="1:21" s="15" customFormat="1" ht="29" x14ac:dyDescent="0.35">
      <c r="B768" s="64">
        <v>45316</v>
      </c>
      <c r="C768" s="17">
        <v>679</v>
      </c>
      <c r="D768" s="85" t="s">
        <v>4918</v>
      </c>
      <c r="E768" s="17" t="s">
        <v>1695</v>
      </c>
      <c r="F768" s="85" t="s">
        <v>13</v>
      </c>
      <c r="G768" s="17" t="s">
        <v>5</v>
      </c>
      <c r="H768" s="17" t="s">
        <v>1710</v>
      </c>
      <c r="I768" s="145" t="s">
        <v>4595</v>
      </c>
      <c r="J768" s="17" t="s">
        <v>4935</v>
      </c>
      <c r="K768" s="17" t="s">
        <v>1708</v>
      </c>
      <c r="L768" s="17" t="s">
        <v>2</v>
      </c>
      <c r="M768" s="65">
        <v>8119174112</v>
      </c>
      <c r="N768" s="16">
        <v>869220041537188</v>
      </c>
      <c r="O768" s="119" t="s">
        <v>4937</v>
      </c>
      <c r="P768" s="70" t="s">
        <v>4936</v>
      </c>
      <c r="Q768" s="14" t="s">
        <v>8</v>
      </c>
      <c r="R768" s="40">
        <v>1999.84</v>
      </c>
      <c r="S768" s="19" t="s">
        <v>4912</v>
      </c>
      <c r="T768" s="17"/>
      <c r="U768" s="66"/>
    </row>
    <row r="769" spans="2:21" s="15" customFormat="1" ht="29" x14ac:dyDescent="0.35">
      <c r="B769" s="64">
        <v>45317</v>
      </c>
      <c r="C769" s="17">
        <v>680</v>
      </c>
      <c r="D769" s="74" t="s">
        <v>5031</v>
      </c>
      <c r="E769" s="17" t="s">
        <v>1711</v>
      </c>
      <c r="F769" s="85" t="s">
        <v>13</v>
      </c>
      <c r="G769" s="17" t="s">
        <v>5</v>
      </c>
      <c r="H769" s="14" t="s">
        <v>1744</v>
      </c>
      <c r="I769" s="145" t="s">
        <v>4979</v>
      </c>
      <c r="J769" s="17" t="s">
        <v>5132</v>
      </c>
      <c r="K769" s="17" t="s">
        <v>1712</v>
      </c>
      <c r="L769" s="17" t="s">
        <v>2</v>
      </c>
      <c r="M769" s="65">
        <v>8135518612</v>
      </c>
      <c r="N769" s="16">
        <v>869220041536313</v>
      </c>
      <c r="O769" s="119" t="s">
        <v>39</v>
      </c>
      <c r="P769" s="70" t="s">
        <v>1713</v>
      </c>
      <c r="Q769" s="14" t="s">
        <v>8</v>
      </c>
      <c r="R769" s="40">
        <v>1999.84</v>
      </c>
      <c r="S769" s="19" t="s">
        <v>5002</v>
      </c>
      <c r="T769" s="17"/>
      <c r="U769" s="66"/>
    </row>
    <row r="770" spans="2:21" s="15" customFormat="1" ht="29" x14ac:dyDescent="0.35">
      <c r="B770" s="64">
        <v>45317</v>
      </c>
      <c r="C770" s="17">
        <v>681</v>
      </c>
      <c r="D770" s="36" t="s">
        <v>2277</v>
      </c>
      <c r="E770" s="17" t="s">
        <v>1711</v>
      </c>
      <c r="F770" s="85" t="s">
        <v>13</v>
      </c>
      <c r="G770" s="17" t="s">
        <v>5</v>
      </c>
      <c r="H770" s="17" t="s">
        <v>1715</v>
      </c>
      <c r="I770" s="145"/>
      <c r="J770" s="17" t="s">
        <v>2283</v>
      </c>
      <c r="K770" s="17" t="s">
        <v>2282</v>
      </c>
      <c r="L770" s="17" t="s">
        <v>965</v>
      </c>
      <c r="M770" s="65">
        <v>8119087596</v>
      </c>
      <c r="N770" s="16">
        <v>869220041535810</v>
      </c>
      <c r="O770" s="119"/>
      <c r="P770" s="70" t="s">
        <v>1714</v>
      </c>
      <c r="Q770" s="14" t="s">
        <v>8</v>
      </c>
      <c r="R770" s="40">
        <v>1999.84</v>
      </c>
      <c r="S770" s="19" t="s">
        <v>2200</v>
      </c>
      <c r="T770" s="17"/>
      <c r="U770" s="66"/>
    </row>
    <row r="771" spans="2:21" s="15" customFormat="1" ht="29" x14ac:dyDescent="0.35">
      <c r="B771" s="64">
        <v>45318</v>
      </c>
      <c r="C771" s="17">
        <v>682</v>
      </c>
      <c r="D771" s="134" t="s">
        <v>4261</v>
      </c>
      <c r="E771" s="17" t="s">
        <v>1716</v>
      </c>
      <c r="F771" s="85" t="s">
        <v>13</v>
      </c>
      <c r="G771" s="17" t="s">
        <v>5</v>
      </c>
      <c r="H771" s="17" t="s">
        <v>1717</v>
      </c>
      <c r="I771" s="145" t="s">
        <v>4273</v>
      </c>
      <c r="J771" s="17" t="s">
        <v>4274</v>
      </c>
      <c r="K771" s="17" t="s">
        <v>1718</v>
      </c>
      <c r="L771" s="17" t="s">
        <v>2</v>
      </c>
      <c r="M771" s="65">
        <v>8131037027</v>
      </c>
      <c r="N771" s="16">
        <v>869220041535760</v>
      </c>
      <c r="O771" s="119" t="s">
        <v>4276</v>
      </c>
      <c r="P771" s="70" t="s">
        <v>4275</v>
      </c>
      <c r="Q771" s="17" t="s">
        <v>2559</v>
      </c>
      <c r="R771" s="40">
        <v>1999.84</v>
      </c>
      <c r="S771" s="19" t="s">
        <v>4265</v>
      </c>
      <c r="T771" s="17"/>
      <c r="U771" s="66"/>
    </row>
    <row r="772" spans="2:21" s="15" customFormat="1" ht="29" x14ac:dyDescent="0.35">
      <c r="B772" s="64">
        <v>45320</v>
      </c>
      <c r="C772" s="17">
        <v>683</v>
      </c>
      <c r="D772" s="36" t="s">
        <v>2278</v>
      </c>
      <c r="E772" s="17" t="s">
        <v>1719</v>
      </c>
      <c r="F772" s="85" t="s">
        <v>13</v>
      </c>
      <c r="G772" s="17" t="s">
        <v>5</v>
      </c>
      <c r="H772" s="17" t="s">
        <v>1720</v>
      </c>
      <c r="I772" s="145"/>
      <c r="J772" s="17" t="s">
        <v>2284</v>
      </c>
      <c r="K772" s="17" t="s">
        <v>1721</v>
      </c>
      <c r="L772" s="17" t="s">
        <v>965</v>
      </c>
      <c r="M772" s="65">
        <v>8180844156</v>
      </c>
      <c r="N772" s="16">
        <v>869220041536123</v>
      </c>
      <c r="O772" s="119"/>
      <c r="P772" s="70" t="s">
        <v>1722</v>
      </c>
      <c r="Q772" s="14" t="s">
        <v>8</v>
      </c>
      <c r="R772" s="40">
        <v>1999.84</v>
      </c>
      <c r="S772" s="41" t="s">
        <v>2200</v>
      </c>
      <c r="T772" s="17"/>
      <c r="U772" s="66"/>
    </row>
    <row r="773" spans="2:21" s="15" customFormat="1" ht="29" x14ac:dyDescent="0.35">
      <c r="B773" s="64">
        <v>45322</v>
      </c>
      <c r="C773" s="17">
        <v>684</v>
      </c>
      <c r="D773" s="36" t="s">
        <v>39</v>
      </c>
      <c r="E773" s="36" t="s">
        <v>1726</v>
      </c>
      <c r="F773" s="85" t="s">
        <v>40</v>
      </c>
      <c r="G773" s="17" t="s">
        <v>5</v>
      </c>
      <c r="H773" s="17" t="s">
        <v>1720</v>
      </c>
      <c r="I773" s="145"/>
      <c r="J773" s="17" t="s">
        <v>1724</v>
      </c>
      <c r="K773" s="17" t="s">
        <v>1725</v>
      </c>
      <c r="L773" s="17" t="s">
        <v>965</v>
      </c>
      <c r="M773" s="65" t="s">
        <v>39</v>
      </c>
      <c r="N773" s="16" t="s">
        <v>39</v>
      </c>
      <c r="O773" s="119"/>
      <c r="P773" s="70" t="s">
        <v>39</v>
      </c>
      <c r="Q773" s="14" t="s">
        <v>1727</v>
      </c>
      <c r="R773" s="40">
        <v>290</v>
      </c>
      <c r="S773" s="41">
        <v>0</v>
      </c>
      <c r="T773" s="17"/>
      <c r="U773" s="66"/>
    </row>
    <row r="774" spans="2:21" s="15" customFormat="1" ht="29" x14ac:dyDescent="0.35">
      <c r="B774" s="64">
        <v>45322</v>
      </c>
      <c r="C774" s="17">
        <v>685</v>
      </c>
      <c r="D774" s="85" t="s">
        <v>3075</v>
      </c>
      <c r="E774" s="17" t="s">
        <v>1723</v>
      </c>
      <c r="F774" s="85" t="s">
        <v>13</v>
      </c>
      <c r="G774" s="17" t="s">
        <v>5</v>
      </c>
      <c r="H774" s="17" t="s">
        <v>1728</v>
      </c>
      <c r="I774" s="145" t="s">
        <v>3232</v>
      </c>
      <c r="J774" s="17" t="s">
        <v>3231</v>
      </c>
      <c r="K774" s="17" t="s">
        <v>2949</v>
      </c>
      <c r="L774" s="17" t="s">
        <v>965</v>
      </c>
      <c r="M774" s="37">
        <v>8126310951</v>
      </c>
      <c r="N774" s="38">
        <v>864893033148589</v>
      </c>
      <c r="O774" s="119" t="s">
        <v>39</v>
      </c>
      <c r="P774" s="70" t="s">
        <v>1729</v>
      </c>
      <c r="Q774" s="17" t="s">
        <v>2559</v>
      </c>
      <c r="R774" s="40">
        <v>1999.84</v>
      </c>
      <c r="S774" s="19" t="s">
        <v>2977</v>
      </c>
      <c r="T774" s="17"/>
      <c r="U774" s="66"/>
    </row>
    <row r="775" spans="2:21" s="15" customFormat="1" ht="43.5" x14ac:dyDescent="0.35">
      <c r="B775" s="64">
        <v>45324</v>
      </c>
      <c r="C775" s="17">
        <v>686</v>
      </c>
      <c r="D775" s="85" t="s">
        <v>5241</v>
      </c>
      <c r="E775" s="17" t="s">
        <v>1730</v>
      </c>
      <c r="F775" s="85" t="s">
        <v>13</v>
      </c>
      <c r="G775" s="17" t="s">
        <v>5</v>
      </c>
      <c r="H775" s="17" t="s">
        <v>2413</v>
      </c>
      <c r="I775" s="145" t="s">
        <v>3232</v>
      </c>
      <c r="J775" s="17" t="s">
        <v>4098</v>
      </c>
      <c r="K775" s="17" t="s">
        <v>1732</v>
      </c>
      <c r="L775" s="17" t="s">
        <v>965</v>
      </c>
      <c r="M775" s="65">
        <v>8128611816</v>
      </c>
      <c r="N775" s="16">
        <v>868166057893661</v>
      </c>
      <c r="O775" s="119" t="s">
        <v>39</v>
      </c>
      <c r="P775" s="70" t="s">
        <v>1731</v>
      </c>
      <c r="Q775" s="14" t="s">
        <v>8</v>
      </c>
      <c r="R775" s="40">
        <v>1999.84</v>
      </c>
      <c r="S775" s="19" t="s">
        <v>5240</v>
      </c>
      <c r="T775" s="17"/>
      <c r="U775" s="66"/>
    </row>
    <row r="776" spans="2:21" s="15" customFormat="1" ht="29" x14ac:dyDescent="0.35">
      <c r="B776" s="64">
        <v>45324</v>
      </c>
      <c r="C776" s="17">
        <v>687</v>
      </c>
      <c r="D776" s="85" t="s">
        <v>4008</v>
      </c>
      <c r="E776" s="17" t="s">
        <v>1730</v>
      </c>
      <c r="F776" s="85" t="s">
        <v>13</v>
      </c>
      <c r="G776" s="17" t="s">
        <v>1805</v>
      </c>
      <c r="H776" s="14" t="s">
        <v>1767</v>
      </c>
      <c r="I776" s="145" t="s">
        <v>39</v>
      </c>
      <c r="J776" s="17" t="s">
        <v>26</v>
      </c>
      <c r="K776" s="17" t="s">
        <v>1733</v>
      </c>
      <c r="L776" s="17" t="s">
        <v>2</v>
      </c>
      <c r="M776" s="14">
        <v>8112392635</v>
      </c>
      <c r="N776" s="38">
        <v>869220041535885</v>
      </c>
      <c r="O776" s="38" t="s">
        <v>4010</v>
      </c>
      <c r="P776" s="14" t="s">
        <v>4009</v>
      </c>
      <c r="Q776" s="17" t="s">
        <v>4174</v>
      </c>
      <c r="R776" s="40">
        <v>1999.84</v>
      </c>
      <c r="S776" s="19" t="s">
        <v>3584</v>
      </c>
      <c r="T776" s="17"/>
      <c r="U776" s="66"/>
    </row>
    <row r="777" spans="2:21" s="15" customFormat="1" ht="29" x14ac:dyDescent="0.35">
      <c r="B777" s="64">
        <v>45325</v>
      </c>
      <c r="C777" s="17">
        <v>688</v>
      </c>
      <c r="D777" s="124" t="s">
        <v>3602</v>
      </c>
      <c r="E777" s="17" t="s">
        <v>1734</v>
      </c>
      <c r="F777" s="85" t="s">
        <v>13</v>
      </c>
      <c r="G777" s="17" t="s">
        <v>5</v>
      </c>
      <c r="H777" s="14" t="s">
        <v>1744</v>
      </c>
      <c r="I777" s="145" t="s">
        <v>3579</v>
      </c>
      <c r="J777" s="55" t="s">
        <v>3615</v>
      </c>
      <c r="K777" s="17" t="s">
        <v>1735</v>
      </c>
      <c r="L777" s="17" t="s">
        <v>2</v>
      </c>
      <c r="M777" s="17">
        <v>8128613320</v>
      </c>
      <c r="N777" s="16">
        <v>868166057893984</v>
      </c>
      <c r="O777" s="16" t="s">
        <v>39</v>
      </c>
      <c r="P777" s="17" t="s">
        <v>1736</v>
      </c>
      <c r="Q777" s="17" t="s">
        <v>2559</v>
      </c>
      <c r="R777" s="40">
        <v>1999.84</v>
      </c>
      <c r="S777" s="19" t="s">
        <v>3584</v>
      </c>
      <c r="T777" s="17"/>
      <c r="U777" s="66"/>
    </row>
    <row r="778" spans="2:21" s="15" customFormat="1" ht="44.25" customHeight="1" x14ac:dyDescent="0.35">
      <c r="B778" s="64">
        <v>45328</v>
      </c>
      <c r="C778" s="17">
        <v>689</v>
      </c>
      <c r="D778" s="36" t="s">
        <v>39</v>
      </c>
      <c r="E778" s="36" t="s">
        <v>39</v>
      </c>
      <c r="F778" s="85" t="s">
        <v>40</v>
      </c>
      <c r="G778" s="17" t="s">
        <v>5</v>
      </c>
      <c r="H778" s="17" t="s">
        <v>1737</v>
      </c>
      <c r="I778" s="145"/>
      <c r="J778" s="17" t="s">
        <v>1738</v>
      </c>
      <c r="K778" s="17" t="s">
        <v>1739</v>
      </c>
      <c r="L778" s="17" t="s">
        <v>39</v>
      </c>
      <c r="M778" s="17" t="s">
        <v>39</v>
      </c>
      <c r="N778" s="16" t="s">
        <v>39</v>
      </c>
      <c r="O778" s="16"/>
      <c r="P778" s="17" t="s">
        <v>39</v>
      </c>
      <c r="Q778" s="14" t="s">
        <v>1740</v>
      </c>
      <c r="R778" s="40">
        <v>0</v>
      </c>
      <c r="S778" s="41">
        <v>0</v>
      </c>
      <c r="T778" s="17"/>
      <c r="U778" s="66"/>
    </row>
    <row r="779" spans="2:21" s="15" customFormat="1" ht="29" x14ac:dyDescent="0.35">
      <c r="B779" s="64">
        <v>45331</v>
      </c>
      <c r="C779" s="17">
        <v>690</v>
      </c>
      <c r="D779" s="85" t="s">
        <v>4136</v>
      </c>
      <c r="E779" s="85" t="s">
        <v>1741</v>
      </c>
      <c r="F779" s="85" t="s">
        <v>13</v>
      </c>
      <c r="G779" s="17" t="s">
        <v>5</v>
      </c>
      <c r="H779" s="17" t="s">
        <v>1743</v>
      </c>
      <c r="I779" s="145" t="s">
        <v>4152</v>
      </c>
      <c r="J779" s="17" t="s">
        <v>4153</v>
      </c>
      <c r="K779" s="17" t="s">
        <v>1742</v>
      </c>
      <c r="L779" s="17" t="s">
        <v>2</v>
      </c>
      <c r="M779" s="17">
        <v>8128613191</v>
      </c>
      <c r="N779" s="16">
        <v>868166057893893</v>
      </c>
      <c r="O779" s="16" t="s">
        <v>4155</v>
      </c>
      <c r="P779" s="17" t="s">
        <v>4154</v>
      </c>
      <c r="Q779" s="17" t="s">
        <v>2559</v>
      </c>
      <c r="R779" s="40">
        <v>1999.84</v>
      </c>
      <c r="S779" s="19" t="s">
        <v>4147</v>
      </c>
      <c r="T779" s="17"/>
      <c r="U779" s="66"/>
    </row>
    <row r="780" spans="2:21" s="15" customFormat="1" ht="44.25" customHeight="1" x14ac:dyDescent="0.35">
      <c r="B780" s="64">
        <v>45332</v>
      </c>
      <c r="C780" s="17">
        <v>691</v>
      </c>
      <c r="D780" s="85" t="s">
        <v>3076</v>
      </c>
      <c r="E780" s="85" t="s">
        <v>1745</v>
      </c>
      <c r="F780" s="85" t="s">
        <v>13</v>
      </c>
      <c r="G780" s="17" t="s">
        <v>5</v>
      </c>
      <c r="H780" s="14" t="s">
        <v>1744</v>
      </c>
      <c r="I780" s="145" t="s">
        <v>3232</v>
      </c>
      <c r="J780" s="17" t="s">
        <v>3239</v>
      </c>
      <c r="K780" s="17" t="s">
        <v>1746</v>
      </c>
      <c r="L780" s="17" t="s">
        <v>965</v>
      </c>
      <c r="M780" s="17">
        <v>8116006904</v>
      </c>
      <c r="N780" s="16">
        <v>868166057892705</v>
      </c>
      <c r="O780" s="16" t="s">
        <v>39</v>
      </c>
      <c r="P780" s="17" t="s">
        <v>1747</v>
      </c>
      <c r="Q780" s="17" t="s">
        <v>2559</v>
      </c>
      <c r="R780" s="40">
        <v>1999.84</v>
      </c>
      <c r="S780" s="19" t="s">
        <v>2977</v>
      </c>
      <c r="T780" s="17"/>
      <c r="U780" s="66"/>
    </row>
    <row r="781" spans="2:21" s="15" customFormat="1" ht="44.25" customHeight="1" x14ac:dyDescent="0.35">
      <c r="B781" s="64">
        <v>45334</v>
      </c>
      <c r="C781" s="17">
        <v>692</v>
      </c>
      <c r="D781" s="36" t="s">
        <v>39</v>
      </c>
      <c r="E781" s="36" t="s">
        <v>39</v>
      </c>
      <c r="F781" s="85" t="s">
        <v>40</v>
      </c>
      <c r="G781" s="17" t="s">
        <v>5</v>
      </c>
      <c r="H781" s="17" t="s">
        <v>1749</v>
      </c>
      <c r="I781" s="145"/>
      <c r="J781" s="17" t="s">
        <v>1750</v>
      </c>
      <c r="K781" s="17" t="s">
        <v>1751</v>
      </c>
      <c r="L781" s="17" t="s">
        <v>2</v>
      </c>
      <c r="M781" s="17" t="s">
        <v>39</v>
      </c>
      <c r="N781" s="16" t="s">
        <v>39</v>
      </c>
      <c r="O781" s="16"/>
      <c r="P781" s="17" t="s">
        <v>39</v>
      </c>
      <c r="Q781" s="14" t="s">
        <v>1752</v>
      </c>
      <c r="R781" s="40">
        <v>290</v>
      </c>
      <c r="S781" s="41">
        <v>0</v>
      </c>
      <c r="T781" s="17"/>
      <c r="U781" s="66"/>
    </row>
    <row r="782" spans="2:21" s="15" customFormat="1" ht="29" x14ac:dyDescent="0.35">
      <c r="B782" s="64">
        <v>45334</v>
      </c>
      <c r="C782" s="17">
        <v>693</v>
      </c>
      <c r="D782" s="85" t="s">
        <v>4012</v>
      </c>
      <c r="E782" s="85" t="s">
        <v>1748</v>
      </c>
      <c r="F782" s="85" t="s">
        <v>13</v>
      </c>
      <c r="G782" s="17" t="s">
        <v>1805</v>
      </c>
      <c r="H782" s="17" t="s">
        <v>1715</v>
      </c>
      <c r="I782" s="145">
        <v>0.54166666666666663</v>
      </c>
      <c r="J782" s="17" t="s">
        <v>4310</v>
      </c>
      <c r="K782" s="17" t="s">
        <v>1754</v>
      </c>
      <c r="L782" s="17" t="s">
        <v>2</v>
      </c>
      <c r="M782" s="17">
        <v>8128615811</v>
      </c>
      <c r="N782" s="16">
        <v>868166057893679</v>
      </c>
      <c r="O782" s="16" t="s">
        <v>39</v>
      </c>
      <c r="P782" s="17" t="s">
        <v>1753</v>
      </c>
      <c r="Q782" s="17" t="s">
        <v>4174</v>
      </c>
      <c r="R782" s="40">
        <v>1999.84</v>
      </c>
      <c r="S782" s="19" t="s">
        <v>3584</v>
      </c>
      <c r="T782" s="17"/>
      <c r="U782" s="66"/>
    </row>
    <row r="783" spans="2:21" s="15" customFormat="1" ht="44.25" customHeight="1" x14ac:dyDescent="0.35">
      <c r="B783" s="64">
        <v>45335</v>
      </c>
      <c r="C783" s="17">
        <v>694</v>
      </c>
      <c r="D783" s="36" t="s">
        <v>39</v>
      </c>
      <c r="E783" s="36" t="s">
        <v>39</v>
      </c>
      <c r="F783" s="85" t="s">
        <v>40</v>
      </c>
      <c r="G783" s="17" t="s">
        <v>5</v>
      </c>
      <c r="H783" s="17" t="s">
        <v>1755</v>
      </c>
      <c r="I783" s="145"/>
      <c r="J783" s="17" t="s">
        <v>1756</v>
      </c>
      <c r="K783" s="17" t="s">
        <v>1757</v>
      </c>
      <c r="L783" s="17" t="s">
        <v>2</v>
      </c>
      <c r="M783" s="17" t="s">
        <v>39</v>
      </c>
      <c r="N783" s="16" t="s">
        <v>39</v>
      </c>
      <c r="O783" s="16"/>
      <c r="P783" s="17" t="s">
        <v>39</v>
      </c>
      <c r="Q783" s="14" t="s">
        <v>1752</v>
      </c>
      <c r="R783" s="40">
        <v>290</v>
      </c>
      <c r="S783" s="41">
        <v>0</v>
      </c>
      <c r="T783" s="17"/>
      <c r="U783" s="66"/>
    </row>
    <row r="784" spans="2:21" s="15" customFormat="1" ht="29" x14ac:dyDescent="0.35">
      <c r="B784" s="64">
        <v>45336</v>
      </c>
      <c r="C784" s="17">
        <v>695</v>
      </c>
      <c r="D784" s="74" t="s">
        <v>5032</v>
      </c>
      <c r="E784" s="85" t="s">
        <v>1758</v>
      </c>
      <c r="F784" s="85" t="s">
        <v>13</v>
      </c>
      <c r="G784" s="17" t="s">
        <v>5</v>
      </c>
      <c r="H784" s="17" t="s">
        <v>1759</v>
      </c>
      <c r="I784" s="145">
        <v>0.5625</v>
      </c>
      <c r="J784" s="17" t="s">
        <v>5133</v>
      </c>
      <c r="K784" s="17" t="s">
        <v>1760</v>
      </c>
      <c r="L784" s="17" t="s">
        <v>965</v>
      </c>
      <c r="M784" s="17">
        <v>8126310858</v>
      </c>
      <c r="N784" s="16">
        <v>868166057891962</v>
      </c>
      <c r="O784" s="16" t="s">
        <v>39</v>
      </c>
      <c r="P784" s="17" t="s">
        <v>1761</v>
      </c>
      <c r="Q784" s="14" t="s">
        <v>8</v>
      </c>
      <c r="R784" s="40">
        <v>1999.84</v>
      </c>
      <c r="S784" s="19" t="s">
        <v>5002</v>
      </c>
      <c r="T784" s="17"/>
      <c r="U784" s="66"/>
    </row>
    <row r="785" spans="2:21" s="15" customFormat="1" ht="44.25" customHeight="1" x14ac:dyDescent="0.35">
      <c r="B785" s="64">
        <v>45336</v>
      </c>
      <c r="C785" s="17">
        <v>696</v>
      </c>
      <c r="D785" s="36" t="s">
        <v>39</v>
      </c>
      <c r="E785" s="36" t="s">
        <v>39</v>
      </c>
      <c r="F785" s="85" t="s">
        <v>40</v>
      </c>
      <c r="G785" s="17" t="s">
        <v>5</v>
      </c>
      <c r="H785" s="17" t="s">
        <v>1755</v>
      </c>
      <c r="I785" s="145"/>
      <c r="J785" s="17" t="s">
        <v>1756</v>
      </c>
      <c r="K785" s="17" t="s">
        <v>1757</v>
      </c>
      <c r="L785" s="17" t="s">
        <v>2</v>
      </c>
      <c r="M785" s="17" t="s">
        <v>39</v>
      </c>
      <c r="N785" s="16" t="s">
        <v>39</v>
      </c>
      <c r="O785" s="16"/>
      <c r="P785" s="17" t="s">
        <v>39</v>
      </c>
      <c r="Q785" s="14" t="s">
        <v>1752</v>
      </c>
      <c r="R785" s="40">
        <v>290</v>
      </c>
      <c r="S785" s="41"/>
      <c r="T785" s="17"/>
      <c r="U785" s="66"/>
    </row>
    <row r="786" spans="2:21" s="15" customFormat="1" ht="29" x14ac:dyDescent="0.35">
      <c r="B786" s="64">
        <v>45338</v>
      </c>
      <c r="C786" s="17">
        <v>697</v>
      </c>
      <c r="D786" s="74" t="s">
        <v>5033</v>
      </c>
      <c r="E786" s="85" t="s">
        <v>1762</v>
      </c>
      <c r="F786" s="85" t="s">
        <v>13</v>
      </c>
      <c r="G786" s="17" t="s">
        <v>1805</v>
      </c>
      <c r="H786" s="17" t="s">
        <v>1715</v>
      </c>
      <c r="I786" s="145" t="s">
        <v>5082</v>
      </c>
      <c r="J786" s="17" t="s">
        <v>24</v>
      </c>
      <c r="K786" s="17" t="s">
        <v>1763</v>
      </c>
      <c r="L786" s="17" t="s">
        <v>965</v>
      </c>
      <c r="M786" s="17">
        <v>8135518615</v>
      </c>
      <c r="N786" s="16">
        <v>868166057891996</v>
      </c>
      <c r="O786" s="16" t="s">
        <v>5135</v>
      </c>
      <c r="P786" s="17" t="s">
        <v>5134</v>
      </c>
      <c r="Q786" s="14" t="s">
        <v>8</v>
      </c>
      <c r="R786" s="40">
        <v>1999.84</v>
      </c>
      <c r="S786" s="19" t="s">
        <v>5002</v>
      </c>
      <c r="T786" s="17"/>
      <c r="U786" s="66"/>
    </row>
    <row r="787" spans="2:21" s="15" customFormat="1" ht="44.25" customHeight="1" x14ac:dyDescent="0.35">
      <c r="B787" s="64">
        <v>45339</v>
      </c>
      <c r="C787" s="17">
        <v>698</v>
      </c>
      <c r="D787" s="36" t="s">
        <v>39</v>
      </c>
      <c r="E787" s="36" t="s">
        <v>39</v>
      </c>
      <c r="F787" s="85" t="s">
        <v>40</v>
      </c>
      <c r="G787" s="17" t="s">
        <v>5</v>
      </c>
      <c r="H787" s="17" t="s">
        <v>1764</v>
      </c>
      <c r="I787" s="145"/>
      <c r="J787" s="17" t="s">
        <v>1765</v>
      </c>
      <c r="K787" s="17" t="s">
        <v>1766</v>
      </c>
      <c r="L787" s="17" t="s">
        <v>2</v>
      </c>
      <c r="M787" s="17" t="s">
        <v>39</v>
      </c>
      <c r="N787" s="16" t="s">
        <v>39</v>
      </c>
      <c r="O787" s="16"/>
      <c r="P787" s="17" t="s">
        <v>39</v>
      </c>
      <c r="Q787" s="14" t="s">
        <v>1752</v>
      </c>
      <c r="R787" s="40" t="s">
        <v>39</v>
      </c>
      <c r="S787" s="41">
        <v>0</v>
      </c>
      <c r="T787" s="17"/>
      <c r="U787" s="66"/>
    </row>
    <row r="788" spans="2:21" s="15" customFormat="1" ht="44.25" customHeight="1" x14ac:dyDescent="0.35">
      <c r="B788" s="64">
        <v>45342</v>
      </c>
      <c r="C788" s="17">
        <v>699</v>
      </c>
      <c r="D788" s="85" t="s">
        <v>4513</v>
      </c>
      <c r="E788" s="85" t="s">
        <v>1768</v>
      </c>
      <c r="F788" s="85" t="s">
        <v>13</v>
      </c>
      <c r="G788" s="17" t="s">
        <v>5</v>
      </c>
      <c r="H788" s="14" t="s">
        <v>1769</v>
      </c>
      <c r="I788" s="145" t="s">
        <v>4520</v>
      </c>
      <c r="J788" s="17" t="s">
        <v>4521</v>
      </c>
      <c r="K788" s="17" t="s">
        <v>1770</v>
      </c>
      <c r="L788" s="17" t="s">
        <v>2</v>
      </c>
      <c r="M788" s="17">
        <v>8131314517</v>
      </c>
      <c r="N788" s="16">
        <v>868166057892333</v>
      </c>
      <c r="O788" s="16" t="s">
        <v>4523</v>
      </c>
      <c r="P788" s="17" t="s">
        <v>4522</v>
      </c>
      <c r="Q788" s="14" t="s">
        <v>8</v>
      </c>
      <c r="R788" s="40">
        <v>1999.84</v>
      </c>
      <c r="S788" s="19" t="s">
        <v>4517</v>
      </c>
      <c r="T788" s="17"/>
      <c r="U788" s="66"/>
    </row>
    <row r="789" spans="2:21" s="15" customFormat="1" ht="29" x14ac:dyDescent="0.35">
      <c r="B789" s="64">
        <v>45342</v>
      </c>
      <c r="C789" s="17">
        <v>700</v>
      </c>
      <c r="D789" s="85" t="s">
        <v>4786</v>
      </c>
      <c r="E789" s="85" t="s">
        <v>1768</v>
      </c>
      <c r="F789" s="85" t="s">
        <v>13</v>
      </c>
      <c r="G789" s="17" t="s">
        <v>1805</v>
      </c>
      <c r="H789" s="17" t="s">
        <v>1715</v>
      </c>
      <c r="I789" s="145" t="s">
        <v>4801</v>
      </c>
      <c r="J789" s="17" t="s">
        <v>4310</v>
      </c>
      <c r="K789" s="17" t="s">
        <v>1771</v>
      </c>
      <c r="L789" s="17" t="s">
        <v>2</v>
      </c>
      <c r="M789" s="17">
        <v>8128618152</v>
      </c>
      <c r="N789" s="16">
        <v>868166057894578</v>
      </c>
      <c r="O789" s="16" t="s">
        <v>39</v>
      </c>
      <c r="P789" s="17" t="s">
        <v>1772</v>
      </c>
      <c r="Q789" s="17" t="s">
        <v>2559</v>
      </c>
      <c r="R789" s="40">
        <v>1999.84</v>
      </c>
      <c r="S789" s="19" t="s">
        <v>4776</v>
      </c>
      <c r="T789" s="17"/>
      <c r="U789" s="66"/>
    </row>
    <row r="790" spans="2:21" s="15" customFormat="1" ht="43.5" x14ac:dyDescent="0.35">
      <c r="B790" s="64">
        <v>45345</v>
      </c>
      <c r="C790" s="17">
        <v>701</v>
      </c>
      <c r="D790" s="36" t="s">
        <v>39</v>
      </c>
      <c r="E790" s="36" t="s">
        <v>39</v>
      </c>
      <c r="F790" s="85" t="s">
        <v>40</v>
      </c>
      <c r="G790" s="17" t="s">
        <v>5</v>
      </c>
      <c r="H790" s="17" t="s">
        <v>2413</v>
      </c>
      <c r="I790" s="145">
        <v>0.45833333333333331</v>
      </c>
      <c r="J790" s="17" t="s">
        <v>4100</v>
      </c>
      <c r="K790" s="17" t="s">
        <v>1773</v>
      </c>
      <c r="L790" s="17" t="s">
        <v>2</v>
      </c>
      <c r="M790" s="65" t="s">
        <v>39</v>
      </c>
      <c r="N790" s="16" t="s">
        <v>39</v>
      </c>
      <c r="O790" s="16"/>
      <c r="P790" s="17" t="s">
        <v>39</v>
      </c>
      <c r="Q790" s="14" t="s">
        <v>1774</v>
      </c>
      <c r="R790" s="40">
        <v>290</v>
      </c>
      <c r="S790" s="41">
        <v>0</v>
      </c>
      <c r="T790" s="17"/>
      <c r="U790" s="66"/>
    </row>
    <row r="791" spans="2:21" s="15" customFormat="1" ht="29" x14ac:dyDescent="0.35">
      <c r="B791" s="64">
        <v>45345</v>
      </c>
      <c r="C791" s="17">
        <v>702</v>
      </c>
      <c r="D791" s="85" t="s">
        <v>4013</v>
      </c>
      <c r="E791" s="85" t="s">
        <v>1775</v>
      </c>
      <c r="F791" s="85" t="s">
        <v>13</v>
      </c>
      <c r="G791" s="17" t="s">
        <v>5</v>
      </c>
      <c r="H791" s="17" t="s">
        <v>1776</v>
      </c>
      <c r="I791" s="145">
        <v>0.70833333333333337</v>
      </c>
      <c r="J791" s="17" t="s">
        <v>4311</v>
      </c>
      <c r="K791" s="17" t="s">
        <v>1777</v>
      </c>
      <c r="L791" s="17" t="s">
        <v>2</v>
      </c>
      <c r="M791" s="65">
        <v>8117990740</v>
      </c>
      <c r="N791" s="16">
        <v>868166057892135</v>
      </c>
      <c r="O791" s="16" t="s">
        <v>4015</v>
      </c>
      <c r="P791" s="17" t="s">
        <v>4014</v>
      </c>
      <c r="Q791" s="17" t="s">
        <v>4174</v>
      </c>
      <c r="R791" s="40">
        <v>1999.84</v>
      </c>
      <c r="S791" s="19" t="s">
        <v>3584</v>
      </c>
      <c r="T791" s="17"/>
      <c r="U791" s="66"/>
    </row>
    <row r="792" spans="2:21" s="15" customFormat="1" ht="29" x14ac:dyDescent="0.35">
      <c r="B792" s="64">
        <v>45346</v>
      </c>
      <c r="C792" s="17">
        <v>703</v>
      </c>
      <c r="D792" s="74" t="s">
        <v>5034</v>
      </c>
      <c r="E792" s="85" t="s">
        <v>1779</v>
      </c>
      <c r="F792" s="85" t="s">
        <v>13</v>
      </c>
      <c r="G792" s="17" t="s">
        <v>5</v>
      </c>
      <c r="H792" s="14" t="s">
        <v>1786</v>
      </c>
      <c r="I792" s="145" t="s">
        <v>4599</v>
      </c>
      <c r="J792" s="17" t="s">
        <v>5136</v>
      </c>
      <c r="K792" s="17" t="s">
        <v>1778</v>
      </c>
      <c r="L792" s="17" t="s">
        <v>2</v>
      </c>
      <c r="M792" s="65">
        <v>8183963142</v>
      </c>
      <c r="N792" s="16">
        <v>865011034399478</v>
      </c>
      <c r="O792" s="16" t="s">
        <v>39</v>
      </c>
      <c r="P792" s="17" t="s">
        <v>39</v>
      </c>
      <c r="Q792" s="14" t="s">
        <v>8</v>
      </c>
      <c r="R792" s="40">
        <v>1999.84</v>
      </c>
      <c r="S792" s="19" t="s">
        <v>5002</v>
      </c>
      <c r="T792" s="17"/>
      <c r="U792" s="66"/>
    </row>
    <row r="793" spans="2:21" s="15" customFormat="1" ht="29" x14ac:dyDescent="0.35">
      <c r="B793" s="64">
        <v>45348</v>
      </c>
      <c r="C793" s="17">
        <v>704</v>
      </c>
      <c r="D793" s="85" t="s">
        <v>3078</v>
      </c>
      <c r="E793" s="85" t="s">
        <v>1780</v>
      </c>
      <c r="F793" s="85" t="s">
        <v>13</v>
      </c>
      <c r="G793" s="17" t="s">
        <v>5</v>
      </c>
      <c r="H793" s="17" t="s">
        <v>1802</v>
      </c>
      <c r="I793" s="145">
        <v>0.60416666666666663</v>
      </c>
      <c r="J793" s="17" t="s">
        <v>3240</v>
      </c>
      <c r="K793" s="17" t="s">
        <v>2962</v>
      </c>
      <c r="L793" s="17" t="s">
        <v>2</v>
      </c>
      <c r="M793" s="65">
        <v>8120190704</v>
      </c>
      <c r="N793" s="16">
        <v>869220041537311</v>
      </c>
      <c r="O793" s="16" t="s">
        <v>39</v>
      </c>
      <c r="P793" s="17" t="s">
        <v>2961</v>
      </c>
      <c r="Q793" s="17" t="s">
        <v>2559</v>
      </c>
      <c r="R793" s="40">
        <v>1999.84</v>
      </c>
      <c r="S793" s="19" t="s">
        <v>2977</v>
      </c>
      <c r="T793" s="17"/>
      <c r="U793" s="66"/>
    </row>
    <row r="794" spans="2:21" s="15" customFormat="1" ht="29" x14ac:dyDescent="0.35">
      <c r="B794" s="64">
        <v>45350</v>
      </c>
      <c r="C794" s="17">
        <v>705</v>
      </c>
      <c r="D794" s="85" t="s">
        <v>3409</v>
      </c>
      <c r="E794" s="85" t="s">
        <v>1781</v>
      </c>
      <c r="F794" s="85" t="s">
        <v>13</v>
      </c>
      <c r="G794" s="17" t="s">
        <v>1805</v>
      </c>
      <c r="H794" s="17" t="s">
        <v>1715</v>
      </c>
      <c r="I794" s="145">
        <v>0.5</v>
      </c>
      <c r="J794" s="17" t="s">
        <v>3516</v>
      </c>
      <c r="K794" s="17" t="s">
        <v>1782</v>
      </c>
      <c r="L794" s="17" t="s">
        <v>2</v>
      </c>
      <c r="M794" s="65">
        <v>8120013098</v>
      </c>
      <c r="N794" s="16">
        <v>869220040534947</v>
      </c>
      <c r="O794" s="16" t="s">
        <v>3517</v>
      </c>
      <c r="P794" s="17" t="s">
        <v>3467</v>
      </c>
      <c r="Q794" s="17" t="s">
        <v>2559</v>
      </c>
      <c r="R794" s="40">
        <v>1999.84</v>
      </c>
      <c r="S794" s="19" t="s">
        <v>3329</v>
      </c>
      <c r="T794" s="17"/>
      <c r="U794" s="66"/>
    </row>
    <row r="795" spans="2:21" s="15" customFormat="1" ht="29" x14ac:dyDescent="0.35">
      <c r="B795" s="64">
        <v>45350</v>
      </c>
      <c r="C795" s="17">
        <v>706</v>
      </c>
      <c r="D795" s="85" t="s">
        <v>2598</v>
      </c>
      <c r="E795" s="85" t="s">
        <v>1781</v>
      </c>
      <c r="F795" s="85" t="s">
        <v>13</v>
      </c>
      <c r="G795" s="17" t="s">
        <v>1805</v>
      </c>
      <c r="H795" s="17" t="s">
        <v>1715</v>
      </c>
      <c r="I795" s="145">
        <v>0.5</v>
      </c>
      <c r="J795" s="17" t="s">
        <v>2599</v>
      </c>
      <c r="K795" s="17" t="s">
        <v>1910</v>
      </c>
      <c r="L795" s="17" t="s">
        <v>2</v>
      </c>
      <c r="M795" s="65">
        <v>8120013063</v>
      </c>
      <c r="N795" s="16">
        <v>359857084514900</v>
      </c>
      <c r="O795" s="16" t="s">
        <v>39</v>
      </c>
      <c r="P795" s="17" t="s">
        <v>1783</v>
      </c>
      <c r="Q795" s="17" t="s">
        <v>2559</v>
      </c>
      <c r="R795" s="40">
        <v>1999.84</v>
      </c>
      <c r="S795" s="19" t="s">
        <v>2560</v>
      </c>
      <c r="T795" s="17"/>
      <c r="U795" s="66"/>
    </row>
    <row r="796" spans="2:21" s="15" customFormat="1" ht="29" x14ac:dyDescent="0.35">
      <c r="B796" s="64">
        <v>45351</v>
      </c>
      <c r="C796" s="17">
        <v>707</v>
      </c>
      <c r="D796" s="85">
        <v>657</v>
      </c>
      <c r="E796" s="85" t="s">
        <v>1784</v>
      </c>
      <c r="F796" s="85" t="s">
        <v>13</v>
      </c>
      <c r="G796" s="17" t="s">
        <v>5</v>
      </c>
      <c r="H796" s="17" t="s">
        <v>1720</v>
      </c>
      <c r="I796" s="145"/>
      <c r="J796" s="17" t="s">
        <v>1785</v>
      </c>
      <c r="K796" s="17" t="s">
        <v>1790</v>
      </c>
      <c r="L796" s="17" t="s">
        <v>2</v>
      </c>
      <c r="M796" s="65">
        <v>8111819673</v>
      </c>
      <c r="N796" s="16">
        <v>868166058820721</v>
      </c>
      <c r="O796" s="16"/>
      <c r="P796" s="17" t="s">
        <v>1791</v>
      </c>
      <c r="Q796" s="14" t="s">
        <v>8</v>
      </c>
      <c r="R796" s="40">
        <v>1999.84</v>
      </c>
      <c r="S796" s="41">
        <v>174</v>
      </c>
      <c r="T796" s="17"/>
      <c r="U796" s="66"/>
    </row>
    <row r="797" spans="2:21" s="15" customFormat="1" ht="43.5" x14ac:dyDescent="0.35">
      <c r="B797" s="64">
        <v>45352</v>
      </c>
      <c r="C797" s="17">
        <v>708</v>
      </c>
      <c r="D797" s="85" t="s">
        <v>4137</v>
      </c>
      <c r="E797" s="85" t="s">
        <v>1796</v>
      </c>
      <c r="F797" s="85" t="s">
        <v>13</v>
      </c>
      <c r="G797" s="17" t="s">
        <v>5</v>
      </c>
      <c r="H797" s="17" t="s">
        <v>2413</v>
      </c>
      <c r="I797" s="145" t="s">
        <v>56</v>
      </c>
      <c r="J797" s="17" t="s">
        <v>4101</v>
      </c>
      <c r="K797" s="17" t="s">
        <v>1797</v>
      </c>
      <c r="L797" s="17" t="s">
        <v>2</v>
      </c>
      <c r="M797" s="65">
        <v>8120364365</v>
      </c>
      <c r="N797" s="16">
        <v>868166058820630</v>
      </c>
      <c r="O797" s="16" t="s">
        <v>4158</v>
      </c>
      <c r="P797" s="17" t="s">
        <v>4157</v>
      </c>
      <c r="Q797" s="14" t="s">
        <v>8</v>
      </c>
      <c r="R797" s="40">
        <v>1999.84</v>
      </c>
      <c r="S797" s="19" t="s">
        <v>4147</v>
      </c>
      <c r="T797" s="17"/>
      <c r="U797" s="66"/>
    </row>
    <row r="798" spans="2:21" s="15" customFormat="1" ht="65" x14ac:dyDescent="0.35">
      <c r="B798" s="64">
        <v>45353</v>
      </c>
      <c r="C798" s="17">
        <v>709</v>
      </c>
      <c r="D798" s="85" t="s">
        <v>4137</v>
      </c>
      <c r="E798" s="85" t="s">
        <v>1799</v>
      </c>
      <c r="F798" s="85" t="s">
        <v>213</v>
      </c>
      <c r="G798" s="17" t="s">
        <v>5</v>
      </c>
      <c r="H798" s="17" t="s">
        <v>1800</v>
      </c>
      <c r="I798" s="145">
        <v>0.625</v>
      </c>
      <c r="J798" s="17" t="s">
        <v>4156</v>
      </c>
      <c r="K798" s="17" t="s">
        <v>1797</v>
      </c>
      <c r="L798" s="17" t="s">
        <v>965</v>
      </c>
      <c r="M798" s="65">
        <v>8120364365</v>
      </c>
      <c r="N798" s="16">
        <v>868166058820630</v>
      </c>
      <c r="O798" s="16" t="s">
        <v>4158</v>
      </c>
      <c r="P798" s="17" t="s">
        <v>4157</v>
      </c>
      <c r="Q798" s="94" t="s">
        <v>1801</v>
      </c>
      <c r="R798" s="40">
        <v>290</v>
      </c>
      <c r="S798" s="19" t="s">
        <v>4147</v>
      </c>
      <c r="T798" s="17"/>
      <c r="U798" s="66"/>
    </row>
    <row r="799" spans="2:21" s="15" customFormat="1" ht="29" x14ac:dyDescent="0.35">
      <c r="B799" s="64">
        <v>45357</v>
      </c>
      <c r="C799" s="17">
        <v>710</v>
      </c>
      <c r="D799" s="85" t="s">
        <v>4017</v>
      </c>
      <c r="E799" s="85" t="s">
        <v>1798</v>
      </c>
      <c r="F799" s="85" t="s">
        <v>13</v>
      </c>
      <c r="G799" s="17" t="s">
        <v>5</v>
      </c>
      <c r="H799" s="17" t="s">
        <v>1802</v>
      </c>
      <c r="I799" s="145">
        <v>0.625</v>
      </c>
      <c r="J799" s="17" t="s">
        <v>4312</v>
      </c>
      <c r="K799" s="17" t="s">
        <v>1803</v>
      </c>
      <c r="L799" s="17" t="s">
        <v>965</v>
      </c>
      <c r="M799" s="65">
        <v>8119174114</v>
      </c>
      <c r="N799" s="16">
        <v>868166058820275</v>
      </c>
      <c r="O799" s="16" t="s">
        <v>39</v>
      </c>
      <c r="P799" s="17" t="s">
        <v>1804</v>
      </c>
      <c r="Q799" s="17" t="s">
        <v>4174</v>
      </c>
      <c r="R799" s="40">
        <v>1999.84</v>
      </c>
      <c r="S799" s="19" t="s">
        <v>3584</v>
      </c>
      <c r="T799" s="17"/>
      <c r="U799" s="66"/>
    </row>
    <row r="800" spans="2:21" s="15" customFormat="1" ht="29" x14ac:dyDescent="0.35">
      <c r="B800" s="64">
        <v>45357</v>
      </c>
      <c r="C800" s="17">
        <v>711</v>
      </c>
      <c r="D800" s="85" t="s">
        <v>4138</v>
      </c>
      <c r="E800" s="85" t="s">
        <v>1798</v>
      </c>
      <c r="F800" s="85" t="s">
        <v>13</v>
      </c>
      <c r="G800" s="17" t="s">
        <v>1805</v>
      </c>
      <c r="H800" s="17" t="s">
        <v>1715</v>
      </c>
      <c r="I800" s="145">
        <v>0.70833333333333337</v>
      </c>
      <c r="J800" s="17" t="s">
        <v>4159</v>
      </c>
      <c r="K800" s="17" t="s">
        <v>1807</v>
      </c>
      <c r="L800" s="17" t="s">
        <v>2</v>
      </c>
      <c r="M800" s="65">
        <v>8120364407</v>
      </c>
      <c r="N800" s="16">
        <v>868166058820747</v>
      </c>
      <c r="O800" s="16" t="s">
        <v>39</v>
      </c>
      <c r="P800" s="17" t="s">
        <v>1806</v>
      </c>
      <c r="Q800" s="17" t="s">
        <v>2559</v>
      </c>
      <c r="R800" s="40">
        <v>1999.84</v>
      </c>
      <c r="S800" s="41" t="s">
        <v>4147</v>
      </c>
      <c r="T800" s="17"/>
      <c r="U800" s="66"/>
    </row>
    <row r="801" spans="2:21" s="15" customFormat="1" ht="29" x14ac:dyDescent="0.35">
      <c r="B801" s="64">
        <v>45358</v>
      </c>
      <c r="C801" s="17">
        <v>712</v>
      </c>
      <c r="D801" s="85" t="s">
        <v>4019</v>
      </c>
      <c r="E801" s="85" t="s">
        <v>1808</v>
      </c>
      <c r="F801" s="85" t="s">
        <v>13</v>
      </c>
      <c r="G801" s="17" t="s">
        <v>5</v>
      </c>
      <c r="H801" s="17" t="s">
        <v>1720</v>
      </c>
      <c r="I801" s="145">
        <v>0.58333333333333337</v>
      </c>
      <c r="J801" s="17" t="s">
        <v>4313</v>
      </c>
      <c r="K801" s="17" t="s">
        <v>4020</v>
      </c>
      <c r="L801" s="17" t="s">
        <v>2</v>
      </c>
      <c r="M801" s="65">
        <v>8115778037</v>
      </c>
      <c r="N801" s="16">
        <v>868166058821133</v>
      </c>
      <c r="O801" s="16" t="s">
        <v>4022</v>
      </c>
      <c r="P801" s="17" t="s">
        <v>4314</v>
      </c>
      <c r="Q801" s="17" t="s">
        <v>4174</v>
      </c>
      <c r="R801" s="40">
        <v>1999.84</v>
      </c>
      <c r="S801" s="19" t="s">
        <v>3584</v>
      </c>
      <c r="T801" s="17"/>
      <c r="U801" s="66"/>
    </row>
    <row r="802" spans="2:21" s="15" customFormat="1" ht="29" x14ac:dyDescent="0.35">
      <c r="B802" s="64">
        <v>45358</v>
      </c>
      <c r="C802" s="17">
        <v>713</v>
      </c>
      <c r="D802" s="85" t="s">
        <v>4024</v>
      </c>
      <c r="E802" s="85" t="s">
        <v>1808</v>
      </c>
      <c r="F802" s="85" t="s">
        <v>13</v>
      </c>
      <c r="G802" s="17" t="s">
        <v>1805</v>
      </c>
      <c r="H802" s="17" t="s">
        <v>989</v>
      </c>
      <c r="I802" s="145">
        <v>0.66666666666666663</v>
      </c>
      <c r="J802" s="17" t="s">
        <v>26</v>
      </c>
      <c r="K802" s="17" t="s">
        <v>1809</v>
      </c>
      <c r="L802" s="17" t="s">
        <v>965</v>
      </c>
      <c r="M802" s="65">
        <v>8123540935</v>
      </c>
      <c r="N802" s="16">
        <v>868166058820390</v>
      </c>
      <c r="O802" s="16" t="s">
        <v>4026</v>
      </c>
      <c r="P802" s="17" t="s">
        <v>4025</v>
      </c>
      <c r="Q802" s="17" t="s">
        <v>4174</v>
      </c>
      <c r="R802" s="40">
        <v>1999.84</v>
      </c>
      <c r="S802" s="19" t="s">
        <v>3584</v>
      </c>
      <c r="T802" s="17"/>
      <c r="U802" s="66"/>
    </row>
    <row r="803" spans="2:21" s="15" customFormat="1" ht="29" x14ac:dyDescent="0.35">
      <c r="B803" s="64">
        <v>45359</v>
      </c>
      <c r="C803" s="17">
        <v>712</v>
      </c>
      <c r="D803" s="85" t="s">
        <v>3410</v>
      </c>
      <c r="E803" s="85" t="s">
        <v>1810</v>
      </c>
      <c r="F803" s="85" t="s">
        <v>13</v>
      </c>
      <c r="G803" s="17" t="s">
        <v>5</v>
      </c>
      <c r="H803" s="17" t="s">
        <v>3519</v>
      </c>
      <c r="I803" s="145">
        <v>0.52083333333333337</v>
      </c>
      <c r="J803" s="17" t="s">
        <v>3518</v>
      </c>
      <c r="K803" s="17" t="s">
        <v>1811</v>
      </c>
      <c r="L803" s="17" t="s">
        <v>965</v>
      </c>
      <c r="M803" s="65">
        <v>8119901787</v>
      </c>
      <c r="N803" s="16">
        <v>868166058820440</v>
      </c>
      <c r="O803" s="16" t="s">
        <v>3470</v>
      </c>
      <c r="P803" s="17" t="s">
        <v>3469</v>
      </c>
      <c r="Q803" s="17" t="s">
        <v>2559</v>
      </c>
      <c r="R803" s="40">
        <v>1999.84</v>
      </c>
      <c r="S803" s="19" t="s">
        <v>3329</v>
      </c>
      <c r="T803" s="17"/>
      <c r="U803" s="66"/>
    </row>
    <row r="804" spans="2:21" s="15" customFormat="1" ht="29" x14ac:dyDescent="0.35">
      <c r="B804" s="64">
        <v>45362</v>
      </c>
      <c r="C804" s="17">
        <v>713</v>
      </c>
      <c r="D804" s="36" t="s">
        <v>39</v>
      </c>
      <c r="E804" s="36" t="s">
        <v>39</v>
      </c>
      <c r="F804" s="85" t="s">
        <v>40</v>
      </c>
      <c r="G804" s="17" t="s">
        <v>5</v>
      </c>
      <c r="H804" s="17" t="s">
        <v>1813</v>
      </c>
      <c r="I804" s="145"/>
      <c r="J804" s="17" t="s">
        <v>1814</v>
      </c>
      <c r="K804" s="17" t="s">
        <v>1815</v>
      </c>
      <c r="L804" s="17" t="s">
        <v>965</v>
      </c>
      <c r="M804" s="65" t="s">
        <v>39</v>
      </c>
      <c r="N804" s="16" t="s">
        <v>39</v>
      </c>
      <c r="O804" s="16"/>
      <c r="P804" s="17" t="s">
        <v>39</v>
      </c>
      <c r="Q804" s="14" t="s">
        <v>1816</v>
      </c>
      <c r="R804" s="40">
        <v>290</v>
      </c>
      <c r="S804" s="41">
        <v>0</v>
      </c>
      <c r="T804" s="17"/>
      <c r="U804" s="66"/>
    </row>
    <row r="805" spans="2:21" s="15" customFormat="1" ht="29" x14ac:dyDescent="0.35">
      <c r="B805" s="64">
        <v>45362</v>
      </c>
      <c r="C805" s="17">
        <v>713</v>
      </c>
      <c r="D805" s="85" t="s">
        <v>3082</v>
      </c>
      <c r="E805" s="85" t="s">
        <v>1812</v>
      </c>
      <c r="F805" s="85" t="s">
        <v>13</v>
      </c>
      <c r="G805" s="17" t="s">
        <v>5</v>
      </c>
      <c r="H805" s="17" t="s">
        <v>1817</v>
      </c>
      <c r="I805" s="145" t="s">
        <v>3232</v>
      </c>
      <c r="J805" s="17" t="s">
        <v>3241</v>
      </c>
      <c r="K805" s="17" t="s">
        <v>1818</v>
      </c>
      <c r="L805" s="17" t="s">
        <v>965</v>
      </c>
      <c r="M805" s="65">
        <v>8134059605</v>
      </c>
      <c r="N805" s="16">
        <v>868166058822008</v>
      </c>
      <c r="O805" s="16" t="s">
        <v>3244</v>
      </c>
      <c r="P805" s="17" t="s">
        <v>3242</v>
      </c>
      <c r="Q805" s="17" t="s">
        <v>2559</v>
      </c>
      <c r="R805" s="40">
        <v>1999.84</v>
      </c>
      <c r="S805" s="19" t="s">
        <v>2977</v>
      </c>
      <c r="T805" s="17"/>
      <c r="U805" s="66"/>
    </row>
    <row r="806" spans="2:21" s="15" customFormat="1" ht="29" x14ac:dyDescent="0.35">
      <c r="B806" s="64">
        <v>45373</v>
      </c>
      <c r="C806" s="17">
        <v>714</v>
      </c>
      <c r="D806" s="134" t="s">
        <v>4262</v>
      </c>
      <c r="E806" s="85" t="s">
        <v>1819</v>
      </c>
      <c r="F806" s="85" t="s">
        <v>13</v>
      </c>
      <c r="G806" s="17" t="s">
        <v>5</v>
      </c>
      <c r="H806" s="17" t="s">
        <v>1820</v>
      </c>
      <c r="I806" s="145" t="s">
        <v>4277</v>
      </c>
      <c r="J806" s="17" t="s">
        <v>4278</v>
      </c>
      <c r="K806" s="17" t="s">
        <v>1821</v>
      </c>
      <c r="L806" s="17" t="s">
        <v>2</v>
      </c>
      <c r="M806" s="65">
        <v>8134059952</v>
      </c>
      <c r="N806" s="16">
        <v>868166058825803</v>
      </c>
      <c r="O806" s="16" t="s">
        <v>4280</v>
      </c>
      <c r="P806" s="17" t="s">
        <v>4279</v>
      </c>
      <c r="Q806" s="17" t="s">
        <v>2559</v>
      </c>
      <c r="R806" s="40">
        <v>1999.84</v>
      </c>
      <c r="S806" s="19" t="s">
        <v>4265</v>
      </c>
      <c r="T806" s="17"/>
      <c r="U806" s="66"/>
    </row>
    <row r="807" spans="2:21" s="15" customFormat="1" ht="29" x14ac:dyDescent="0.35">
      <c r="B807" s="64">
        <v>45376</v>
      </c>
      <c r="C807" s="17">
        <v>715</v>
      </c>
      <c r="D807" s="74" t="s">
        <v>5035</v>
      </c>
      <c r="E807" s="85" t="s">
        <v>1822</v>
      </c>
      <c r="F807" s="85" t="s">
        <v>13</v>
      </c>
      <c r="G807" s="17" t="s">
        <v>5</v>
      </c>
      <c r="H807" s="14" t="s">
        <v>1744</v>
      </c>
      <c r="I807" s="145" t="s">
        <v>4277</v>
      </c>
      <c r="J807" s="17" t="s">
        <v>5137</v>
      </c>
      <c r="K807" s="17" t="s">
        <v>1823</v>
      </c>
      <c r="L807" s="17" t="s">
        <v>2</v>
      </c>
      <c r="M807" s="65">
        <v>8115777406</v>
      </c>
      <c r="N807" s="16">
        <v>868166058825571</v>
      </c>
      <c r="O807" s="16" t="s">
        <v>39</v>
      </c>
      <c r="P807" s="17" t="s">
        <v>1824</v>
      </c>
      <c r="Q807" s="14" t="s">
        <v>8</v>
      </c>
      <c r="R807" s="40">
        <v>1999.84</v>
      </c>
      <c r="S807" s="19" t="s">
        <v>5002</v>
      </c>
      <c r="T807" s="17"/>
      <c r="U807" s="66"/>
    </row>
    <row r="808" spans="2:21" s="15" customFormat="1" ht="29" x14ac:dyDescent="0.35">
      <c r="B808" s="64">
        <v>45376</v>
      </c>
      <c r="C808" s="17">
        <v>716</v>
      </c>
      <c r="D808" s="74" t="s">
        <v>5036</v>
      </c>
      <c r="E808" s="85" t="s">
        <v>1822</v>
      </c>
      <c r="F808" s="85" t="s">
        <v>13</v>
      </c>
      <c r="G808" s="17" t="s">
        <v>5</v>
      </c>
      <c r="H808" s="14" t="s">
        <v>1744</v>
      </c>
      <c r="I808" s="145" t="s">
        <v>4277</v>
      </c>
      <c r="J808" s="17" t="s">
        <v>5138</v>
      </c>
      <c r="K808" s="17" t="s">
        <v>1825</v>
      </c>
      <c r="L808" s="17" t="s">
        <v>2</v>
      </c>
      <c r="M808" s="65">
        <v>8115296078</v>
      </c>
      <c r="N808" s="16">
        <v>868166058822388</v>
      </c>
      <c r="O808" s="16" t="s">
        <v>39</v>
      </c>
      <c r="P808" s="17" t="s">
        <v>1826</v>
      </c>
      <c r="Q808" s="14" t="s">
        <v>8</v>
      </c>
      <c r="R808" s="40">
        <v>1999.84</v>
      </c>
      <c r="S808" s="19" t="s">
        <v>5002</v>
      </c>
      <c r="T808" s="17"/>
      <c r="U808" s="66"/>
    </row>
    <row r="809" spans="2:21" s="15" customFormat="1" ht="29" x14ac:dyDescent="0.35">
      <c r="B809" s="64">
        <v>45376</v>
      </c>
      <c r="C809" s="17">
        <v>717</v>
      </c>
      <c r="D809" s="85" t="s">
        <v>3411</v>
      </c>
      <c r="E809" s="85" t="s">
        <v>1822</v>
      </c>
      <c r="F809" s="85" t="s">
        <v>13</v>
      </c>
      <c r="G809" s="17" t="s">
        <v>5</v>
      </c>
      <c r="H809" s="17" t="s">
        <v>1720</v>
      </c>
      <c r="I809" s="145" t="s">
        <v>3232</v>
      </c>
      <c r="J809" s="121" t="s">
        <v>3368</v>
      </c>
      <c r="K809" s="17" t="s">
        <v>1827</v>
      </c>
      <c r="L809" s="17" t="s">
        <v>965</v>
      </c>
      <c r="M809" s="65">
        <v>8135512518</v>
      </c>
      <c r="N809" s="16">
        <v>868166058822321</v>
      </c>
      <c r="O809" s="16" t="s">
        <v>39</v>
      </c>
      <c r="P809" s="17" t="s">
        <v>1828</v>
      </c>
      <c r="Q809" s="17" t="s">
        <v>2559</v>
      </c>
      <c r="R809" s="40">
        <v>1999.84</v>
      </c>
      <c r="S809" s="19" t="s">
        <v>3329</v>
      </c>
      <c r="T809" s="17"/>
      <c r="U809" s="66"/>
    </row>
    <row r="810" spans="2:21" s="15" customFormat="1" ht="29" x14ac:dyDescent="0.35">
      <c r="B810" s="64">
        <v>45377</v>
      </c>
      <c r="C810" s="17">
        <v>718</v>
      </c>
      <c r="D810" s="85">
        <v>669</v>
      </c>
      <c r="E810" s="85" t="s">
        <v>1829</v>
      </c>
      <c r="F810" s="85" t="s">
        <v>13</v>
      </c>
      <c r="G810" s="17" t="s">
        <v>1805</v>
      </c>
      <c r="H810" s="17" t="s">
        <v>989</v>
      </c>
      <c r="I810" s="145"/>
      <c r="J810" s="17" t="s">
        <v>1831</v>
      </c>
      <c r="K810" s="17" t="s">
        <v>1833</v>
      </c>
      <c r="L810" s="17" t="s">
        <v>2</v>
      </c>
      <c r="M810" s="65">
        <v>8110703129</v>
      </c>
      <c r="N810" s="16">
        <v>868166058822172</v>
      </c>
      <c r="O810" s="16"/>
      <c r="P810" s="17" t="s">
        <v>1832</v>
      </c>
      <c r="Q810" s="14" t="s">
        <v>8</v>
      </c>
      <c r="R810" s="40">
        <v>1999.84</v>
      </c>
      <c r="S810" s="41">
        <v>174</v>
      </c>
      <c r="T810" s="17"/>
      <c r="U810" s="66"/>
    </row>
    <row r="811" spans="2:21" s="15" customFormat="1" ht="29" x14ac:dyDescent="0.35">
      <c r="B811" s="64">
        <v>45377</v>
      </c>
      <c r="C811" s="17">
        <v>719</v>
      </c>
      <c r="D811" s="74" t="s">
        <v>5037</v>
      </c>
      <c r="E811" s="85" t="s">
        <v>1829</v>
      </c>
      <c r="F811" s="85" t="s">
        <v>13</v>
      </c>
      <c r="G811" s="17" t="s">
        <v>5</v>
      </c>
      <c r="H811" s="17" t="s">
        <v>1830</v>
      </c>
      <c r="I811" s="145" t="s">
        <v>4609</v>
      </c>
      <c r="J811" s="17" t="s">
        <v>5139</v>
      </c>
      <c r="K811" s="17" t="s">
        <v>1834</v>
      </c>
      <c r="L811" s="17" t="s">
        <v>2</v>
      </c>
      <c r="M811" s="65">
        <v>8115000996</v>
      </c>
      <c r="N811" s="16">
        <v>868166058821737</v>
      </c>
      <c r="O811" s="16" t="s">
        <v>5141</v>
      </c>
      <c r="P811" s="17" t="s">
        <v>5140</v>
      </c>
      <c r="Q811" s="14" t="s">
        <v>8</v>
      </c>
      <c r="R811" s="40">
        <v>1999.84</v>
      </c>
      <c r="S811" s="19" t="s">
        <v>5002</v>
      </c>
      <c r="T811" s="17"/>
      <c r="U811" s="66"/>
    </row>
    <row r="812" spans="2:21" s="15" customFormat="1" ht="29" x14ac:dyDescent="0.35">
      <c r="B812" s="64">
        <v>45384</v>
      </c>
      <c r="C812" s="17">
        <v>720</v>
      </c>
      <c r="D812" s="85" t="s">
        <v>4027</v>
      </c>
      <c r="E812" s="85" t="s">
        <v>1835</v>
      </c>
      <c r="F812" s="85" t="s">
        <v>13</v>
      </c>
      <c r="G812" s="17" t="s">
        <v>1805</v>
      </c>
      <c r="H812" s="17" t="s">
        <v>989</v>
      </c>
      <c r="I812" s="145" t="s">
        <v>4277</v>
      </c>
      <c r="J812" s="17" t="s">
        <v>26</v>
      </c>
      <c r="K812" s="17" t="s">
        <v>1837</v>
      </c>
      <c r="L812" s="17" t="s">
        <v>2</v>
      </c>
      <c r="M812" s="65">
        <v>8119168100</v>
      </c>
      <c r="N812" s="16">
        <v>868166058823014</v>
      </c>
      <c r="O812" s="16" t="s">
        <v>4029</v>
      </c>
      <c r="P812" s="17" t="s">
        <v>4028</v>
      </c>
      <c r="Q812" s="17" t="s">
        <v>4174</v>
      </c>
      <c r="R812" s="40">
        <v>1999.84</v>
      </c>
      <c r="S812" s="19" t="s">
        <v>3584</v>
      </c>
      <c r="T812" s="17"/>
      <c r="U812" s="66"/>
    </row>
    <row r="813" spans="2:21" s="15" customFormat="1" ht="29" x14ac:dyDescent="0.35">
      <c r="B813" s="64">
        <v>45384</v>
      </c>
      <c r="C813" s="17">
        <v>721</v>
      </c>
      <c r="D813" s="85" t="s">
        <v>4030</v>
      </c>
      <c r="E813" s="85" t="s">
        <v>1835</v>
      </c>
      <c r="F813" s="85" t="s">
        <v>13</v>
      </c>
      <c r="G813" s="17" t="s">
        <v>5</v>
      </c>
      <c r="H813" s="17" t="s">
        <v>1838</v>
      </c>
      <c r="I813" s="145" t="s">
        <v>4277</v>
      </c>
      <c r="J813" s="17" t="s">
        <v>4315</v>
      </c>
      <c r="K813" s="17" t="s">
        <v>1839</v>
      </c>
      <c r="L813" s="17" t="s">
        <v>965</v>
      </c>
      <c r="M813" s="65">
        <v>8119165093</v>
      </c>
      <c r="N813" s="16">
        <v>868166058822792</v>
      </c>
      <c r="O813" s="16" t="s">
        <v>4033</v>
      </c>
      <c r="P813" s="17" t="s">
        <v>4032</v>
      </c>
      <c r="Q813" s="17" t="s">
        <v>4174</v>
      </c>
      <c r="R813" s="40">
        <v>1999.84</v>
      </c>
      <c r="S813" s="19" t="s">
        <v>3584</v>
      </c>
      <c r="T813" s="17"/>
      <c r="U813" s="66"/>
    </row>
    <row r="814" spans="2:21" s="15" customFormat="1" ht="29" x14ac:dyDescent="0.35">
      <c r="B814" s="64">
        <v>45385</v>
      </c>
      <c r="C814" s="17">
        <v>722</v>
      </c>
      <c r="D814" s="85" t="s">
        <v>4144</v>
      </c>
      <c r="E814" s="85" t="s">
        <v>1840</v>
      </c>
      <c r="F814" s="85" t="s">
        <v>13</v>
      </c>
      <c r="G814" s="17" t="s">
        <v>5</v>
      </c>
      <c r="H814" s="14" t="s">
        <v>1786</v>
      </c>
      <c r="I814" s="145">
        <v>0.47916666666666669</v>
      </c>
      <c r="J814" s="17" t="s">
        <v>4168</v>
      </c>
      <c r="K814" s="17" t="s">
        <v>1842</v>
      </c>
      <c r="L814" s="17" t="s">
        <v>965</v>
      </c>
      <c r="M814" s="65">
        <v>8119168050</v>
      </c>
      <c r="N814" s="16">
        <v>868166058822677</v>
      </c>
      <c r="O814" s="16" t="s">
        <v>39</v>
      </c>
      <c r="P814" s="17" t="s">
        <v>1841</v>
      </c>
      <c r="Q814" s="17" t="s">
        <v>2559</v>
      </c>
      <c r="R814" s="40">
        <v>1999.84</v>
      </c>
      <c r="S814" s="19" t="s">
        <v>4147</v>
      </c>
      <c r="T814" s="17"/>
      <c r="U814" s="66"/>
    </row>
    <row r="815" spans="2:21" s="15" customFormat="1" ht="29" x14ac:dyDescent="0.35">
      <c r="B815" s="64">
        <v>45385</v>
      </c>
      <c r="C815" s="17">
        <v>723</v>
      </c>
      <c r="D815" s="85" t="s">
        <v>4787</v>
      </c>
      <c r="E815" s="85" t="s">
        <v>1840</v>
      </c>
      <c r="F815" s="85" t="s">
        <v>13</v>
      </c>
      <c r="G815" s="17" t="s">
        <v>5</v>
      </c>
      <c r="H815" s="17" t="s">
        <v>1720</v>
      </c>
      <c r="I815" s="145" t="s">
        <v>4277</v>
      </c>
      <c r="J815" s="17" t="s">
        <v>4804</v>
      </c>
      <c r="K815" s="17" t="s">
        <v>4779</v>
      </c>
      <c r="L815" s="17" t="s">
        <v>2</v>
      </c>
      <c r="M815" s="65">
        <v>8119176079</v>
      </c>
      <c r="N815" s="16">
        <v>868166058822230</v>
      </c>
      <c r="O815" s="16" t="s">
        <v>4803</v>
      </c>
      <c r="P815" s="17" t="s">
        <v>4802</v>
      </c>
      <c r="Q815" s="17" t="s">
        <v>2559</v>
      </c>
      <c r="R815" s="40">
        <v>1999.84</v>
      </c>
      <c r="S815" s="19" t="s">
        <v>4776</v>
      </c>
      <c r="T815" s="17"/>
      <c r="U815" s="66"/>
    </row>
    <row r="816" spans="2:21" s="15" customFormat="1" ht="29" x14ac:dyDescent="0.35">
      <c r="B816" s="64">
        <v>45385</v>
      </c>
      <c r="C816" s="17">
        <v>724</v>
      </c>
      <c r="D816" s="74" t="s">
        <v>5038</v>
      </c>
      <c r="E816" s="85" t="s">
        <v>1840</v>
      </c>
      <c r="F816" s="85" t="s">
        <v>13</v>
      </c>
      <c r="G816" s="17" t="s">
        <v>1805</v>
      </c>
      <c r="H816" s="14" t="s">
        <v>1786</v>
      </c>
      <c r="I816" s="145" t="s">
        <v>4277</v>
      </c>
      <c r="J816" s="17" t="s">
        <v>24</v>
      </c>
      <c r="K816" s="17" t="s">
        <v>1843</v>
      </c>
      <c r="L816" s="17" t="s">
        <v>2</v>
      </c>
      <c r="M816" s="65">
        <v>8119168862</v>
      </c>
      <c r="N816" s="16">
        <v>868166058825480</v>
      </c>
      <c r="O816" s="16" t="s">
        <v>5143</v>
      </c>
      <c r="P816" s="17" t="s">
        <v>5142</v>
      </c>
      <c r="Q816" s="14" t="s">
        <v>8</v>
      </c>
      <c r="R816" s="40">
        <v>1999.84</v>
      </c>
      <c r="S816" s="19" t="s">
        <v>5002</v>
      </c>
      <c r="T816" s="17"/>
      <c r="U816" s="66"/>
    </row>
    <row r="817" spans="2:21" s="15" customFormat="1" ht="29" x14ac:dyDescent="0.35">
      <c r="B817" s="64">
        <v>45386</v>
      </c>
      <c r="C817" s="17">
        <v>725</v>
      </c>
      <c r="D817" s="74" t="s">
        <v>5039</v>
      </c>
      <c r="E817" s="85" t="s">
        <v>1844</v>
      </c>
      <c r="F817" s="85" t="s">
        <v>13</v>
      </c>
      <c r="G817" s="17" t="s">
        <v>5</v>
      </c>
      <c r="H817" s="17" t="s">
        <v>1845</v>
      </c>
      <c r="I817" s="145" t="s">
        <v>4619</v>
      </c>
      <c r="J817" s="17" t="s">
        <v>5144</v>
      </c>
      <c r="K817" s="17" t="s">
        <v>1846</v>
      </c>
      <c r="L817" s="17" t="s">
        <v>965</v>
      </c>
      <c r="M817" s="65">
        <v>8119165107</v>
      </c>
      <c r="N817" s="16">
        <v>868166058821950</v>
      </c>
      <c r="O817" s="16" t="s">
        <v>5146</v>
      </c>
      <c r="P817" s="17" t="s">
        <v>5145</v>
      </c>
      <c r="Q817" s="14" t="s">
        <v>8</v>
      </c>
      <c r="R817" s="40">
        <v>1999.84</v>
      </c>
      <c r="S817" s="19" t="s">
        <v>5002</v>
      </c>
      <c r="T817" s="17"/>
      <c r="U817" s="66"/>
    </row>
    <row r="818" spans="2:21" s="15" customFormat="1" ht="29" x14ac:dyDescent="0.35">
      <c r="B818" s="64">
        <v>45386</v>
      </c>
      <c r="C818" s="17">
        <v>726</v>
      </c>
      <c r="D818" s="124" t="s">
        <v>3604</v>
      </c>
      <c r="E818" s="85" t="s">
        <v>1844</v>
      </c>
      <c r="F818" s="85" t="s">
        <v>13</v>
      </c>
      <c r="G818" s="17" t="s">
        <v>5</v>
      </c>
      <c r="H818" s="17" t="s">
        <v>4083</v>
      </c>
      <c r="I818" s="145">
        <v>0.625</v>
      </c>
      <c r="J818" s="17" t="s">
        <v>24</v>
      </c>
      <c r="K818" s="17" t="s">
        <v>1847</v>
      </c>
      <c r="L818" s="17" t="s">
        <v>965</v>
      </c>
      <c r="M818" s="65">
        <v>8119168081</v>
      </c>
      <c r="N818" s="16">
        <v>868166058822941</v>
      </c>
      <c r="O818" s="16" t="s">
        <v>3622</v>
      </c>
      <c r="P818" s="17" t="s">
        <v>3621</v>
      </c>
      <c r="Q818" s="17" t="s">
        <v>2559</v>
      </c>
      <c r="R818" s="40">
        <v>1999.84</v>
      </c>
      <c r="S818" s="19" t="s">
        <v>3584</v>
      </c>
      <c r="T818" s="17"/>
      <c r="U818" s="66"/>
    </row>
    <row r="819" spans="2:21" s="15" customFormat="1" ht="29" x14ac:dyDescent="0.35">
      <c r="B819" s="64">
        <v>45387</v>
      </c>
      <c r="C819" s="17">
        <v>727</v>
      </c>
      <c r="D819" s="74" t="s">
        <v>5040</v>
      </c>
      <c r="E819" s="85" t="s">
        <v>1848</v>
      </c>
      <c r="F819" s="85" t="s">
        <v>13</v>
      </c>
      <c r="G819" s="17" t="s">
        <v>1805</v>
      </c>
      <c r="H819" s="14" t="s">
        <v>1767</v>
      </c>
      <c r="I819" s="145" t="s">
        <v>4605</v>
      </c>
      <c r="J819" s="17" t="s">
        <v>24</v>
      </c>
      <c r="K819" s="17" t="s">
        <v>1850</v>
      </c>
      <c r="L819" s="17" t="s">
        <v>965</v>
      </c>
      <c r="M819" s="65">
        <v>8119881349</v>
      </c>
      <c r="N819" s="16">
        <v>868166059177428</v>
      </c>
      <c r="O819" s="16" t="s">
        <v>39</v>
      </c>
      <c r="P819" s="17" t="s">
        <v>1851</v>
      </c>
      <c r="Q819" s="14" t="s">
        <v>8</v>
      </c>
      <c r="R819" s="40">
        <v>1999.84</v>
      </c>
      <c r="S819" s="19" t="s">
        <v>5002</v>
      </c>
      <c r="T819" s="17"/>
      <c r="U819" s="66"/>
    </row>
    <row r="820" spans="2:21" s="15" customFormat="1" ht="29" x14ac:dyDescent="0.35">
      <c r="B820" s="64">
        <v>45387</v>
      </c>
      <c r="C820" s="17">
        <v>728</v>
      </c>
      <c r="D820" s="36" t="s">
        <v>1944</v>
      </c>
      <c r="E820" s="85" t="s">
        <v>1852</v>
      </c>
      <c r="F820" s="85" t="s">
        <v>6</v>
      </c>
      <c r="G820" s="17" t="s">
        <v>5</v>
      </c>
      <c r="H820" s="17" t="s">
        <v>1849</v>
      </c>
      <c r="I820" s="145">
        <v>0.625</v>
      </c>
      <c r="J820" s="17" t="s">
        <v>3520</v>
      </c>
      <c r="K820" s="17" t="s">
        <v>1091</v>
      </c>
      <c r="L820" s="17" t="s">
        <v>965</v>
      </c>
      <c r="M820" s="38">
        <v>8120010508</v>
      </c>
      <c r="N820" s="16">
        <v>865011031937544</v>
      </c>
      <c r="O820" s="16" t="s">
        <v>620</v>
      </c>
      <c r="P820" s="14" t="s">
        <v>3522</v>
      </c>
      <c r="Q820" s="74" t="s">
        <v>2843</v>
      </c>
      <c r="R820" s="40">
        <v>754</v>
      </c>
      <c r="S820" s="41" t="s">
        <v>2792</v>
      </c>
      <c r="T820" s="17" t="s">
        <v>2793</v>
      </c>
      <c r="U820" s="66"/>
    </row>
    <row r="821" spans="2:21" s="15" customFormat="1" ht="29" x14ac:dyDescent="0.35">
      <c r="B821" s="64">
        <v>45391</v>
      </c>
      <c r="C821" s="17">
        <v>729</v>
      </c>
      <c r="D821" s="74" t="s">
        <v>5041</v>
      </c>
      <c r="E821" s="85" t="s">
        <v>1854</v>
      </c>
      <c r="F821" s="85" t="s">
        <v>13</v>
      </c>
      <c r="G821" s="17" t="s">
        <v>1805</v>
      </c>
      <c r="H821" s="17" t="s">
        <v>1787</v>
      </c>
      <c r="I821" s="145" t="s">
        <v>5147</v>
      </c>
      <c r="J821" s="17" t="s">
        <v>24</v>
      </c>
      <c r="K821" s="17" t="s">
        <v>1855</v>
      </c>
      <c r="L821" s="17" t="s">
        <v>965</v>
      </c>
      <c r="M821" s="16">
        <v>8110503479</v>
      </c>
      <c r="N821" s="16">
        <v>868166059177204</v>
      </c>
      <c r="O821" s="16" t="s">
        <v>5149</v>
      </c>
      <c r="P821" s="17" t="s">
        <v>5148</v>
      </c>
      <c r="Q821" s="14" t="s">
        <v>8</v>
      </c>
      <c r="R821" s="40">
        <v>1999.84</v>
      </c>
      <c r="S821" s="19" t="s">
        <v>5002</v>
      </c>
      <c r="T821" s="17"/>
      <c r="U821" s="66"/>
    </row>
    <row r="822" spans="2:21" s="15" customFormat="1" ht="39" x14ac:dyDescent="0.35">
      <c r="B822" s="64">
        <v>45393</v>
      </c>
      <c r="C822" s="17">
        <v>730</v>
      </c>
      <c r="D822" s="85" t="s">
        <v>39</v>
      </c>
      <c r="E822" s="85" t="s">
        <v>39</v>
      </c>
      <c r="F822" s="85" t="s">
        <v>40</v>
      </c>
      <c r="G822" s="17" t="s">
        <v>5</v>
      </c>
      <c r="H822" s="17" t="s">
        <v>1802</v>
      </c>
      <c r="I822" s="145"/>
      <c r="J822" s="17" t="s">
        <v>1857</v>
      </c>
      <c r="K822" s="17" t="s">
        <v>1856</v>
      </c>
      <c r="L822" s="17" t="s">
        <v>965</v>
      </c>
      <c r="M822" s="16" t="s">
        <v>39</v>
      </c>
      <c r="N822" s="16" t="s">
        <v>39</v>
      </c>
      <c r="O822" s="16"/>
      <c r="P822" s="17" t="s">
        <v>39</v>
      </c>
      <c r="Q822" s="94" t="s">
        <v>1859</v>
      </c>
      <c r="R822" s="40">
        <v>290</v>
      </c>
      <c r="S822" s="41">
        <v>0</v>
      </c>
      <c r="T822" s="17"/>
      <c r="U822" s="66"/>
    </row>
    <row r="823" spans="2:21" s="15" customFormat="1" ht="29" x14ac:dyDescent="0.35">
      <c r="B823" s="64">
        <v>45393</v>
      </c>
      <c r="C823" s="17">
        <v>731</v>
      </c>
      <c r="D823" s="85" t="s">
        <v>3412</v>
      </c>
      <c r="E823" s="85" t="s">
        <v>1858</v>
      </c>
      <c r="F823" s="85" t="s">
        <v>138</v>
      </c>
      <c r="G823" s="17" t="s">
        <v>5</v>
      </c>
      <c r="H823" s="17" t="s">
        <v>1802</v>
      </c>
      <c r="I823" s="145" t="s">
        <v>3232</v>
      </c>
      <c r="J823" s="17" t="s">
        <v>3521</v>
      </c>
      <c r="K823" s="17" t="s">
        <v>1860</v>
      </c>
      <c r="L823" s="17" t="s">
        <v>965</v>
      </c>
      <c r="M823" s="38">
        <v>8120010508</v>
      </c>
      <c r="N823" s="16">
        <v>865011031937544</v>
      </c>
      <c r="O823" s="16" t="s">
        <v>39</v>
      </c>
      <c r="P823" s="17" t="s">
        <v>1861</v>
      </c>
      <c r="Q823" s="17" t="s">
        <v>2559</v>
      </c>
      <c r="R823" s="40">
        <v>696</v>
      </c>
      <c r="S823" s="19" t="s">
        <v>3329</v>
      </c>
      <c r="T823" s="17"/>
      <c r="U823" s="66"/>
    </row>
    <row r="824" spans="2:21" s="15" customFormat="1" ht="29" x14ac:dyDescent="0.35">
      <c r="B824" s="64">
        <v>45394</v>
      </c>
      <c r="C824" s="17">
        <v>732</v>
      </c>
      <c r="D824" s="85" t="s">
        <v>39</v>
      </c>
      <c r="E824" s="85" t="s">
        <v>39</v>
      </c>
      <c r="F824" s="85" t="s">
        <v>40</v>
      </c>
      <c r="G824" s="17" t="s">
        <v>5</v>
      </c>
      <c r="H824" s="17" t="s">
        <v>1802</v>
      </c>
      <c r="I824" s="145"/>
      <c r="J824" s="17" t="s">
        <v>1863</v>
      </c>
      <c r="K824" s="17" t="s">
        <v>1864</v>
      </c>
      <c r="L824" s="17" t="s">
        <v>965</v>
      </c>
      <c r="M824" s="16" t="s">
        <v>39</v>
      </c>
      <c r="N824" s="16" t="s">
        <v>39</v>
      </c>
      <c r="O824" s="16"/>
      <c r="P824" s="17" t="s">
        <v>39</v>
      </c>
      <c r="Q824" s="17" t="s">
        <v>1865</v>
      </c>
      <c r="R824" s="40">
        <v>290</v>
      </c>
      <c r="S824" s="19"/>
      <c r="T824" s="17"/>
      <c r="U824" s="66"/>
    </row>
    <row r="825" spans="2:21" s="15" customFormat="1" ht="29" x14ac:dyDescent="0.35">
      <c r="B825" s="64">
        <v>45394</v>
      </c>
      <c r="C825" s="17">
        <v>733</v>
      </c>
      <c r="D825" s="85">
        <v>681</v>
      </c>
      <c r="E825" s="85" t="s">
        <v>1862</v>
      </c>
      <c r="F825" s="85" t="s">
        <v>13</v>
      </c>
      <c r="G825" s="17" t="s">
        <v>5</v>
      </c>
      <c r="H825" s="17" t="s">
        <v>1901</v>
      </c>
      <c r="I825" s="145"/>
      <c r="J825" s="17" t="s">
        <v>1866</v>
      </c>
      <c r="K825" s="17" t="s">
        <v>1867</v>
      </c>
      <c r="L825" s="17" t="s">
        <v>965</v>
      </c>
      <c r="M825" s="16">
        <v>8131242638</v>
      </c>
      <c r="N825" s="16">
        <v>868166059177444</v>
      </c>
      <c r="O825" s="16"/>
      <c r="P825" s="17" t="s">
        <v>1868</v>
      </c>
      <c r="Q825" s="14" t="s">
        <v>8</v>
      </c>
      <c r="R825" s="40">
        <v>1999.84</v>
      </c>
      <c r="S825" s="41">
        <v>174</v>
      </c>
      <c r="T825" s="17"/>
      <c r="U825" s="66"/>
    </row>
    <row r="826" spans="2:21" s="15" customFormat="1" ht="29" x14ac:dyDescent="0.35">
      <c r="B826" s="64">
        <v>45397</v>
      </c>
      <c r="C826" s="17">
        <v>734</v>
      </c>
      <c r="D826" s="85" t="s">
        <v>4034</v>
      </c>
      <c r="E826" s="85" t="s">
        <v>1870</v>
      </c>
      <c r="F826" s="85" t="s">
        <v>13</v>
      </c>
      <c r="G826" s="17" t="s">
        <v>5</v>
      </c>
      <c r="H826" s="17" t="s">
        <v>1869</v>
      </c>
      <c r="I826" s="145">
        <v>0.375</v>
      </c>
      <c r="J826" s="17" t="s">
        <v>4316</v>
      </c>
      <c r="K826" s="17" t="s">
        <v>1871</v>
      </c>
      <c r="L826" s="17" t="s">
        <v>2</v>
      </c>
      <c r="M826" s="16">
        <v>8135510305</v>
      </c>
      <c r="N826" s="16">
        <v>869220041423033</v>
      </c>
      <c r="O826" s="16" t="s">
        <v>4037</v>
      </c>
      <c r="P826" s="17" t="s">
        <v>4036</v>
      </c>
      <c r="Q826" s="17" t="s">
        <v>4174</v>
      </c>
      <c r="R826" s="40">
        <v>1999.84</v>
      </c>
      <c r="S826" s="19" t="s">
        <v>3584</v>
      </c>
      <c r="T826" s="17"/>
      <c r="U826" s="66"/>
    </row>
    <row r="827" spans="2:21" s="15" customFormat="1" ht="29" x14ac:dyDescent="0.35">
      <c r="B827" s="64">
        <v>45399</v>
      </c>
      <c r="C827" s="17">
        <v>735</v>
      </c>
      <c r="D827" s="85" t="s">
        <v>3413</v>
      </c>
      <c r="E827" s="85" t="s">
        <v>1872</v>
      </c>
      <c r="F827" s="85" t="s">
        <v>13</v>
      </c>
      <c r="G827" s="17" t="s">
        <v>1805</v>
      </c>
      <c r="H827" s="17" t="s">
        <v>989</v>
      </c>
      <c r="I827" s="145">
        <v>0.625</v>
      </c>
      <c r="J827" s="121" t="s">
        <v>3369</v>
      </c>
      <c r="K827" s="17" t="s">
        <v>1873</v>
      </c>
      <c r="L827" s="17" t="s">
        <v>2</v>
      </c>
      <c r="M827" s="16">
        <v>8120392405</v>
      </c>
      <c r="N827" s="16">
        <v>868166059177089</v>
      </c>
      <c r="O827" s="16" t="s">
        <v>39</v>
      </c>
      <c r="P827" s="17" t="s">
        <v>1874</v>
      </c>
      <c r="Q827" s="17" t="s">
        <v>2559</v>
      </c>
      <c r="R827" s="40">
        <v>1999.84</v>
      </c>
      <c r="S827" s="19" t="s">
        <v>3329</v>
      </c>
      <c r="T827" s="17"/>
      <c r="U827" s="66"/>
    </row>
    <row r="828" spans="2:21" s="15" customFormat="1" ht="29" x14ac:dyDescent="0.35">
      <c r="B828" s="64">
        <v>45400</v>
      </c>
      <c r="C828" s="17">
        <v>736</v>
      </c>
      <c r="D828" s="85" t="s">
        <v>39</v>
      </c>
      <c r="E828" s="85" t="s">
        <v>39</v>
      </c>
      <c r="F828" s="85" t="s">
        <v>40</v>
      </c>
      <c r="G828" s="17" t="s">
        <v>5</v>
      </c>
      <c r="H828" s="17" t="s">
        <v>1875</v>
      </c>
      <c r="I828" s="145"/>
      <c r="J828" s="17" t="s">
        <v>1876</v>
      </c>
      <c r="K828" s="17" t="s">
        <v>1877</v>
      </c>
      <c r="L828" s="17" t="s">
        <v>2</v>
      </c>
      <c r="M828" s="16" t="s">
        <v>39</v>
      </c>
      <c r="N828" s="16" t="s">
        <v>39</v>
      </c>
      <c r="O828" s="16"/>
      <c r="P828" s="17" t="s">
        <v>39</v>
      </c>
      <c r="Q828" s="14" t="s">
        <v>1879</v>
      </c>
      <c r="R828" s="40">
        <v>290</v>
      </c>
      <c r="S828" s="41">
        <v>0</v>
      </c>
      <c r="T828" s="17"/>
      <c r="U828" s="66"/>
    </row>
    <row r="829" spans="2:21" s="15" customFormat="1" ht="29" x14ac:dyDescent="0.35">
      <c r="B829" s="64">
        <v>45400</v>
      </c>
      <c r="C829" s="17">
        <v>737</v>
      </c>
      <c r="D829" s="85" t="s">
        <v>4514</v>
      </c>
      <c r="E829" s="85" t="s">
        <v>1878</v>
      </c>
      <c r="F829" s="85" t="s">
        <v>13</v>
      </c>
      <c r="G829" s="17" t="s">
        <v>5</v>
      </c>
      <c r="H829" s="17" t="s">
        <v>1696</v>
      </c>
      <c r="I829" s="145" t="s">
        <v>4524</v>
      </c>
      <c r="J829" s="17" t="s">
        <v>4525</v>
      </c>
      <c r="K829" s="17" t="s">
        <v>1880</v>
      </c>
      <c r="L829" s="17" t="s">
        <v>2</v>
      </c>
      <c r="M829" s="16">
        <v>8120392428</v>
      </c>
      <c r="N829" s="16">
        <v>868166059177436</v>
      </c>
      <c r="O829" s="16" t="s">
        <v>4527</v>
      </c>
      <c r="P829" s="17" t="s">
        <v>4526</v>
      </c>
      <c r="Q829" s="14" t="s">
        <v>8</v>
      </c>
      <c r="R829" s="40">
        <v>1999.84</v>
      </c>
      <c r="S829" s="19" t="s">
        <v>4517</v>
      </c>
      <c r="T829" s="17"/>
      <c r="U829" s="66"/>
    </row>
    <row r="830" spans="2:21" s="15" customFormat="1" ht="29" x14ac:dyDescent="0.35">
      <c r="B830" s="64">
        <v>45401</v>
      </c>
      <c r="C830" s="17">
        <v>738</v>
      </c>
      <c r="D830" s="85" t="s">
        <v>4038</v>
      </c>
      <c r="E830" s="85" t="s">
        <v>1882</v>
      </c>
      <c r="F830" s="85" t="s">
        <v>13</v>
      </c>
      <c r="G830" s="17" t="s">
        <v>1805</v>
      </c>
      <c r="H830" s="14" t="s">
        <v>1767</v>
      </c>
      <c r="I830" s="145">
        <v>0.64583333333333337</v>
      </c>
      <c r="J830" s="17" t="s">
        <v>26</v>
      </c>
      <c r="K830" s="14" t="s">
        <v>1881</v>
      </c>
      <c r="L830" s="17" t="s">
        <v>2</v>
      </c>
      <c r="M830" s="14">
        <v>8128619639</v>
      </c>
      <c r="N830" s="38">
        <v>868166057892242</v>
      </c>
      <c r="O830" s="38" t="s">
        <v>4040</v>
      </c>
      <c r="P830" s="14" t="s">
        <v>4039</v>
      </c>
      <c r="Q830" s="17" t="s">
        <v>4174</v>
      </c>
      <c r="R830" s="40">
        <v>1999.84</v>
      </c>
      <c r="S830" s="19" t="s">
        <v>3584</v>
      </c>
      <c r="T830" s="17"/>
      <c r="U830" s="66"/>
    </row>
    <row r="831" spans="2:21" s="15" customFormat="1" ht="29" x14ac:dyDescent="0.35">
      <c r="B831" s="64">
        <v>45404</v>
      </c>
      <c r="C831" s="17">
        <v>739</v>
      </c>
      <c r="D831" s="85">
        <v>686</v>
      </c>
      <c r="E831" s="85" t="s">
        <v>1886</v>
      </c>
      <c r="F831" s="85" t="s">
        <v>13</v>
      </c>
      <c r="G831" s="17" t="s">
        <v>5</v>
      </c>
      <c r="H831" s="14" t="s">
        <v>1744</v>
      </c>
      <c r="I831" s="145"/>
      <c r="J831" s="17" t="s">
        <v>1883</v>
      </c>
      <c r="K831" s="17" t="s">
        <v>1884</v>
      </c>
      <c r="L831" s="17" t="s">
        <v>2</v>
      </c>
      <c r="M831" s="17">
        <v>8110736079</v>
      </c>
      <c r="N831" s="16">
        <v>868166059176966</v>
      </c>
      <c r="O831" s="16"/>
      <c r="P831" s="17" t="s">
        <v>1885</v>
      </c>
      <c r="Q831" s="14" t="s">
        <v>8</v>
      </c>
      <c r="R831" s="40">
        <v>1999.84</v>
      </c>
      <c r="S831" s="41">
        <v>174</v>
      </c>
      <c r="T831" s="17"/>
      <c r="U831" s="66"/>
    </row>
    <row r="832" spans="2:21" s="15" customFormat="1" ht="29" x14ac:dyDescent="0.35">
      <c r="B832" s="64">
        <v>45406</v>
      </c>
      <c r="C832" s="17">
        <v>740</v>
      </c>
      <c r="D832" s="85" t="s">
        <v>39</v>
      </c>
      <c r="E832" s="85" t="s">
        <v>39</v>
      </c>
      <c r="F832" s="85" t="s">
        <v>40</v>
      </c>
      <c r="G832" s="17" t="s">
        <v>5</v>
      </c>
      <c r="H832" s="17" t="s">
        <v>1888</v>
      </c>
      <c r="I832" s="145"/>
      <c r="J832" s="17" t="s">
        <v>1889</v>
      </c>
      <c r="K832" s="17" t="s">
        <v>1891</v>
      </c>
      <c r="L832" s="17" t="s">
        <v>2</v>
      </c>
      <c r="M832" s="17" t="s">
        <v>39</v>
      </c>
      <c r="N832" s="16" t="s">
        <v>39</v>
      </c>
      <c r="O832" s="16"/>
      <c r="P832" s="17" t="s">
        <v>39</v>
      </c>
      <c r="Q832" s="17"/>
      <c r="R832" s="40">
        <v>290</v>
      </c>
      <c r="S832" s="19">
        <v>0</v>
      </c>
      <c r="T832" s="17"/>
      <c r="U832" s="66"/>
    </row>
    <row r="833" spans="2:21" s="15" customFormat="1" ht="29" x14ac:dyDescent="0.35">
      <c r="B833" s="64">
        <v>45407</v>
      </c>
      <c r="C833" s="17">
        <v>741</v>
      </c>
      <c r="D833" s="74" t="s">
        <v>5042</v>
      </c>
      <c r="E833" s="85" t="s">
        <v>1887</v>
      </c>
      <c r="F833" s="85" t="s">
        <v>13</v>
      </c>
      <c r="G833" s="17" t="s">
        <v>5</v>
      </c>
      <c r="H833" s="17" t="s">
        <v>1888</v>
      </c>
      <c r="I833" s="145" t="s">
        <v>4609</v>
      </c>
      <c r="J833" s="17" t="s">
        <v>5150</v>
      </c>
      <c r="K833" s="17" t="s">
        <v>1890</v>
      </c>
      <c r="L833" s="17" t="s">
        <v>965</v>
      </c>
      <c r="M833" s="17">
        <v>8116907083</v>
      </c>
      <c r="N833" s="16">
        <v>865011031932016</v>
      </c>
      <c r="O833" s="16" t="s">
        <v>5152</v>
      </c>
      <c r="P833" s="17" t="s">
        <v>5151</v>
      </c>
      <c r="Q833" s="14" t="s">
        <v>8</v>
      </c>
      <c r="R833" s="40">
        <v>1999.84</v>
      </c>
      <c r="S833" s="19" t="s">
        <v>5002</v>
      </c>
      <c r="T833" s="17"/>
      <c r="U833" s="66"/>
    </row>
    <row r="834" spans="2:21" s="15" customFormat="1" ht="29" x14ac:dyDescent="0.35">
      <c r="B834" s="64">
        <v>45408</v>
      </c>
      <c r="C834" s="17">
        <v>742</v>
      </c>
      <c r="D834" s="74" t="s">
        <v>5043</v>
      </c>
      <c r="E834" s="85" t="s">
        <v>1892</v>
      </c>
      <c r="F834" s="85" t="s">
        <v>13</v>
      </c>
      <c r="G834" s="17" t="s">
        <v>5</v>
      </c>
      <c r="H834" s="17" t="s">
        <v>1893</v>
      </c>
      <c r="I834" s="145" t="s">
        <v>4934</v>
      </c>
      <c r="J834" s="17" t="s">
        <v>5153</v>
      </c>
      <c r="K834" s="17" t="s">
        <v>1894</v>
      </c>
      <c r="L834" s="17" t="s">
        <v>2</v>
      </c>
      <c r="M834" s="17">
        <v>8120392479</v>
      </c>
      <c r="N834" s="16">
        <v>865011034234139</v>
      </c>
      <c r="O834" s="16" t="s">
        <v>5155</v>
      </c>
      <c r="P834" s="17" t="s">
        <v>5154</v>
      </c>
      <c r="Q834" s="14" t="s">
        <v>8</v>
      </c>
      <c r="R834" s="40">
        <v>1999.84</v>
      </c>
      <c r="S834" s="19" t="s">
        <v>5002</v>
      </c>
      <c r="T834" s="17"/>
      <c r="U834" s="66"/>
    </row>
    <row r="835" spans="2:21" s="15" customFormat="1" ht="29" x14ac:dyDescent="0.35">
      <c r="B835" s="64">
        <v>45414</v>
      </c>
      <c r="C835" s="17">
        <v>743</v>
      </c>
      <c r="D835" s="85" t="s">
        <v>39</v>
      </c>
      <c r="E835" s="85" t="s">
        <v>39</v>
      </c>
      <c r="F835" s="85" t="s">
        <v>40</v>
      </c>
      <c r="G835" s="17" t="s">
        <v>5</v>
      </c>
      <c r="H835" s="17" t="s">
        <v>1896</v>
      </c>
      <c r="I835" s="145"/>
      <c r="J835" s="17" t="s">
        <v>1897</v>
      </c>
      <c r="K835" s="17" t="s">
        <v>1898</v>
      </c>
      <c r="L835" s="17" t="s">
        <v>965</v>
      </c>
      <c r="M835" s="17" t="s">
        <v>39</v>
      </c>
      <c r="N835" s="16" t="s">
        <v>39</v>
      </c>
      <c r="O835" s="16"/>
      <c r="P835" s="17" t="s">
        <v>39</v>
      </c>
      <c r="Q835" s="17" t="s">
        <v>1900</v>
      </c>
      <c r="R835" s="40">
        <v>290</v>
      </c>
      <c r="S835" s="19">
        <v>0</v>
      </c>
      <c r="T835" s="17"/>
      <c r="U835" s="66"/>
    </row>
    <row r="836" spans="2:21" s="15" customFormat="1" ht="29" x14ac:dyDescent="0.35">
      <c r="B836" s="64">
        <v>45414</v>
      </c>
      <c r="C836" s="17">
        <v>744</v>
      </c>
      <c r="D836" s="74" t="s">
        <v>5044</v>
      </c>
      <c r="E836" s="85" t="s">
        <v>1895</v>
      </c>
      <c r="F836" s="85" t="s">
        <v>13</v>
      </c>
      <c r="G836" s="17" t="s">
        <v>5</v>
      </c>
      <c r="H836" s="17" t="s">
        <v>1896</v>
      </c>
      <c r="I836" s="145" t="s">
        <v>4929</v>
      </c>
      <c r="J836" s="17" t="s">
        <v>5156</v>
      </c>
      <c r="K836" s="17" t="s">
        <v>1899</v>
      </c>
      <c r="L836" s="17" t="s">
        <v>965</v>
      </c>
      <c r="M836" s="17">
        <v>8120392434</v>
      </c>
      <c r="N836" s="16">
        <v>868166059177147</v>
      </c>
      <c r="O836" s="16" t="s">
        <v>5158</v>
      </c>
      <c r="P836" s="17" t="s">
        <v>5157</v>
      </c>
      <c r="Q836" s="14" t="s">
        <v>8</v>
      </c>
      <c r="R836" s="40">
        <v>1999.84</v>
      </c>
      <c r="S836" s="19" t="s">
        <v>5002</v>
      </c>
      <c r="T836" s="17"/>
      <c r="U836" s="66"/>
    </row>
    <row r="837" spans="2:21" s="15" customFormat="1" ht="29" x14ac:dyDescent="0.35">
      <c r="B837" s="64">
        <v>45415</v>
      </c>
      <c r="C837" s="17">
        <v>745</v>
      </c>
      <c r="D837" s="85">
        <v>681</v>
      </c>
      <c r="E837" s="85" t="s">
        <v>1902</v>
      </c>
      <c r="F837" s="85" t="s">
        <v>36</v>
      </c>
      <c r="G837" s="17" t="s">
        <v>5</v>
      </c>
      <c r="H837" s="17" t="s">
        <v>1901</v>
      </c>
      <c r="I837" s="145"/>
      <c r="J837" s="17" t="s">
        <v>1866</v>
      </c>
      <c r="K837" s="17" t="s">
        <v>1867</v>
      </c>
      <c r="L837" s="17" t="s">
        <v>965</v>
      </c>
      <c r="M837" s="16">
        <v>8131242638</v>
      </c>
      <c r="N837" s="16">
        <v>868166059177444</v>
      </c>
      <c r="O837" s="16"/>
      <c r="P837" s="17" t="s">
        <v>1868</v>
      </c>
      <c r="Q837" s="14"/>
      <c r="R837" s="18"/>
      <c r="S837" s="19"/>
      <c r="T837" s="17"/>
      <c r="U837" s="66"/>
    </row>
    <row r="838" spans="2:21" s="15" customFormat="1" ht="29" x14ac:dyDescent="0.35">
      <c r="B838" s="64">
        <v>45418</v>
      </c>
      <c r="C838" s="17">
        <v>746</v>
      </c>
      <c r="D838" s="85">
        <v>690</v>
      </c>
      <c r="E838" s="85" t="s">
        <v>1903</v>
      </c>
      <c r="F838" s="85" t="s">
        <v>13</v>
      </c>
      <c r="G838" s="17" t="s">
        <v>5</v>
      </c>
      <c r="H838" s="17" t="s">
        <v>1904</v>
      </c>
      <c r="I838" s="145"/>
      <c r="J838" s="17" t="s">
        <v>1905</v>
      </c>
      <c r="K838" s="17" t="s">
        <v>1906</v>
      </c>
      <c r="L838" s="17" t="s">
        <v>2</v>
      </c>
      <c r="M838" s="16">
        <v>8120392502</v>
      </c>
      <c r="N838" s="16">
        <v>868166059173054</v>
      </c>
      <c r="O838" s="16"/>
      <c r="P838" s="17" t="s">
        <v>1907</v>
      </c>
      <c r="Q838" s="14" t="s">
        <v>8</v>
      </c>
      <c r="R838" s="40">
        <v>1999.84</v>
      </c>
      <c r="S838" s="41">
        <v>174</v>
      </c>
      <c r="T838" s="17"/>
      <c r="U838" s="66"/>
    </row>
    <row r="839" spans="2:21" s="15" customFormat="1" ht="43.5" x14ac:dyDescent="0.35">
      <c r="B839" s="64">
        <v>45420</v>
      </c>
      <c r="C839" s="17">
        <v>747</v>
      </c>
      <c r="D839" s="85" t="s">
        <v>5255</v>
      </c>
      <c r="E839" s="85" t="s">
        <v>1908</v>
      </c>
      <c r="F839" s="85" t="s">
        <v>13</v>
      </c>
      <c r="G839" s="17" t="s">
        <v>5</v>
      </c>
      <c r="H839" s="17" t="s">
        <v>2413</v>
      </c>
      <c r="I839" s="145" t="s">
        <v>4102</v>
      </c>
      <c r="J839" s="17" t="s">
        <v>26</v>
      </c>
      <c r="K839" s="17" t="s">
        <v>1909</v>
      </c>
      <c r="L839" s="17" t="s">
        <v>2</v>
      </c>
      <c r="M839" s="16">
        <v>8128605766</v>
      </c>
      <c r="N839" s="16">
        <v>868166059175562</v>
      </c>
      <c r="O839" s="16" t="s">
        <v>5269</v>
      </c>
      <c r="P839" s="17" t="s">
        <v>5268</v>
      </c>
      <c r="Q839" s="14" t="s">
        <v>8</v>
      </c>
      <c r="R839" s="40">
        <v>1999.84</v>
      </c>
      <c r="S839" s="19" t="s">
        <v>5264</v>
      </c>
      <c r="T839" s="17"/>
      <c r="U839" s="66"/>
    </row>
    <row r="840" spans="2:21" s="15" customFormat="1" ht="29" x14ac:dyDescent="0.35">
      <c r="B840" s="64">
        <v>45427</v>
      </c>
      <c r="C840" s="17">
        <v>748</v>
      </c>
      <c r="D840" s="36" t="s">
        <v>39</v>
      </c>
      <c r="E840" s="36" t="s">
        <v>39</v>
      </c>
      <c r="F840" s="85" t="s">
        <v>40</v>
      </c>
      <c r="G840" s="17" t="s">
        <v>5</v>
      </c>
      <c r="H840" s="14" t="s">
        <v>1744</v>
      </c>
      <c r="I840" s="145"/>
      <c r="J840" s="17" t="s">
        <v>1911</v>
      </c>
      <c r="K840" s="17" t="s">
        <v>1912</v>
      </c>
      <c r="L840" s="17" t="s">
        <v>965</v>
      </c>
      <c r="M840" s="16" t="s">
        <v>39</v>
      </c>
      <c r="N840" s="16" t="s">
        <v>39</v>
      </c>
      <c r="O840" s="16"/>
      <c r="P840" s="17" t="s">
        <v>39</v>
      </c>
      <c r="Q840" s="14" t="s">
        <v>1914</v>
      </c>
      <c r="R840" s="40">
        <v>290</v>
      </c>
      <c r="S840" s="41"/>
      <c r="T840" s="17"/>
      <c r="U840" s="66"/>
    </row>
    <row r="841" spans="2:21" s="15" customFormat="1" ht="29" x14ac:dyDescent="0.35">
      <c r="B841" s="64">
        <v>45427</v>
      </c>
      <c r="C841" s="17">
        <v>749</v>
      </c>
      <c r="D841" s="74" t="s">
        <v>5045</v>
      </c>
      <c r="E841" s="85" t="s">
        <v>1915</v>
      </c>
      <c r="F841" s="85" t="s">
        <v>13</v>
      </c>
      <c r="G841" s="17" t="s">
        <v>5</v>
      </c>
      <c r="H841" s="14" t="s">
        <v>1744</v>
      </c>
      <c r="I841" s="145" t="s">
        <v>4277</v>
      </c>
      <c r="J841" s="17" t="s">
        <v>5159</v>
      </c>
      <c r="K841" s="17" t="s">
        <v>1912</v>
      </c>
      <c r="L841" s="17" t="s">
        <v>965</v>
      </c>
      <c r="M841" s="16">
        <v>8110386329</v>
      </c>
      <c r="N841" s="16">
        <v>868166059175588</v>
      </c>
      <c r="O841" s="16" t="s">
        <v>39</v>
      </c>
      <c r="P841" s="17" t="s">
        <v>1913</v>
      </c>
      <c r="Q841" s="14" t="s">
        <v>8</v>
      </c>
      <c r="R841" s="40">
        <v>1999.84</v>
      </c>
      <c r="S841" s="19" t="s">
        <v>5002</v>
      </c>
      <c r="T841" s="17"/>
      <c r="U841" s="66"/>
    </row>
    <row r="842" spans="2:21" s="15" customFormat="1" ht="29" x14ac:dyDescent="0.35">
      <c r="B842" s="64">
        <v>45432</v>
      </c>
      <c r="C842" s="17">
        <v>750</v>
      </c>
      <c r="D842" s="36" t="s">
        <v>1928</v>
      </c>
      <c r="E842" s="85" t="s">
        <v>1929</v>
      </c>
      <c r="F842" s="85" t="s">
        <v>1468</v>
      </c>
      <c r="G842" s="17" t="s">
        <v>5</v>
      </c>
      <c r="H842" s="17" t="s">
        <v>1930</v>
      </c>
      <c r="I842" s="145"/>
      <c r="J842" s="14" t="s">
        <v>794</v>
      </c>
      <c r="K842" s="17" t="s">
        <v>1062</v>
      </c>
      <c r="L842" s="17" t="s">
        <v>39</v>
      </c>
      <c r="M842" s="38">
        <v>345901012159571</v>
      </c>
      <c r="N842" s="38">
        <v>865011032219306</v>
      </c>
      <c r="O842" s="38"/>
      <c r="P842" s="14" t="s">
        <v>793</v>
      </c>
      <c r="Q842" s="39" t="s">
        <v>2559</v>
      </c>
      <c r="R842" s="40">
        <v>0</v>
      </c>
      <c r="S842" s="41" t="s">
        <v>1931</v>
      </c>
      <c r="T842" s="17"/>
      <c r="U842" s="66"/>
    </row>
    <row r="843" spans="2:21" s="15" customFormat="1" ht="29" x14ac:dyDescent="0.35">
      <c r="B843" s="64">
        <v>45432</v>
      </c>
      <c r="C843" s="17">
        <v>751</v>
      </c>
      <c r="D843" s="36" t="s">
        <v>1932</v>
      </c>
      <c r="E843" s="85" t="s">
        <v>1929</v>
      </c>
      <c r="F843" s="85" t="s">
        <v>1468</v>
      </c>
      <c r="G843" s="17" t="s">
        <v>5</v>
      </c>
      <c r="H843" s="17" t="s">
        <v>1930</v>
      </c>
      <c r="I843" s="145"/>
      <c r="J843" s="17" t="s">
        <v>2940</v>
      </c>
      <c r="K843" s="17" t="s">
        <v>1933</v>
      </c>
      <c r="L843" s="17" t="s">
        <v>39</v>
      </c>
      <c r="M843" s="38" t="s">
        <v>777</v>
      </c>
      <c r="N843" s="38">
        <v>863844050699245</v>
      </c>
      <c r="O843" s="38"/>
      <c r="P843" s="14" t="s">
        <v>776</v>
      </c>
      <c r="Q843" s="39" t="s">
        <v>1538</v>
      </c>
      <c r="R843" s="40">
        <v>0</v>
      </c>
      <c r="S843" s="41" t="s">
        <v>1931</v>
      </c>
      <c r="T843" s="17"/>
      <c r="U843" s="66"/>
    </row>
    <row r="844" spans="2:21" s="15" customFormat="1" ht="29" x14ac:dyDescent="0.35">
      <c r="B844" s="64">
        <v>45432</v>
      </c>
      <c r="C844" s="17">
        <v>752</v>
      </c>
      <c r="D844" s="36" t="s">
        <v>1934</v>
      </c>
      <c r="E844" s="85" t="s">
        <v>1929</v>
      </c>
      <c r="F844" s="85" t="s">
        <v>1468</v>
      </c>
      <c r="G844" s="17" t="s">
        <v>5</v>
      </c>
      <c r="H844" s="17" t="s">
        <v>1930</v>
      </c>
      <c r="I844" s="145"/>
      <c r="J844" s="17" t="s">
        <v>771</v>
      </c>
      <c r="K844" s="14" t="s">
        <v>1077</v>
      </c>
      <c r="L844" s="17" t="s">
        <v>39</v>
      </c>
      <c r="M844" s="38" t="s">
        <v>770</v>
      </c>
      <c r="N844" s="38">
        <v>864606046773361</v>
      </c>
      <c r="O844" s="38"/>
      <c r="P844" s="14" t="s">
        <v>769</v>
      </c>
      <c r="Q844" s="39" t="s">
        <v>2559</v>
      </c>
      <c r="R844" s="40">
        <v>0</v>
      </c>
      <c r="S844" s="41" t="s">
        <v>1931</v>
      </c>
      <c r="T844" s="17"/>
      <c r="U844" s="66"/>
    </row>
    <row r="845" spans="2:21" s="15" customFormat="1" ht="29" x14ac:dyDescent="0.35">
      <c r="B845" s="64">
        <v>45432</v>
      </c>
      <c r="C845" s="17">
        <v>753</v>
      </c>
      <c r="D845" s="36" t="s">
        <v>1935</v>
      </c>
      <c r="E845" s="85" t="s">
        <v>1929</v>
      </c>
      <c r="F845" s="85" t="s">
        <v>1468</v>
      </c>
      <c r="G845" s="17" t="s">
        <v>5</v>
      </c>
      <c r="H845" s="17" t="s">
        <v>1930</v>
      </c>
      <c r="I845" s="145"/>
      <c r="J845" s="17" t="s">
        <v>768</v>
      </c>
      <c r="K845" s="17" t="s">
        <v>1078</v>
      </c>
      <c r="L845" s="17" t="s">
        <v>39</v>
      </c>
      <c r="M845" s="38" t="s">
        <v>767</v>
      </c>
      <c r="N845" s="38">
        <v>358480086815885</v>
      </c>
      <c r="O845" s="38"/>
      <c r="P845" s="14" t="s">
        <v>766</v>
      </c>
      <c r="Q845" s="39" t="s">
        <v>2559</v>
      </c>
      <c r="R845" s="40">
        <v>0</v>
      </c>
      <c r="S845" s="41" t="s">
        <v>1931</v>
      </c>
      <c r="T845" s="17"/>
      <c r="U845" s="66"/>
    </row>
    <row r="846" spans="2:21" s="15" customFormat="1" ht="29" x14ac:dyDescent="0.35">
      <c r="B846" s="64">
        <v>45432</v>
      </c>
      <c r="C846" s="17">
        <v>754</v>
      </c>
      <c r="D846" s="36" t="s">
        <v>1936</v>
      </c>
      <c r="E846" s="85" t="s">
        <v>1929</v>
      </c>
      <c r="F846" s="85" t="s">
        <v>1468</v>
      </c>
      <c r="G846" s="17" t="s">
        <v>5</v>
      </c>
      <c r="H846" s="17" t="s">
        <v>1930</v>
      </c>
      <c r="I846" s="145"/>
      <c r="J846" s="17" t="s">
        <v>765</v>
      </c>
      <c r="K846" s="17" t="s">
        <v>1079</v>
      </c>
      <c r="L846" s="17" t="s">
        <v>39</v>
      </c>
      <c r="M846" s="38" t="s">
        <v>764</v>
      </c>
      <c r="N846" s="38">
        <v>863844050695532</v>
      </c>
      <c r="O846" s="38"/>
      <c r="P846" s="14" t="s">
        <v>763</v>
      </c>
      <c r="Q846" s="39" t="s">
        <v>2559</v>
      </c>
      <c r="R846" s="40">
        <v>0</v>
      </c>
      <c r="S846" s="41" t="s">
        <v>1931</v>
      </c>
      <c r="T846" s="17"/>
      <c r="U846" s="66"/>
    </row>
    <row r="847" spans="2:21" s="15" customFormat="1" ht="29" x14ac:dyDescent="0.35">
      <c r="B847" s="64">
        <v>45432</v>
      </c>
      <c r="C847" s="17">
        <v>755</v>
      </c>
      <c r="D847" s="36" t="s">
        <v>1937</v>
      </c>
      <c r="E847" s="85" t="s">
        <v>1929</v>
      </c>
      <c r="F847" s="85" t="s">
        <v>1468</v>
      </c>
      <c r="G847" s="17" t="s">
        <v>5</v>
      </c>
      <c r="H847" s="17" t="s">
        <v>1930</v>
      </c>
      <c r="I847" s="145"/>
      <c r="J847" s="17" t="s">
        <v>762</v>
      </c>
      <c r="K847" s="17" t="s">
        <v>1938</v>
      </c>
      <c r="L847" s="17" t="s">
        <v>39</v>
      </c>
      <c r="M847" s="38" t="s">
        <v>761</v>
      </c>
      <c r="N847" s="38">
        <v>863844050700423</v>
      </c>
      <c r="O847" s="38"/>
      <c r="P847" s="14" t="s">
        <v>760</v>
      </c>
      <c r="Q847" s="39" t="s">
        <v>2559</v>
      </c>
      <c r="R847" s="40">
        <v>0</v>
      </c>
      <c r="S847" s="41" t="s">
        <v>1931</v>
      </c>
      <c r="T847" s="17"/>
      <c r="U847" s="66"/>
    </row>
    <row r="848" spans="2:21" s="15" customFormat="1" ht="29" x14ac:dyDescent="0.35">
      <c r="B848" s="64">
        <v>45432</v>
      </c>
      <c r="C848" s="17">
        <v>756</v>
      </c>
      <c r="D848" s="36" t="s">
        <v>1939</v>
      </c>
      <c r="E848" s="85" t="s">
        <v>1929</v>
      </c>
      <c r="F848" s="85" t="s">
        <v>1468</v>
      </c>
      <c r="G848" s="17" t="s">
        <v>5</v>
      </c>
      <c r="H848" s="17" t="s">
        <v>1930</v>
      </c>
      <c r="I848" s="145"/>
      <c r="J848" s="17" t="s">
        <v>759</v>
      </c>
      <c r="K848" s="17" t="s">
        <v>1080</v>
      </c>
      <c r="L848" s="17" t="s">
        <v>39</v>
      </c>
      <c r="M848" s="38" t="s">
        <v>758</v>
      </c>
      <c r="N848" s="38">
        <v>863844050700092</v>
      </c>
      <c r="O848" s="38"/>
      <c r="P848" s="14" t="s">
        <v>757</v>
      </c>
      <c r="Q848" s="39" t="s">
        <v>2559</v>
      </c>
      <c r="R848" s="40">
        <v>0</v>
      </c>
      <c r="S848" s="41" t="s">
        <v>1931</v>
      </c>
      <c r="T848" s="17"/>
      <c r="U848" s="66"/>
    </row>
    <row r="849" spans="2:22" s="15" customFormat="1" ht="29" x14ac:dyDescent="0.35">
      <c r="B849" s="64">
        <v>45432</v>
      </c>
      <c r="C849" s="17">
        <v>757</v>
      </c>
      <c r="D849" s="36" t="s">
        <v>1940</v>
      </c>
      <c r="E849" s="85" t="s">
        <v>1929</v>
      </c>
      <c r="F849" s="85" t="s">
        <v>1468</v>
      </c>
      <c r="G849" s="17" t="s">
        <v>5</v>
      </c>
      <c r="H849" s="17" t="s">
        <v>1930</v>
      </c>
      <c r="I849" s="145"/>
      <c r="J849" s="17" t="s">
        <v>755</v>
      </c>
      <c r="K849" s="17" t="s">
        <v>1084</v>
      </c>
      <c r="L849" s="17" t="s">
        <v>39</v>
      </c>
      <c r="M849" s="38" t="s">
        <v>754</v>
      </c>
      <c r="N849" s="38">
        <v>865011032238058</v>
      </c>
      <c r="O849" s="38"/>
      <c r="P849" s="14" t="s">
        <v>753</v>
      </c>
      <c r="Q849" s="39" t="s">
        <v>2559</v>
      </c>
      <c r="R849" s="40">
        <v>0</v>
      </c>
      <c r="S849" s="41" t="s">
        <v>1931</v>
      </c>
      <c r="T849" s="17"/>
      <c r="U849" s="66"/>
    </row>
    <row r="850" spans="2:22" s="15" customFormat="1" ht="29" x14ac:dyDescent="0.35">
      <c r="B850" s="64">
        <v>45432</v>
      </c>
      <c r="C850" s="17">
        <v>758</v>
      </c>
      <c r="D850" s="36" t="s">
        <v>1941</v>
      </c>
      <c r="E850" s="85" t="s">
        <v>1929</v>
      </c>
      <c r="F850" s="85" t="s">
        <v>1468</v>
      </c>
      <c r="G850" s="17" t="s">
        <v>5</v>
      </c>
      <c r="H850" s="17" t="s">
        <v>1930</v>
      </c>
      <c r="I850" s="145"/>
      <c r="J850" s="17" t="s">
        <v>749</v>
      </c>
      <c r="K850" s="17" t="s">
        <v>1085</v>
      </c>
      <c r="L850" s="17" t="s">
        <v>39</v>
      </c>
      <c r="M850" s="38" t="s">
        <v>748</v>
      </c>
      <c r="N850" s="38">
        <v>864893035773723</v>
      </c>
      <c r="O850" s="38"/>
      <c r="P850" s="14" t="s">
        <v>747</v>
      </c>
      <c r="Q850" s="39" t="s">
        <v>2559</v>
      </c>
      <c r="R850" s="40">
        <v>0</v>
      </c>
      <c r="S850" s="41" t="s">
        <v>1931</v>
      </c>
      <c r="T850" s="17"/>
      <c r="U850" s="66"/>
    </row>
    <row r="851" spans="2:22" s="15" customFormat="1" ht="29" x14ac:dyDescent="0.35">
      <c r="B851" s="64">
        <v>45432</v>
      </c>
      <c r="C851" s="17">
        <v>759</v>
      </c>
      <c r="D851" s="36" t="s">
        <v>1942</v>
      </c>
      <c r="E851" s="85" t="s">
        <v>1929</v>
      </c>
      <c r="F851" s="85" t="s">
        <v>1468</v>
      </c>
      <c r="G851" s="17" t="s">
        <v>5</v>
      </c>
      <c r="H851" s="17" t="s">
        <v>1930</v>
      </c>
      <c r="I851" s="145"/>
      <c r="J851" s="17" t="s">
        <v>745</v>
      </c>
      <c r="K851" s="17" t="s">
        <v>1943</v>
      </c>
      <c r="L851" s="17" t="s">
        <v>39</v>
      </c>
      <c r="M851" s="38" t="s">
        <v>744</v>
      </c>
      <c r="N851" s="38">
        <v>865011031931257</v>
      </c>
      <c r="O851" s="38"/>
      <c r="P851" s="14" t="s">
        <v>743</v>
      </c>
      <c r="Q851" s="39" t="s">
        <v>2559</v>
      </c>
      <c r="R851" s="40">
        <v>0</v>
      </c>
      <c r="S851" s="41" t="s">
        <v>1931</v>
      </c>
      <c r="T851" s="17"/>
      <c r="U851" s="66"/>
    </row>
    <row r="852" spans="2:22" s="15" customFormat="1" ht="29" x14ac:dyDescent="0.35">
      <c r="B852" s="64">
        <v>45432</v>
      </c>
      <c r="C852" s="17">
        <v>760</v>
      </c>
      <c r="D852" s="71" t="s">
        <v>1944</v>
      </c>
      <c r="E852" s="71" t="s">
        <v>1852</v>
      </c>
      <c r="F852" s="85" t="s">
        <v>1468</v>
      </c>
      <c r="G852" s="17" t="s">
        <v>5</v>
      </c>
      <c r="H852" s="17" t="s">
        <v>1930</v>
      </c>
      <c r="I852" s="145" t="s">
        <v>39</v>
      </c>
      <c r="J852" s="17" t="s">
        <v>3520</v>
      </c>
      <c r="K852" s="17" t="s">
        <v>1091</v>
      </c>
      <c r="L852" s="17" t="s">
        <v>39</v>
      </c>
      <c r="M852" s="38">
        <v>8120010508</v>
      </c>
      <c r="N852" s="16">
        <v>865011031937544</v>
      </c>
      <c r="O852" s="16" t="s">
        <v>620</v>
      </c>
      <c r="P852" s="14" t="s">
        <v>3522</v>
      </c>
      <c r="Q852" s="74" t="s">
        <v>2843</v>
      </c>
      <c r="R852" s="40">
        <v>0</v>
      </c>
      <c r="S852" s="41" t="s">
        <v>2792</v>
      </c>
      <c r="T852" s="17" t="s">
        <v>2793</v>
      </c>
      <c r="U852" s="66"/>
    </row>
    <row r="853" spans="2:22" s="15" customFormat="1" ht="29" x14ac:dyDescent="0.35">
      <c r="B853" s="64">
        <v>45432</v>
      </c>
      <c r="C853" s="17">
        <v>761</v>
      </c>
      <c r="D853" s="97" t="s">
        <v>1945</v>
      </c>
      <c r="E853" s="85" t="s">
        <v>1929</v>
      </c>
      <c r="F853" s="85" t="s">
        <v>1468</v>
      </c>
      <c r="G853" s="17" t="s">
        <v>5</v>
      </c>
      <c r="H853" s="17" t="s">
        <v>1930</v>
      </c>
      <c r="I853" s="145"/>
      <c r="J853" s="17" t="s">
        <v>1946</v>
      </c>
      <c r="K853" s="17" t="s">
        <v>1947</v>
      </c>
      <c r="L853" s="17" t="s">
        <v>39</v>
      </c>
      <c r="M853" s="38">
        <v>8123545362</v>
      </c>
      <c r="N853" s="38">
        <v>865011031935183</v>
      </c>
      <c r="O853" s="38"/>
      <c r="P853" s="14" t="s">
        <v>730</v>
      </c>
      <c r="Q853" s="130" t="s">
        <v>2623</v>
      </c>
      <c r="R853" s="40">
        <v>0</v>
      </c>
      <c r="S853" s="41" t="s">
        <v>1931</v>
      </c>
      <c r="T853" s="17"/>
      <c r="U853" s="66"/>
      <c r="V853" s="72" t="s">
        <v>2041</v>
      </c>
    </row>
    <row r="854" spans="2:22" s="15" customFormat="1" ht="29" x14ac:dyDescent="0.35">
      <c r="B854" s="64">
        <v>45432</v>
      </c>
      <c r="C854" s="17">
        <v>761</v>
      </c>
      <c r="D854" s="76" t="s">
        <v>1945</v>
      </c>
      <c r="E854" s="85" t="s">
        <v>1929</v>
      </c>
      <c r="F854" s="85" t="s">
        <v>1468</v>
      </c>
      <c r="G854" s="17" t="s">
        <v>5</v>
      </c>
      <c r="H854" s="17" t="s">
        <v>1930</v>
      </c>
      <c r="I854" s="145"/>
      <c r="J854" s="17" t="s">
        <v>1946</v>
      </c>
      <c r="K854" s="17" t="s">
        <v>1947</v>
      </c>
      <c r="L854" s="17" t="s">
        <v>39</v>
      </c>
      <c r="M854" s="38">
        <v>345901012730392</v>
      </c>
      <c r="N854" s="38">
        <v>865011031930457</v>
      </c>
      <c r="O854" s="38"/>
      <c r="P854" s="14" t="s">
        <v>730</v>
      </c>
      <c r="Q854" s="39" t="s">
        <v>1538</v>
      </c>
      <c r="R854" s="40">
        <v>0</v>
      </c>
      <c r="S854" s="41" t="s">
        <v>1931</v>
      </c>
      <c r="T854" s="17"/>
      <c r="U854" s="66"/>
    </row>
    <row r="855" spans="2:22" s="15" customFormat="1" ht="29" x14ac:dyDescent="0.35">
      <c r="B855" s="64">
        <v>45432</v>
      </c>
      <c r="C855" s="17">
        <v>762</v>
      </c>
      <c r="D855" s="36" t="s">
        <v>1948</v>
      </c>
      <c r="E855" s="85" t="s">
        <v>1929</v>
      </c>
      <c r="F855" s="85" t="s">
        <v>1468</v>
      </c>
      <c r="G855" s="17" t="s">
        <v>5</v>
      </c>
      <c r="H855" s="17" t="s">
        <v>1930</v>
      </c>
      <c r="I855" s="145"/>
      <c r="J855" s="17" t="s">
        <v>1949</v>
      </c>
      <c r="K855" s="17" t="s">
        <v>1950</v>
      </c>
      <c r="L855" s="17" t="s">
        <v>39</v>
      </c>
      <c r="M855" s="38" t="s">
        <v>727</v>
      </c>
      <c r="N855" s="38">
        <v>865011031937015</v>
      </c>
      <c r="O855" s="38"/>
      <c r="P855" s="14" t="s">
        <v>726</v>
      </c>
      <c r="Q855" s="39" t="s">
        <v>2559</v>
      </c>
      <c r="R855" s="40">
        <v>0</v>
      </c>
      <c r="S855" s="41" t="s">
        <v>1931</v>
      </c>
      <c r="T855" s="17"/>
      <c r="U855" s="66"/>
    </row>
    <row r="856" spans="2:22" s="15" customFormat="1" ht="43.5" x14ac:dyDescent="0.35">
      <c r="B856" s="64">
        <v>45432</v>
      </c>
      <c r="C856" s="17">
        <v>763</v>
      </c>
      <c r="D856" s="36" t="s">
        <v>1951</v>
      </c>
      <c r="E856" s="85" t="s">
        <v>1929</v>
      </c>
      <c r="F856" s="85" t="s">
        <v>1468</v>
      </c>
      <c r="G856" s="17" t="s">
        <v>5</v>
      </c>
      <c r="H856" s="17" t="s">
        <v>1930</v>
      </c>
      <c r="I856" s="145"/>
      <c r="J856" s="14" t="s">
        <v>2209</v>
      </c>
      <c r="K856" s="17" t="s">
        <v>1103</v>
      </c>
      <c r="L856" s="17" t="s">
        <v>39</v>
      </c>
      <c r="M856" s="38" t="s">
        <v>725</v>
      </c>
      <c r="N856" s="38">
        <v>865011031932735</v>
      </c>
      <c r="O856" s="38"/>
      <c r="P856" s="14" t="s">
        <v>724</v>
      </c>
      <c r="Q856" s="39" t="s">
        <v>2559</v>
      </c>
      <c r="R856" s="40">
        <v>0</v>
      </c>
      <c r="S856" s="41" t="s">
        <v>1931</v>
      </c>
      <c r="T856" s="17"/>
      <c r="U856" s="66"/>
    </row>
    <row r="857" spans="2:22" s="15" customFormat="1" ht="29" x14ac:dyDescent="0.35">
      <c r="B857" s="64">
        <v>45432</v>
      </c>
      <c r="C857" s="17">
        <v>764</v>
      </c>
      <c r="D857" s="36" t="s">
        <v>1952</v>
      </c>
      <c r="E857" s="85" t="s">
        <v>1929</v>
      </c>
      <c r="F857" s="85" t="s">
        <v>1468</v>
      </c>
      <c r="G857" s="17" t="s">
        <v>5</v>
      </c>
      <c r="H857" s="17" t="s">
        <v>1930</v>
      </c>
      <c r="I857" s="145"/>
      <c r="J857" s="17" t="s">
        <v>723</v>
      </c>
      <c r="K857" s="17" t="s">
        <v>1108</v>
      </c>
      <c r="L857" s="17" t="s">
        <v>39</v>
      </c>
      <c r="M857" s="38">
        <v>8123194394</v>
      </c>
      <c r="N857" s="38">
        <v>863844052854186</v>
      </c>
      <c r="O857" s="38"/>
      <c r="P857" s="14" t="s">
        <v>722</v>
      </c>
      <c r="Q857" s="39" t="s">
        <v>2559</v>
      </c>
      <c r="R857" s="40">
        <v>0</v>
      </c>
      <c r="S857" s="41" t="s">
        <v>1931</v>
      </c>
      <c r="T857" s="17"/>
      <c r="U857" s="66"/>
    </row>
    <row r="858" spans="2:22" s="15" customFormat="1" ht="29" x14ac:dyDescent="0.35">
      <c r="B858" s="64">
        <v>45432</v>
      </c>
      <c r="C858" s="17">
        <v>765</v>
      </c>
      <c r="D858" s="71" t="s">
        <v>1953</v>
      </c>
      <c r="E858" s="85" t="s">
        <v>1929</v>
      </c>
      <c r="F858" s="85" t="s">
        <v>1468</v>
      </c>
      <c r="G858" s="17" t="s">
        <v>5</v>
      </c>
      <c r="H858" s="17" t="s">
        <v>1930</v>
      </c>
      <c r="I858" s="145"/>
      <c r="J858" s="17" t="s">
        <v>1954</v>
      </c>
      <c r="K858" s="14" t="s">
        <v>1957</v>
      </c>
      <c r="L858" s="17" t="s">
        <v>39</v>
      </c>
      <c r="M858" s="38">
        <v>8112814639</v>
      </c>
      <c r="N858" s="38">
        <v>865011030541511</v>
      </c>
      <c r="O858" s="38"/>
      <c r="P858" s="14" t="s">
        <v>716</v>
      </c>
      <c r="Q858" s="74" t="s">
        <v>2559</v>
      </c>
      <c r="R858" s="40">
        <v>0</v>
      </c>
      <c r="S858" s="41" t="s">
        <v>1931</v>
      </c>
      <c r="T858" s="17"/>
      <c r="U858" s="66"/>
      <c r="V858" s="72" t="s">
        <v>2041</v>
      </c>
    </row>
    <row r="859" spans="2:22" s="15" customFormat="1" ht="29" x14ac:dyDescent="0.35">
      <c r="B859" s="64">
        <v>45432</v>
      </c>
      <c r="C859" s="17">
        <v>765</v>
      </c>
      <c r="D859" s="36" t="s">
        <v>1953</v>
      </c>
      <c r="E859" s="85" t="s">
        <v>1929</v>
      </c>
      <c r="F859" s="85" t="s">
        <v>1468</v>
      </c>
      <c r="G859" s="17" t="s">
        <v>5</v>
      </c>
      <c r="H859" s="17" t="s">
        <v>1930</v>
      </c>
      <c r="I859" s="145"/>
      <c r="J859" s="17" t="s">
        <v>1954</v>
      </c>
      <c r="K859" s="14" t="s">
        <v>1957</v>
      </c>
      <c r="L859" s="17" t="s">
        <v>39</v>
      </c>
      <c r="M859" s="38">
        <v>8118249663</v>
      </c>
      <c r="N859" s="38">
        <v>865011031939458</v>
      </c>
      <c r="O859" s="38"/>
      <c r="P859" s="14" t="s">
        <v>716</v>
      </c>
      <c r="Q859" s="39" t="s">
        <v>1538</v>
      </c>
      <c r="R859" s="40">
        <v>0</v>
      </c>
      <c r="S859" s="41" t="s">
        <v>1931</v>
      </c>
      <c r="T859" s="17"/>
      <c r="U859" s="66"/>
    </row>
    <row r="860" spans="2:22" s="15" customFormat="1" ht="29" x14ac:dyDescent="0.35">
      <c r="B860" s="64">
        <v>45432</v>
      </c>
      <c r="C860" s="17">
        <v>767</v>
      </c>
      <c r="D860" s="36" t="s">
        <v>1961</v>
      </c>
      <c r="E860" s="85" t="s">
        <v>1929</v>
      </c>
      <c r="F860" s="85" t="s">
        <v>1468</v>
      </c>
      <c r="G860" s="17" t="s">
        <v>5</v>
      </c>
      <c r="H860" s="17" t="s">
        <v>1930</v>
      </c>
      <c r="I860" s="145"/>
      <c r="J860" s="17" t="s">
        <v>670</v>
      </c>
      <c r="K860" s="17" t="s">
        <v>1131</v>
      </c>
      <c r="L860" s="17" t="s">
        <v>39</v>
      </c>
      <c r="M860" s="38">
        <v>8115777975</v>
      </c>
      <c r="N860" s="38">
        <v>359857084642479</v>
      </c>
      <c r="O860" s="38"/>
      <c r="P860" s="14" t="s">
        <v>668</v>
      </c>
      <c r="Q860" s="39" t="s">
        <v>2559</v>
      </c>
      <c r="R860" s="40">
        <v>0</v>
      </c>
      <c r="S860" s="41" t="s">
        <v>1931</v>
      </c>
      <c r="T860" s="17"/>
      <c r="U860" s="66"/>
    </row>
    <row r="861" spans="2:22" s="15" customFormat="1" ht="29" x14ac:dyDescent="0.35">
      <c r="B861" s="64">
        <v>45432</v>
      </c>
      <c r="C861" s="17">
        <v>766</v>
      </c>
      <c r="D861" s="36" t="s">
        <v>1955</v>
      </c>
      <c r="E861" s="85" t="s">
        <v>1929</v>
      </c>
      <c r="F861" s="85" t="s">
        <v>1468</v>
      </c>
      <c r="G861" s="17" t="s">
        <v>5</v>
      </c>
      <c r="H861" s="17" t="s">
        <v>1930</v>
      </c>
      <c r="I861" s="145"/>
      <c r="J861" s="17" t="s">
        <v>1956</v>
      </c>
      <c r="K861" s="17" t="s">
        <v>1958</v>
      </c>
      <c r="L861" s="17" t="s">
        <v>39</v>
      </c>
      <c r="M861" s="38">
        <v>8134058874</v>
      </c>
      <c r="N861" s="38">
        <v>359857084616978</v>
      </c>
      <c r="O861" s="38"/>
      <c r="P861" s="14" t="s">
        <v>664</v>
      </c>
      <c r="Q861" s="39" t="s">
        <v>2559</v>
      </c>
      <c r="R861" s="40">
        <v>0</v>
      </c>
      <c r="S861" s="41" t="s">
        <v>1931</v>
      </c>
      <c r="T861" s="17"/>
      <c r="U861" s="66"/>
    </row>
    <row r="862" spans="2:22" s="15" customFormat="1" ht="29" x14ac:dyDescent="0.35">
      <c r="B862" s="64">
        <v>45432</v>
      </c>
      <c r="C862" s="17">
        <v>768</v>
      </c>
      <c r="D862" s="36" t="s">
        <v>1962</v>
      </c>
      <c r="E862" s="98" t="s">
        <v>1505</v>
      </c>
      <c r="F862" s="71" t="s">
        <v>1468</v>
      </c>
      <c r="G862" s="17" t="s">
        <v>5</v>
      </c>
      <c r="H862" s="17" t="s">
        <v>1930</v>
      </c>
      <c r="I862" s="145"/>
      <c r="J862" s="17" t="s">
        <v>1499</v>
      </c>
      <c r="K862" s="17" t="s">
        <v>1461</v>
      </c>
      <c r="L862" s="17" t="s">
        <v>39</v>
      </c>
      <c r="M862" s="38">
        <v>8134058857</v>
      </c>
      <c r="N862" s="38">
        <v>359857084511641</v>
      </c>
      <c r="O862" s="38"/>
      <c r="P862" s="14" t="s">
        <v>654</v>
      </c>
      <c r="Q862" s="72" t="s">
        <v>1970</v>
      </c>
      <c r="R862" s="40">
        <v>0</v>
      </c>
      <c r="S862" s="41" t="s">
        <v>1504</v>
      </c>
      <c r="T862" s="17"/>
      <c r="U862" s="66"/>
    </row>
    <row r="863" spans="2:22" s="15" customFormat="1" ht="29" x14ac:dyDescent="0.35">
      <c r="B863" s="64">
        <v>45432</v>
      </c>
      <c r="C863" s="17">
        <v>769</v>
      </c>
      <c r="D863" s="36" t="s">
        <v>1963</v>
      </c>
      <c r="E863" s="85" t="s">
        <v>1929</v>
      </c>
      <c r="F863" s="85" t="s">
        <v>1468</v>
      </c>
      <c r="G863" s="17" t="s">
        <v>5</v>
      </c>
      <c r="H863" s="17" t="s">
        <v>1930</v>
      </c>
      <c r="I863" s="145"/>
      <c r="J863" s="17" t="s">
        <v>652</v>
      </c>
      <c r="K863" s="17" t="s">
        <v>1141</v>
      </c>
      <c r="L863" s="17" t="s">
        <v>39</v>
      </c>
      <c r="M863" s="38">
        <v>8123545675</v>
      </c>
      <c r="N863" s="38">
        <v>865011033065252</v>
      </c>
      <c r="O863" s="38"/>
      <c r="P863" s="14" t="s">
        <v>651</v>
      </c>
      <c r="Q863" s="39" t="s">
        <v>2559</v>
      </c>
      <c r="R863" s="40">
        <v>0</v>
      </c>
      <c r="S863" s="41" t="s">
        <v>1931</v>
      </c>
      <c r="T863" s="17"/>
      <c r="U863" s="66"/>
    </row>
    <row r="864" spans="2:22" s="15" customFormat="1" ht="29" x14ac:dyDescent="0.35">
      <c r="B864" s="64">
        <v>45432</v>
      </c>
      <c r="C864" s="17">
        <v>770</v>
      </c>
      <c r="D864" s="36" t="s">
        <v>1964</v>
      </c>
      <c r="E864" s="85" t="s">
        <v>1929</v>
      </c>
      <c r="F864" s="85" t="s">
        <v>1468</v>
      </c>
      <c r="G864" s="17" t="s">
        <v>5</v>
      </c>
      <c r="H864" s="17" t="s">
        <v>1930</v>
      </c>
      <c r="I864" s="145"/>
      <c r="J864" s="17" t="s">
        <v>637</v>
      </c>
      <c r="K864" s="17" t="s">
        <v>1154</v>
      </c>
      <c r="L864" s="17" t="s">
        <v>39</v>
      </c>
      <c r="M864" s="38">
        <v>8120013079</v>
      </c>
      <c r="N864" s="38">
        <v>863844050547113</v>
      </c>
      <c r="O864" s="38"/>
      <c r="P864" s="14" t="s">
        <v>636</v>
      </c>
      <c r="Q864" s="39" t="s">
        <v>2559</v>
      </c>
      <c r="R864" s="40">
        <v>0</v>
      </c>
      <c r="S864" s="41" t="s">
        <v>1931</v>
      </c>
      <c r="T864" s="17"/>
      <c r="U864" s="66"/>
    </row>
    <row r="865" spans="2:22" s="15" customFormat="1" ht="29" x14ac:dyDescent="0.35">
      <c r="B865" s="64">
        <v>45432</v>
      </c>
      <c r="C865" s="17">
        <v>771</v>
      </c>
      <c r="D865" s="36" t="s">
        <v>1965</v>
      </c>
      <c r="E865" s="85" t="s">
        <v>1929</v>
      </c>
      <c r="F865" s="85" t="s">
        <v>1468</v>
      </c>
      <c r="G865" s="17" t="s">
        <v>5</v>
      </c>
      <c r="H865" s="17" t="s">
        <v>1930</v>
      </c>
      <c r="I865" s="145"/>
      <c r="J865" s="17" t="s">
        <v>337</v>
      </c>
      <c r="K865" s="17" t="s">
        <v>1165</v>
      </c>
      <c r="L865" s="17" t="s">
        <v>39</v>
      </c>
      <c r="M865" s="38">
        <v>8135516739</v>
      </c>
      <c r="N865" s="38">
        <v>865011033828881</v>
      </c>
      <c r="O865" s="38"/>
      <c r="P865" s="14" t="s">
        <v>582</v>
      </c>
      <c r="Q865" s="39" t="s">
        <v>1538</v>
      </c>
      <c r="R865" s="40">
        <v>0</v>
      </c>
      <c r="S865" s="41" t="s">
        <v>1931</v>
      </c>
      <c r="T865" s="17"/>
      <c r="U865" s="66"/>
    </row>
    <row r="866" spans="2:22" s="15" customFormat="1" ht="29" x14ac:dyDescent="0.35">
      <c r="B866" s="64">
        <v>45432</v>
      </c>
      <c r="C866" s="17">
        <v>772</v>
      </c>
      <c r="D866" s="36" t="s">
        <v>1966</v>
      </c>
      <c r="E866" s="85" t="s">
        <v>1929</v>
      </c>
      <c r="F866" s="85" t="s">
        <v>1468</v>
      </c>
      <c r="G866" s="17" t="s">
        <v>5</v>
      </c>
      <c r="H866" s="17" t="s">
        <v>1930</v>
      </c>
      <c r="I866" s="145"/>
      <c r="J866" s="17" t="s">
        <v>565</v>
      </c>
      <c r="K866" s="17" t="s">
        <v>1182</v>
      </c>
      <c r="L866" s="17" t="s">
        <v>39</v>
      </c>
      <c r="M866" s="38">
        <v>8118220664</v>
      </c>
      <c r="N866" s="37">
        <v>865011033828766</v>
      </c>
      <c r="O866" s="37"/>
      <c r="P866" s="14" t="s">
        <v>564</v>
      </c>
      <c r="Q866" s="39" t="s">
        <v>2559</v>
      </c>
      <c r="R866" s="40">
        <v>0</v>
      </c>
      <c r="S866" s="41" t="s">
        <v>1931</v>
      </c>
      <c r="T866" s="17"/>
      <c r="U866" s="66"/>
      <c r="V866" s="15" t="s">
        <v>2042</v>
      </c>
    </row>
    <row r="867" spans="2:22" s="15" customFormat="1" ht="29" x14ac:dyDescent="0.35">
      <c r="B867" s="64">
        <v>45432</v>
      </c>
      <c r="C867" s="17">
        <v>773</v>
      </c>
      <c r="D867" s="36" t="s">
        <v>1967</v>
      </c>
      <c r="E867" s="85" t="s">
        <v>1929</v>
      </c>
      <c r="F867" s="85" t="s">
        <v>1468</v>
      </c>
      <c r="G867" s="17" t="s">
        <v>5</v>
      </c>
      <c r="H867" s="17" t="s">
        <v>1930</v>
      </c>
      <c r="I867" s="145"/>
      <c r="J867" s="17" t="s">
        <v>1968</v>
      </c>
      <c r="K867" s="17" t="s">
        <v>1969</v>
      </c>
      <c r="L867" s="17" t="s">
        <v>39</v>
      </c>
      <c r="M867" s="38">
        <v>8184663187</v>
      </c>
      <c r="N867" s="38">
        <v>863844055230178</v>
      </c>
      <c r="O867" s="38"/>
      <c r="P867" s="14" t="s">
        <v>546</v>
      </c>
      <c r="Q867" s="39" t="s">
        <v>2559</v>
      </c>
      <c r="R867" s="40">
        <v>0</v>
      </c>
      <c r="S867" s="41" t="s">
        <v>1931</v>
      </c>
      <c r="T867" s="17"/>
      <c r="U867" s="66"/>
    </row>
    <row r="868" spans="2:22" s="15" customFormat="1" ht="29" x14ac:dyDescent="0.35">
      <c r="B868" s="64">
        <v>45432</v>
      </c>
      <c r="C868" s="17">
        <v>774</v>
      </c>
      <c r="D868" s="36" t="s">
        <v>1981</v>
      </c>
      <c r="E868" s="85" t="s">
        <v>1929</v>
      </c>
      <c r="F868" s="85" t="s">
        <v>1468</v>
      </c>
      <c r="G868" s="17" t="s">
        <v>5</v>
      </c>
      <c r="H868" s="17" t="s">
        <v>1930</v>
      </c>
      <c r="I868" s="145"/>
      <c r="J868" s="17" t="s">
        <v>506</v>
      </c>
      <c r="K868" s="17" t="s">
        <v>1206</v>
      </c>
      <c r="L868" s="17" t="s">
        <v>39</v>
      </c>
      <c r="M868" s="38">
        <v>8114856573</v>
      </c>
      <c r="N868" s="38">
        <v>865011034400037</v>
      </c>
      <c r="O868" s="38"/>
      <c r="P868" s="14" t="s">
        <v>505</v>
      </c>
      <c r="Q868" s="39" t="s">
        <v>1538</v>
      </c>
      <c r="R868" s="40">
        <v>0</v>
      </c>
      <c r="S868" s="41" t="s">
        <v>1931</v>
      </c>
      <c r="T868" s="17"/>
      <c r="U868" s="66"/>
    </row>
    <row r="869" spans="2:22" s="15" customFormat="1" ht="29" x14ac:dyDescent="0.35">
      <c r="B869" s="64">
        <v>45432</v>
      </c>
      <c r="C869" s="17">
        <v>775</v>
      </c>
      <c r="D869" s="36" t="s">
        <v>1982</v>
      </c>
      <c r="E869" s="85" t="s">
        <v>1929</v>
      </c>
      <c r="F869" s="85" t="s">
        <v>1468</v>
      </c>
      <c r="G869" s="17" t="s">
        <v>5</v>
      </c>
      <c r="H869" s="17" t="s">
        <v>1930</v>
      </c>
      <c r="I869" s="145"/>
      <c r="J869" s="17" t="s">
        <v>489</v>
      </c>
      <c r="K869" s="17" t="s">
        <v>1212</v>
      </c>
      <c r="L869" s="17" t="s">
        <v>39</v>
      </c>
      <c r="M869" s="38">
        <v>8135514813</v>
      </c>
      <c r="N869" s="38">
        <v>865011033830424</v>
      </c>
      <c r="O869" s="38"/>
      <c r="P869" s="14" t="s">
        <v>488</v>
      </c>
      <c r="Q869" s="39" t="s">
        <v>1538</v>
      </c>
      <c r="R869" s="40">
        <v>0</v>
      </c>
      <c r="S869" s="41" t="s">
        <v>1931</v>
      </c>
      <c r="T869" s="17"/>
      <c r="U869" s="66"/>
    </row>
    <row r="870" spans="2:22" s="15" customFormat="1" ht="29" x14ac:dyDescent="0.35">
      <c r="B870" s="64">
        <v>45432</v>
      </c>
      <c r="C870" s="17">
        <v>776</v>
      </c>
      <c r="D870" s="36" t="s">
        <v>1983</v>
      </c>
      <c r="E870" s="85" t="s">
        <v>1929</v>
      </c>
      <c r="F870" s="85" t="s">
        <v>1468</v>
      </c>
      <c r="G870" s="17" t="s">
        <v>5</v>
      </c>
      <c r="H870" s="17" t="s">
        <v>1930</v>
      </c>
      <c r="I870" s="145"/>
      <c r="J870" s="17" t="s">
        <v>452</v>
      </c>
      <c r="K870" s="17" t="s">
        <v>1984</v>
      </c>
      <c r="L870" s="17" t="s">
        <v>39</v>
      </c>
      <c r="M870" s="55">
        <v>8115381049</v>
      </c>
      <c r="N870" s="56">
        <v>863844055040106</v>
      </c>
      <c r="O870" s="56"/>
      <c r="P870" s="55" t="s">
        <v>451</v>
      </c>
      <c r="Q870" s="39" t="s">
        <v>1538</v>
      </c>
      <c r="R870" s="40">
        <v>0</v>
      </c>
      <c r="S870" s="41" t="s">
        <v>1931</v>
      </c>
      <c r="T870" s="17"/>
      <c r="U870" s="66"/>
    </row>
    <row r="871" spans="2:22" s="15" customFormat="1" ht="29" x14ac:dyDescent="0.35">
      <c r="B871" s="64">
        <v>45432</v>
      </c>
      <c r="C871" s="17">
        <v>777</v>
      </c>
      <c r="D871" s="36" t="s">
        <v>1985</v>
      </c>
      <c r="E871" s="85" t="s">
        <v>1929</v>
      </c>
      <c r="F871" s="85" t="s">
        <v>1468</v>
      </c>
      <c r="G871" s="17" t="s">
        <v>5</v>
      </c>
      <c r="H871" s="17" t="s">
        <v>1930</v>
      </c>
      <c r="I871" s="145"/>
      <c r="J871" s="17" t="s">
        <v>1991</v>
      </c>
      <c r="K871" s="17" t="s">
        <v>1225</v>
      </c>
      <c r="L871" s="17" t="s">
        <v>39</v>
      </c>
      <c r="M871" s="37">
        <v>8123191539</v>
      </c>
      <c r="N871" s="38">
        <v>865011034398413</v>
      </c>
      <c r="O871" s="38"/>
      <c r="P871" s="14" t="s">
        <v>430</v>
      </c>
      <c r="Q871" s="39" t="s">
        <v>1538</v>
      </c>
      <c r="R871" s="40">
        <v>0</v>
      </c>
      <c r="S871" s="41" t="s">
        <v>1931</v>
      </c>
      <c r="T871" s="17"/>
      <c r="U871" s="66"/>
    </row>
    <row r="872" spans="2:22" s="15" customFormat="1" ht="29" x14ac:dyDescent="0.35">
      <c r="B872" s="64">
        <v>45432</v>
      </c>
      <c r="C872" s="17">
        <v>778</v>
      </c>
      <c r="D872" s="36" t="s">
        <v>1992</v>
      </c>
      <c r="E872" s="85" t="s">
        <v>1929</v>
      </c>
      <c r="F872" s="85" t="s">
        <v>1468</v>
      </c>
      <c r="G872" s="17" t="s">
        <v>5</v>
      </c>
      <c r="H872" s="17" t="s">
        <v>1930</v>
      </c>
      <c r="I872" s="145"/>
      <c r="J872" s="14" t="s">
        <v>2031</v>
      </c>
      <c r="K872" s="17" t="s">
        <v>1993</v>
      </c>
      <c r="L872" s="17" t="s">
        <v>39</v>
      </c>
      <c r="M872" s="37">
        <v>8135518619</v>
      </c>
      <c r="N872" s="38">
        <v>865011033829442</v>
      </c>
      <c r="O872" s="38"/>
      <c r="P872" s="14" t="s">
        <v>399</v>
      </c>
      <c r="Q872" s="39" t="s">
        <v>1538</v>
      </c>
      <c r="R872" s="40">
        <v>0</v>
      </c>
      <c r="S872" s="41" t="s">
        <v>1931</v>
      </c>
      <c r="T872" s="17"/>
      <c r="U872" s="66"/>
    </row>
    <row r="873" spans="2:22" s="15" customFormat="1" ht="29" x14ac:dyDescent="0.35">
      <c r="B873" s="64">
        <v>45432</v>
      </c>
      <c r="C873" s="17">
        <v>779</v>
      </c>
      <c r="D873" s="36" t="s">
        <v>1994</v>
      </c>
      <c r="E873" s="85" t="s">
        <v>1929</v>
      </c>
      <c r="F873" s="85" t="s">
        <v>1468</v>
      </c>
      <c r="G873" s="17" t="s">
        <v>5</v>
      </c>
      <c r="H873" s="17" t="s">
        <v>1930</v>
      </c>
      <c r="I873" s="145"/>
      <c r="J873" s="17" t="s">
        <v>297</v>
      </c>
      <c r="K873" s="17" t="s">
        <v>1292</v>
      </c>
      <c r="L873" s="17" t="s">
        <v>39</v>
      </c>
      <c r="M873" s="37">
        <v>8119170609</v>
      </c>
      <c r="N873" s="38">
        <v>863756050116055</v>
      </c>
      <c r="O873" s="38"/>
      <c r="P873" s="14" t="s">
        <v>296</v>
      </c>
      <c r="Q873" s="39" t="s">
        <v>1538</v>
      </c>
      <c r="R873" s="40">
        <v>0</v>
      </c>
      <c r="S873" s="41" t="s">
        <v>1931</v>
      </c>
      <c r="T873" s="17"/>
      <c r="U873" s="66"/>
    </row>
    <row r="874" spans="2:22" s="15" customFormat="1" ht="29" x14ac:dyDescent="0.35">
      <c r="B874" s="64">
        <v>45432</v>
      </c>
      <c r="C874" s="17">
        <v>780</v>
      </c>
      <c r="D874" s="36" t="s">
        <v>2251</v>
      </c>
      <c r="E874" s="17" t="s">
        <v>1505</v>
      </c>
      <c r="F874" s="85" t="s">
        <v>1468</v>
      </c>
      <c r="G874" s="17" t="s">
        <v>5</v>
      </c>
      <c r="H874" s="17" t="s">
        <v>1930</v>
      </c>
      <c r="I874" s="145"/>
      <c r="J874" s="17" t="s">
        <v>2252</v>
      </c>
      <c r="K874" s="17" t="s">
        <v>1293</v>
      </c>
      <c r="L874" s="17" t="s">
        <v>39</v>
      </c>
      <c r="M874" s="37">
        <v>8119774593</v>
      </c>
      <c r="N874" s="38">
        <v>863756050116675</v>
      </c>
      <c r="O874" s="38"/>
      <c r="P874" s="14" t="s">
        <v>293</v>
      </c>
      <c r="Q874" s="72" t="s">
        <v>2032</v>
      </c>
      <c r="R874" s="40">
        <v>0</v>
      </c>
      <c r="S874" s="41" t="s">
        <v>1504</v>
      </c>
      <c r="T874" s="17"/>
      <c r="U874" s="66"/>
    </row>
    <row r="875" spans="2:22" s="15" customFormat="1" ht="29" x14ac:dyDescent="0.35">
      <c r="B875" s="64">
        <v>45432</v>
      </c>
      <c r="C875" s="17">
        <v>781</v>
      </c>
      <c r="D875" s="36" t="s">
        <v>2001</v>
      </c>
      <c r="E875" s="85" t="s">
        <v>1929</v>
      </c>
      <c r="F875" s="85" t="s">
        <v>1468</v>
      </c>
      <c r="G875" s="17" t="s">
        <v>5</v>
      </c>
      <c r="H875" s="17" t="s">
        <v>1930</v>
      </c>
      <c r="I875" s="145"/>
      <c r="J875" s="17" t="s">
        <v>2946</v>
      </c>
      <c r="K875" s="17" t="s">
        <v>2002</v>
      </c>
      <c r="L875" s="17" t="s">
        <v>39</v>
      </c>
      <c r="M875" s="37">
        <v>8120013133</v>
      </c>
      <c r="N875" s="38">
        <v>863756050055832</v>
      </c>
      <c r="O875" s="38"/>
      <c r="P875" s="14" t="s">
        <v>278</v>
      </c>
      <c r="Q875" s="39" t="s">
        <v>1538</v>
      </c>
      <c r="R875" s="40">
        <v>0</v>
      </c>
      <c r="S875" s="41" t="s">
        <v>1931</v>
      </c>
      <c r="T875" s="17"/>
      <c r="U875" s="66"/>
    </row>
    <row r="876" spans="2:22" s="15" customFormat="1" ht="29" x14ac:dyDescent="0.35">
      <c r="B876" s="64">
        <v>45432</v>
      </c>
      <c r="C876" s="17">
        <v>782</v>
      </c>
      <c r="D876" s="36" t="s">
        <v>2003</v>
      </c>
      <c r="E876" s="85" t="s">
        <v>1929</v>
      </c>
      <c r="F876" s="85" t="s">
        <v>1468</v>
      </c>
      <c r="G876" s="17" t="s">
        <v>5</v>
      </c>
      <c r="H876" s="17" t="s">
        <v>1930</v>
      </c>
      <c r="I876" s="145"/>
      <c r="J876" s="17" t="s">
        <v>212</v>
      </c>
      <c r="K876" s="17" t="s">
        <v>1309</v>
      </c>
      <c r="L876" s="17" t="s">
        <v>39</v>
      </c>
      <c r="M876" s="38">
        <v>8181122535</v>
      </c>
      <c r="N876" s="38">
        <v>867553057586869</v>
      </c>
      <c r="O876" s="38"/>
      <c r="P876" s="14" t="s">
        <v>211</v>
      </c>
      <c r="Q876" s="39" t="s">
        <v>1538</v>
      </c>
      <c r="R876" s="40">
        <v>0</v>
      </c>
      <c r="S876" s="41" t="s">
        <v>1931</v>
      </c>
      <c r="T876" s="17"/>
      <c r="U876" s="66"/>
    </row>
    <row r="877" spans="2:22" s="15" customFormat="1" ht="29" x14ac:dyDescent="0.35">
      <c r="B877" s="64">
        <v>45432</v>
      </c>
      <c r="C877" s="17">
        <v>783</v>
      </c>
      <c r="D877" s="36" t="s">
        <v>2013</v>
      </c>
      <c r="E877" s="85" t="s">
        <v>1929</v>
      </c>
      <c r="F877" s="85" t="s">
        <v>1468</v>
      </c>
      <c r="G877" s="17" t="s">
        <v>5</v>
      </c>
      <c r="H877" s="17" t="s">
        <v>1930</v>
      </c>
      <c r="I877" s="145"/>
      <c r="J877" s="17" t="s">
        <v>240</v>
      </c>
      <c r="K877" s="17" t="s">
        <v>1311</v>
      </c>
      <c r="L877" s="17" t="s">
        <v>39</v>
      </c>
      <c r="M877" s="38">
        <v>8116006935</v>
      </c>
      <c r="N877" s="38">
        <v>864606047593891</v>
      </c>
      <c r="O877" s="38"/>
      <c r="P877" s="14" t="s">
        <v>238</v>
      </c>
      <c r="Q877" s="39" t="s">
        <v>1538</v>
      </c>
      <c r="R877" s="40">
        <v>0</v>
      </c>
      <c r="S877" s="41" t="s">
        <v>1931</v>
      </c>
      <c r="T877" s="17"/>
      <c r="U877" s="66"/>
    </row>
    <row r="878" spans="2:22" s="15" customFormat="1" ht="29" x14ac:dyDescent="0.35">
      <c r="B878" s="64">
        <v>45432</v>
      </c>
      <c r="C878" s="17">
        <v>784</v>
      </c>
      <c r="D878" s="36" t="s">
        <v>2014</v>
      </c>
      <c r="E878" s="85" t="s">
        <v>1929</v>
      </c>
      <c r="F878" s="85" t="s">
        <v>1468</v>
      </c>
      <c r="G878" s="17" t="s">
        <v>5</v>
      </c>
      <c r="H878" s="17" t="s">
        <v>1930</v>
      </c>
      <c r="I878" s="145"/>
      <c r="J878" s="17" t="s">
        <v>225</v>
      </c>
      <c r="K878" s="17" t="s">
        <v>1319</v>
      </c>
      <c r="L878" s="17" t="s">
        <v>39</v>
      </c>
      <c r="M878" s="37">
        <v>8120360505</v>
      </c>
      <c r="N878" s="38">
        <v>868166053905584</v>
      </c>
      <c r="O878" s="38"/>
      <c r="P878" s="14" t="s">
        <v>224</v>
      </c>
      <c r="Q878" s="39" t="s">
        <v>1538</v>
      </c>
      <c r="R878" s="40">
        <v>0</v>
      </c>
      <c r="S878" s="41" t="s">
        <v>1931</v>
      </c>
      <c r="T878" s="17"/>
      <c r="U878" s="66"/>
    </row>
    <row r="879" spans="2:22" s="15" customFormat="1" ht="29" x14ac:dyDescent="0.35">
      <c r="B879" s="64">
        <v>45432</v>
      </c>
      <c r="C879" s="17">
        <v>785</v>
      </c>
      <c r="D879" s="36" t="s">
        <v>2015</v>
      </c>
      <c r="E879" s="85" t="s">
        <v>1929</v>
      </c>
      <c r="F879" s="85" t="s">
        <v>1468</v>
      </c>
      <c r="G879" s="17" t="s">
        <v>5</v>
      </c>
      <c r="H879" s="17" t="s">
        <v>1930</v>
      </c>
      <c r="I879" s="145"/>
      <c r="J879" s="17" t="s">
        <v>2016</v>
      </c>
      <c r="K879" s="17" t="s">
        <v>2017</v>
      </c>
      <c r="L879" s="17" t="s">
        <v>39</v>
      </c>
      <c r="M879" s="37">
        <v>8184663520</v>
      </c>
      <c r="N879" s="38">
        <v>860186051803225</v>
      </c>
      <c r="O879" s="38"/>
      <c r="P879" s="14" t="s">
        <v>223</v>
      </c>
      <c r="Q879" s="39" t="s">
        <v>1538</v>
      </c>
      <c r="R879" s="40">
        <v>0</v>
      </c>
      <c r="S879" s="41" t="s">
        <v>1931</v>
      </c>
      <c r="T879" s="17"/>
      <c r="U879" s="66"/>
    </row>
    <row r="880" spans="2:22" s="15" customFormat="1" ht="29" x14ac:dyDescent="0.35">
      <c r="B880" s="64">
        <v>45432</v>
      </c>
      <c r="C880" s="17">
        <v>786</v>
      </c>
      <c r="D880" s="36" t="s">
        <v>2018</v>
      </c>
      <c r="E880" s="85" t="s">
        <v>1929</v>
      </c>
      <c r="F880" s="85" t="s">
        <v>1468</v>
      </c>
      <c r="G880" s="17" t="s">
        <v>5</v>
      </c>
      <c r="H880" s="17" t="s">
        <v>1930</v>
      </c>
      <c r="I880" s="145"/>
      <c r="J880" s="17" t="s">
        <v>2019</v>
      </c>
      <c r="K880" s="17" t="s">
        <v>2020</v>
      </c>
      <c r="L880" s="17" t="s">
        <v>39</v>
      </c>
      <c r="M880" s="38">
        <v>8126212643</v>
      </c>
      <c r="N880" s="38">
        <v>868166053314746</v>
      </c>
      <c r="O880" s="38"/>
      <c r="P880" s="14" t="s">
        <v>182</v>
      </c>
      <c r="Q880" s="39" t="s">
        <v>1538</v>
      </c>
      <c r="R880" s="40">
        <v>0</v>
      </c>
      <c r="S880" s="41" t="s">
        <v>1931</v>
      </c>
      <c r="T880" s="17"/>
      <c r="U880" s="66"/>
    </row>
    <row r="881" spans="2:21" s="15" customFormat="1" ht="29" x14ac:dyDescent="0.35">
      <c r="B881" s="64">
        <v>45432</v>
      </c>
      <c r="C881" s="17">
        <v>787</v>
      </c>
      <c r="D881" s="36" t="s">
        <v>2021</v>
      </c>
      <c r="E881" s="85" t="s">
        <v>1929</v>
      </c>
      <c r="F881" s="85" t="s">
        <v>1468</v>
      </c>
      <c r="G881" s="17" t="s">
        <v>5</v>
      </c>
      <c r="H881" s="17" t="s">
        <v>1930</v>
      </c>
      <c r="I881" s="145"/>
      <c r="J881" s="17" t="s">
        <v>176</v>
      </c>
      <c r="K881" s="17" t="s">
        <v>1337</v>
      </c>
      <c r="L881" s="17" t="s">
        <v>39</v>
      </c>
      <c r="M881" s="37">
        <v>8182532965</v>
      </c>
      <c r="N881" s="38">
        <v>868166053315149</v>
      </c>
      <c r="O881" s="38"/>
      <c r="P881" s="14" t="s">
        <v>175</v>
      </c>
      <c r="Q881" s="39" t="s">
        <v>1538</v>
      </c>
      <c r="R881" s="40">
        <v>0</v>
      </c>
      <c r="S881" s="41" t="s">
        <v>1931</v>
      </c>
      <c r="T881" s="17"/>
      <c r="U881" s="66"/>
    </row>
    <row r="882" spans="2:21" s="15" customFormat="1" ht="29" x14ac:dyDescent="0.35">
      <c r="B882" s="64">
        <v>45432</v>
      </c>
      <c r="C882" s="17">
        <v>788</v>
      </c>
      <c r="D882" s="36" t="s">
        <v>2022</v>
      </c>
      <c r="E882" s="85" t="s">
        <v>1929</v>
      </c>
      <c r="F882" s="85" t="s">
        <v>1468</v>
      </c>
      <c r="G882" s="17" t="s">
        <v>5</v>
      </c>
      <c r="H882" s="17" t="s">
        <v>1930</v>
      </c>
      <c r="I882" s="145"/>
      <c r="J882" s="17" t="s">
        <v>160</v>
      </c>
      <c r="K882" s="17" t="s">
        <v>1343</v>
      </c>
      <c r="L882" s="17" t="s">
        <v>39</v>
      </c>
      <c r="M882" s="37">
        <v>8184661257</v>
      </c>
      <c r="N882" s="38">
        <v>868166053312617</v>
      </c>
      <c r="O882" s="38"/>
      <c r="P882" s="14" t="s">
        <v>159</v>
      </c>
      <c r="Q882" s="39" t="s">
        <v>1538</v>
      </c>
      <c r="R882" s="40">
        <v>0</v>
      </c>
      <c r="S882" s="41" t="s">
        <v>1931</v>
      </c>
      <c r="T882" s="17"/>
      <c r="U882" s="66"/>
    </row>
    <row r="883" spans="2:21" s="15" customFormat="1" ht="29" x14ac:dyDescent="0.35">
      <c r="B883" s="64">
        <v>45432</v>
      </c>
      <c r="C883" s="17">
        <v>789</v>
      </c>
      <c r="D883" s="36" t="s">
        <v>2023</v>
      </c>
      <c r="E883" s="85" t="s">
        <v>1929</v>
      </c>
      <c r="F883" s="85" t="s">
        <v>1468</v>
      </c>
      <c r="G883" s="17" t="s">
        <v>5</v>
      </c>
      <c r="H883" s="17" t="s">
        <v>1930</v>
      </c>
      <c r="I883" s="145"/>
      <c r="J883" s="17" t="s">
        <v>2024</v>
      </c>
      <c r="K883" s="17" t="s">
        <v>2025</v>
      </c>
      <c r="L883" s="17" t="s">
        <v>39</v>
      </c>
      <c r="M883" s="37">
        <v>8110203222</v>
      </c>
      <c r="N883" s="38">
        <v>868166053311585</v>
      </c>
      <c r="O883" s="38"/>
      <c r="P883" s="14" t="s">
        <v>136</v>
      </c>
      <c r="Q883" s="39" t="s">
        <v>1538</v>
      </c>
      <c r="R883" s="40">
        <v>0</v>
      </c>
      <c r="S883" s="41" t="s">
        <v>1931</v>
      </c>
      <c r="T883" s="17"/>
      <c r="U883" s="66"/>
    </row>
    <row r="884" spans="2:21" s="15" customFormat="1" ht="29" x14ac:dyDescent="0.35">
      <c r="B884" s="64">
        <v>45432</v>
      </c>
      <c r="C884" s="17">
        <v>790</v>
      </c>
      <c r="D884" s="36" t="s">
        <v>2026</v>
      </c>
      <c r="E884" s="85" t="s">
        <v>1929</v>
      </c>
      <c r="F884" s="85" t="s">
        <v>1468</v>
      </c>
      <c r="G884" s="17" t="s">
        <v>5</v>
      </c>
      <c r="H884" s="17" t="s">
        <v>1930</v>
      </c>
      <c r="I884" s="145"/>
      <c r="J884" s="17" t="s">
        <v>94</v>
      </c>
      <c r="K884" s="17" t="s">
        <v>1370</v>
      </c>
      <c r="L884" s="17" t="s">
        <v>39</v>
      </c>
      <c r="M884" s="37">
        <v>8119174177</v>
      </c>
      <c r="N884" s="37">
        <v>865011031686075</v>
      </c>
      <c r="O884" s="37"/>
      <c r="P884" s="14" t="s">
        <v>92</v>
      </c>
      <c r="Q884" s="39" t="s">
        <v>1538</v>
      </c>
      <c r="R884" s="40">
        <v>0</v>
      </c>
      <c r="S884" s="41" t="s">
        <v>1931</v>
      </c>
      <c r="T884" s="17"/>
      <c r="U884" s="66"/>
    </row>
    <row r="885" spans="2:21" s="15" customFormat="1" ht="29" x14ac:dyDescent="0.35">
      <c r="B885" s="64">
        <v>45432</v>
      </c>
      <c r="C885" s="17">
        <v>791</v>
      </c>
      <c r="D885" s="36" t="s">
        <v>2027</v>
      </c>
      <c r="E885" s="85" t="s">
        <v>1929</v>
      </c>
      <c r="F885" s="85" t="s">
        <v>1468</v>
      </c>
      <c r="G885" s="17" t="s">
        <v>5</v>
      </c>
      <c r="H885" s="17" t="s">
        <v>1930</v>
      </c>
      <c r="I885" s="145"/>
      <c r="J885" s="17" t="s">
        <v>2043</v>
      </c>
      <c r="K885" s="17" t="s">
        <v>1448</v>
      </c>
      <c r="L885" s="17" t="s">
        <v>39</v>
      </c>
      <c r="M885" s="14">
        <v>8112429599</v>
      </c>
      <c r="N885" s="16">
        <v>869220041212386</v>
      </c>
      <c r="O885" s="16"/>
      <c r="P885" s="17" t="s">
        <v>956</v>
      </c>
      <c r="Q885" s="39" t="s">
        <v>1538</v>
      </c>
      <c r="R885" s="40">
        <v>0</v>
      </c>
      <c r="S885" s="41" t="s">
        <v>1931</v>
      </c>
      <c r="T885" s="17"/>
      <c r="U885" s="66"/>
    </row>
    <row r="886" spans="2:21" s="15" customFormat="1" ht="29" x14ac:dyDescent="0.35">
      <c r="B886" s="64">
        <v>45432</v>
      </c>
      <c r="C886" s="17">
        <v>792</v>
      </c>
      <c r="D886" s="36" t="s">
        <v>2028</v>
      </c>
      <c r="E886" s="85" t="s">
        <v>1929</v>
      </c>
      <c r="F886" s="85" t="s">
        <v>1468</v>
      </c>
      <c r="G886" s="17" t="s">
        <v>5</v>
      </c>
      <c r="H886" s="17" t="s">
        <v>1930</v>
      </c>
      <c r="I886" s="145"/>
      <c r="J886" s="17" t="s">
        <v>2029</v>
      </c>
      <c r="K886" s="17" t="s">
        <v>2030</v>
      </c>
      <c r="L886" s="17" t="s">
        <v>39</v>
      </c>
      <c r="M886" s="65">
        <v>8115294135</v>
      </c>
      <c r="N886" s="16">
        <v>868166057398695</v>
      </c>
      <c r="O886" s="16"/>
      <c r="P886" s="17" t="s">
        <v>1633</v>
      </c>
      <c r="Q886" s="39" t="s">
        <v>1538</v>
      </c>
      <c r="R886" s="40">
        <v>0</v>
      </c>
      <c r="S886" s="41" t="s">
        <v>1931</v>
      </c>
      <c r="T886" s="17"/>
      <c r="U886" s="66"/>
    </row>
    <row r="887" spans="2:21" s="15" customFormat="1" ht="29" x14ac:dyDescent="0.35">
      <c r="B887" s="64">
        <v>45433</v>
      </c>
      <c r="C887" s="17">
        <v>793</v>
      </c>
      <c r="D887" s="85" t="s">
        <v>4139</v>
      </c>
      <c r="E887" s="85" t="s">
        <v>1916</v>
      </c>
      <c r="F887" s="85" t="s">
        <v>13</v>
      </c>
      <c r="G887" s="17" t="s">
        <v>1805</v>
      </c>
      <c r="H887" s="17" t="s">
        <v>1715</v>
      </c>
      <c r="I887" s="145">
        <v>0.45833333333333331</v>
      </c>
      <c r="J887" s="17" t="s">
        <v>4161</v>
      </c>
      <c r="K887" s="17" t="s">
        <v>1917</v>
      </c>
      <c r="L887" s="17" t="s">
        <v>965</v>
      </c>
      <c r="M887" s="14">
        <v>8120392455</v>
      </c>
      <c r="N887" s="38">
        <v>868166059175539</v>
      </c>
      <c r="O887" s="16" t="s">
        <v>39</v>
      </c>
      <c r="P887" s="17" t="s">
        <v>1918</v>
      </c>
      <c r="Q887" s="17" t="s">
        <v>2559</v>
      </c>
      <c r="R887" s="40">
        <v>1999.84</v>
      </c>
      <c r="S887" s="19" t="s">
        <v>4147</v>
      </c>
      <c r="T887" s="17"/>
      <c r="U887" s="66"/>
    </row>
    <row r="888" spans="2:21" s="15" customFormat="1" ht="39" x14ac:dyDescent="0.35">
      <c r="B888" s="64">
        <v>45434</v>
      </c>
      <c r="C888" s="17">
        <v>794</v>
      </c>
      <c r="D888" s="85" t="s">
        <v>3027</v>
      </c>
      <c r="E888" s="85" t="s">
        <v>1919</v>
      </c>
      <c r="F888" s="85" t="s">
        <v>36</v>
      </c>
      <c r="G888" s="17" t="s">
        <v>5</v>
      </c>
      <c r="H888" s="17" t="s">
        <v>1920</v>
      </c>
      <c r="I888" s="145">
        <v>0.64583333333333337</v>
      </c>
      <c r="J888" s="17" t="s">
        <v>3156</v>
      </c>
      <c r="K888" s="14" t="s">
        <v>2064</v>
      </c>
      <c r="L888" s="17" t="s">
        <v>965</v>
      </c>
      <c r="M888" s="37">
        <v>8112528118</v>
      </c>
      <c r="N888" s="38">
        <v>868998039483314</v>
      </c>
      <c r="O888" s="16" t="s">
        <v>3158</v>
      </c>
      <c r="P888" s="17" t="s">
        <v>324</v>
      </c>
      <c r="Q888" s="95" t="s">
        <v>3157</v>
      </c>
      <c r="R888" s="18">
        <f>522</f>
        <v>522</v>
      </c>
      <c r="S888" s="19" t="s">
        <v>2977</v>
      </c>
      <c r="T888" s="17"/>
      <c r="U888" s="66"/>
    </row>
    <row r="889" spans="2:21" s="15" customFormat="1" ht="29" x14ac:dyDescent="0.35">
      <c r="B889" s="64">
        <v>45434</v>
      </c>
      <c r="C889" s="17">
        <v>795</v>
      </c>
      <c r="D889" s="36" t="s">
        <v>39</v>
      </c>
      <c r="E889" s="36" t="s">
        <v>39</v>
      </c>
      <c r="F889" s="85" t="s">
        <v>40</v>
      </c>
      <c r="G889" s="17" t="s">
        <v>5</v>
      </c>
      <c r="H889" s="17" t="s">
        <v>1720</v>
      </c>
      <c r="I889" s="145"/>
      <c r="J889" s="17" t="s">
        <v>1921</v>
      </c>
      <c r="K889" s="17" t="s">
        <v>1922</v>
      </c>
      <c r="L889" s="17" t="s">
        <v>965</v>
      </c>
      <c r="M889" s="16" t="s">
        <v>39</v>
      </c>
      <c r="N889" s="16" t="s">
        <v>39</v>
      </c>
      <c r="O889" s="16"/>
      <c r="P889" s="17" t="s">
        <v>39</v>
      </c>
      <c r="Q889" s="14" t="s">
        <v>1925</v>
      </c>
      <c r="R889" s="40">
        <v>290</v>
      </c>
      <c r="S889" s="41"/>
      <c r="T889" s="17"/>
      <c r="U889" s="66"/>
    </row>
    <row r="890" spans="2:21" s="15" customFormat="1" ht="29" x14ac:dyDescent="0.35">
      <c r="B890" s="64">
        <v>45435</v>
      </c>
      <c r="C890" s="17">
        <v>796</v>
      </c>
      <c r="D890" s="85" t="s">
        <v>3414</v>
      </c>
      <c r="E890" s="85" t="s">
        <v>1923</v>
      </c>
      <c r="F890" s="85" t="s">
        <v>13</v>
      </c>
      <c r="G890" s="17" t="s">
        <v>5</v>
      </c>
      <c r="H890" s="17" t="s">
        <v>1720</v>
      </c>
      <c r="I890" s="145">
        <v>0.39583333333333331</v>
      </c>
      <c r="J890" s="17" t="s">
        <v>3524</v>
      </c>
      <c r="K890" s="17" t="s">
        <v>1924</v>
      </c>
      <c r="L890" s="17" t="s">
        <v>965</v>
      </c>
      <c r="M890" s="16">
        <v>8135511214</v>
      </c>
      <c r="N890" s="16">
        <v>868166059175547</v>
      </c>
      <c r="O890" s="16" t="s">
        <v>3472</v>
      </c>
      <c r="P890" s="17" t="s">
        <v>3471</v>
      </c>
      <c r="Q890" s="17" t="s">
        <v>2559</v>
      </c>
      <c r="R890" s="40">
        <v>1999.84</v>
      </c>
      <c r="S890" s="19" t="s">
        <v>3329</v>
      </c>
      <c r="T890" s="17"/>
      <c r="U890" s="66"/>
    </row>
    <row r="891" spans="2:21" s="15" customFormat="1" ht="29" x14ac:dyDescent="0.35">
      <c r="B891" s="64">
        <v>45435</v>
      </c>
      <c r="C891" s="17">
        <v>797</v>
      </c>
      <c r="D891" s="85" t="s">
        <v>4041</v>
      </c>
      <c r="E891" s="85" t="s">
        <v>1923</v>
      </c>
      <c r="F891" s="85" t="s">
        <v>13</v>
      </c>
      <c r="G891" s="17" t="s">
        <v>21</v>
      </c>
      <c r="H891" s="17" t="s">
        <v>1927</v>
      </c>
      <c r="I891" s="145" t="s">
        <v>4277</v>
      </c>
      <c r="J891" s="17" t="s">
        <v>4317</v>
      </c>
      <c r="K891" s="17" t="s">
        <v>1926</v>
      </c>
      <c r="L891" s="17" t="s">
        <v>965</v>
      </c>
      <c r="M891" s="16">
        <v>8135511028</v>
      </c>
      <c r="N891" s="16">
        <v>868166059175513</v>
      </c>
      <c r="O891" s="16" t="s">
        <v>4044</v>
      </c>
      <c r="P891" s="17" t="s">
        <v>4043</v>
      </c>
      <c r="Q891" s="17" t="s">
        <v>4174</v>
      </c>
      <c r="R891" s="40">
        <v>1999.84</v>
      </c>
      <c r="S891" s="19" t="s">
        <v>3584</v>
      </c>
      <c r="T891" s="17"/>
      <c r="U891" s="66"/>
    </row>
    <row r="892" spans="2:21" s="15" customFormat="1" ht="29" x14ac:dyDescent="0.35">
      <c r="B892" s="64">
        <v>45439</v>
      </c>
      <c r="C892" s="17">
        <v>798</v>
      </c>
      <c r="D892" s="85">
        <v>696</v>
      </c>
      <c r="E892" s="85" t="s">
        <v>1971</v>
      </c>
      <c r="F892" s="85" t="s">
        <v>13</v>
      </c>
      <c r="G892" s="17" t="s">
        <v>5</v>
      </c>
      <c r="H892" s="17" t="s">
        <v>1959</v>
      </c>
      <c r="I892" s="145"/>
      <c r="J892" s="17" t="s">
        <v>1960</v>
      </c>
      <c r="K892" s="17" t="s">
        <v>1972</v>
      </c>
      <c r="L892" s="17" t="s">
        <v>965</v>
      </c>
      <c r="M892" s="16">
        <v>8135516774</v>
      </c>
      <c r="N892" s="16">
        <v>868166059175612</v>
      </c>
      <c r="O892" s="16"/>
      <c r="P892" s="17" t="s">
        <v>1973</v>
      </c>
      <c r="Q892" s="14" t="s">
        <v>8</v>
      </c>
      <c r="R892" s="40">
        <v>1999.84</v>
      </c>
      <c r="S892" s="41">
        <v>174</v>
      </c>
      <c r="T892" s="17"/>
      <c r="U892" s="66"/>
    </row>
    <row r="893" spans="2:21" s="15" customFormat="1" ht="29" x14ac:dyDescent="0.35">
      <c r="B893" s="64">
        <v>45440</v>
      </c>
      <c r="C893" s="17">
        <v>799</v>
      </c>
      <c r="D893" s="85" t="s">
        <v>39</v>
      </c>
      <c r="E893" s="36" t="s">
        <v>39</v>
      </c>
      <c r="F893" s="85" t="s">
        <v>40</v>
      </c>
      <c r="G893" s="17" t="s">
        <v>5</v>
      </c>
      <c r="H893" s="17" t="s">
        <v>1720</v>
      </c>
      <c r="I893" s="145"/>
      <c r="J893" s="17" t="s">
        <v>1974</v>
      </c>
      <c r="K893" s="17" t="s">
        <v>1975</v>
      </c>
      <c r="L893" s="17" t="s">
        <v>2</v>
      </c>
      <c r="M893" s="16" t="s">
        <v>39</v>
      </c>
      <c r="N893" s="16" t="s">
        <v>39</v>
      </c>
      <c r="O893" s="16"/>
      <c r="P893" s="17" t="s">
        <v>39</v>
      </c>
      <c r="Q893" s="17" t="s">
        <v>1977</v>
      </c>
      <c r="R893" s="18">
        <v>290</v>
      </c>
      <c r="S893" s="19"/>
      <c r="T893" s="17"/>
      <c r="U893" s="66"/>
    </row>
    <row r="894" spans="2:21" s="15" customFormat="1" ht="29" x14ac:dyDescent="0.35">
      <c r="B894" s="64">
        <v>45441</v>
      </c>
      <c r="C894" s="17">
        <v>800</v>
      </c>
      <c r="D894" s="74" t="s">
        <v>5046</v>
      </c>
      <c r="E894" s="85" t="s">
        <v>1978</v>
      </c>
      <c r="F894" s="85" t="s">
        <v>13</v>
      </c>
      <c r="G894" s="17" t="s">
        <v>5</v>
      </c>
      <c r="H894" s="17" t="s">
        <v>1720</v>
      </c>
      <c r="I894" s="145" t="s">
        <v>4277</v>
      </c>
      <c r="J894" s="17" t="s">
        <v>5162</v>
      </c>
      <c r="K894" s="17" t="s">
        <v>1976</v>
      </c>
      <c r="L894" s="17" t="s">
        <v>2</v>
      </c>
      <c r="M894" s="16">
        <v>8126220799</v>
      </c>
      <c r="N894" s="16">
        <v>868166059175679</v>
      </c>
      <c r="O894" s="16" t="s">
        <v>5161</v>
      </c>
      <c r="P894" s="17" t="s">
        <v>5160</v>
      </c>
      <c r="Q894" s="14" t="s">
        <v>8</v>
      </c>
      <c r="R894" s="40">
        <v>1999.84</v>
      </c>
      <c r="S894" s="19" t="s">
        <v>5002</v>
      </c>
      <c r="T894" s="17"/>
      <c r="U894" s="66"/>
    </row>
    <row r="895" spans="2:21" s="15" customFormat="1" ht="29" x14ac:dyDescent="0.35">
      <c r="B895" s="64">
        <v>45442</v>
      </c>
      <c r="C895" s="17">
        <v>801</v>
      </c>
      <c r="D895" s="85">
        <v>698</v>
      </c>
      <c r="E895" s="85" t="s">
        <v>1979</v>
      </c>
      <c r="F895" s="85" t="s">
        <v>13</v>
      </c>
      <c r="G895" s="17" t="s">
        <v>5</v>
      </c>
      <c r="H895" s="14" t="s">
        <v>1744</v>
      </c>
      <c r="I895" s="145"/>
      <c r="J895" s="17" t="s">
        <v>1980</v>
      </c>
      <c r="K895" s="17" t="s">
        <v>1986</v>
      </c>
      <c r="L895" s="17" t="s">
        <v>965</v>
      </c>
      <c r="M895" s="16">
        <v>8128604076</v>
      </c>
      <c r="N895" s="16">
        <v>868166059174284</v>
      </c>
      <c r="O895" s="16"/>
      <c r="P895" s="17" t="s">
        <v>1987</v>
      </c>
      <c r="Q895" s="14" t="s">
        <v>8</v>
      </c>
      <c r="R895" s="40">
        <v>1999.84</v>
      </c>
      <c r="S895" s="41">
        <v>174</v>
      </c>
      <c r="T895" s="17"/>
      <c r="U895" s="66"/>
    </row>
    <row r="896" spans="2:21" s="15" customFormat="1" ht="29" x14ac:dyDescent="0.35">
      <c r="B896" s="64">
        <v>45443</v>
      </c>
      <c r="C896" s="17">
        <v>802</v>
      </c>
      <c r="D896" s="85">
        <v>699</v>
      </c>
      <c r="E896" s="85" t="s">
        <v>1988</v>
      </c>
      <c r="F896" s="85" t="s">
        <v>13</v>
      </c>
      <c r="G896" s="17" t="s">
        <v>5</v>
      </c>
      <c r="H896" s="17" t="s">
        <v>1989</v>
      </c>
      <c r="I896" s="145" t="s">
        <v>4557</v>
      </c>
      <c r="J896" s="17" t="s">
        <v>4631</v>
      </c>
      <c r="K896" s="17" t="s">
        <v>1990</v>
      </c>
      <c r="L896" s="17" t="s">
        <v>2</v>
      </c>
      <c r="M896" s="16">
        <v>8118248148</v>
      </c>
      <c r="N896" s="16">
        <v>868166059178947</v>
      </c>
      <c r="O896" s="16" t="s">
        <v>4633</v>
      </c>
      <c r="P896" s="17" t="s">
        <v>4632</v>
      </c>
      <c r="Q896" s="14" t="s">
        <v>8</v>
      </c>
      <c r="R896" s="40">
        <v>1999.84</v>
      </c>
      <c r="S896" s="41">
        <v>174</v>
      </c>
      <c r="T896" s="17"/>
      <c r="U896" s="66"/>
    </row>
    <row r="897" spans="2:22" s="15" customFormat="1" ht="29" x14ac:dyDescent="0.35">
      <c r="B897" s="64">
        <v>45443</v>
      </c>
      <c r="C897" s="17">
        <v>803</v>
      </c>
      <c r="D897" s="85" t="s">
        <v>39</v>
      </c>
      <c r="E897" s="85" t="s">
        <v>1988</v>
      </c>
      <c r="F897" s="85" t="s">
        <v>6</v>
      </c>
      <c r="G897" s="17" t="s">
        <v>1805</v>
      </c>
      <c r="H897" s="17" t="s">
        <v>1787</v>
      </c>
      <c r="I897" s="145"/>
      <c r="J897" s="17" t="s">
        <v>1996</v>
      </c>
      <c r="K897" s="17" t="s">
        <v>1997</v>
      </c>
      <c r="L897" s="17" t="s">
        <v>2</v>
      </c>
      <c r="M897" s="16" t="s">
        <v>39</v>
      </c>
      <c r="N897" s="16" t="s">
        <v>39</v>
      </c>
      <c r="O897" s="16"/>
      <c r="P897" s="17" t="s">
        <v>39</v>
      </c>
      <c r="Q897" s="14" t="s">
        <v>1998</v>
      </c>
      <c r="R897" s="40"/>
      <c r="S897" s="41">
        <v>0</v>
      </c>
      <c r="T897" s="17"/>
      <c r="U897" s="66"/>
    </row>
    <row r="898" spans="2:22" s="15" customFormat="1" ht="29" x14ac:dyDescent="0.35">
      <c r="B898" s="64">
        <v>45443</v>
      </c>
      <c r="C898" s="17">
        <v>804</v>
      </c>
      <c r="D898" s="36">
        <v>700</v>
      </c>
      <c r="E898" s="85" t="s">
        <v>2141</v>
      </c>
      <c r="F898" s="85" t="s">
        <v>13</v>
      </c>
      <c r="G898" s="17" t="s">
        <v>1805</v>
      </c>
      <c r="H898" s="17" t="s">
        <v>1787</v>
      </c>
      <c r="I898" s="145"/>
      <c r="J898" s="17" t="s">
        <v>1995</v>
      </c>
      <c r="K898" s="17" t="s">
        <v>1999</v>
      </c>
      <c r="L898" s="17" t="s">
        <v>2</v>
      </c>
      <c r="M898" s="16">
        <v>8182547171</v>
      </c>
      <c r="N898" s="16">
        <v>868166059178772</v>
      </c>
      <c r="O898" s="16"/>
      <c r="P898" s="17" t="s">
        <v>2000</v>
      </c>
      <c r="Q898" s="14" t="s">
        <v>8</v>
      </c>
      <c r="R898" s="40">
        <v>1999.84</v>
      </c>
      <c r="S898" s="19" t="s">
        <v>2141</v>
      </c>
      <c r="T898" s="17"/>
      <c r="U898" s="66"/>
    </row>
    <row r="899" spans="2:22" s="15" customFormat="1" ht="29" x14ac:dyDescent="0.35">
      <c r="B899" s="64">
        <v>45443</v>
      </c>
      <c r="C899" s="17">
        <v>805</v>
      </c>
      <c r="D899" s="85" t="s">
        <v>4045</v>
      </c>
      <c r="E899" s="85" t="s">
        <v>1988</v>
      </c>
      <c r="F899" s="85" t="s">
        <v>13</v>
      </c>
      <c r="G899" s="17" t="s">
        <v>5</v>
      </c>
      <c r="H899" s="17" t="s">
        <v>2004</v>
      </c>
      <c r="I899" s="145" t="s">
        <v>4277</v>
      </c>
      <c r="J899" s="17" t="s">
        <v>4318</v>
      </c>
      <c r="K899" s="17" t="s">
        <v>2937</v>
      </c>
      <c r="L899" s="17" t="s">
        <v>2</v>
      </c>
      <c r="M899" s="16">
        <v>8182547852</v>
      </c>
      <c r="N899" s="16">
        <v>868166059174854</v>
      </c>
      <c r="O899" s="16" t="s">
        <v>4048</v>
      </c>
      <c r="P899" s="17" t="s">
        <v>4047</v>
      </c>
      <c r="Q899" s="17" t="s">
        <v>4174</v>
      </c>
      <c r="R899" s="40">
        <v>1999.84</v>
      </c>
      <c r="S899" s="19" t="s">
        <v>3584</v>
      </c>
      <c r="T899" s="17"/>
      <c r="U899" s="66"/>
    </row>
    <row r="900" spans="2:22" s="15" customFormat="1" ht="29" x14ac:dyDescent="0.35">
      <c r="B900" s="64">
        <v>45443</v>
      </c>
      <c r="C900" s="17">
        <v>806</v>
      </c>
      <c r="D900" s="85" t="s">
        <v>3415</v>
      </c>
      <c r="E900" s="85" t="s">
        <v>1988</v>
      </c>
      <c r="F900" s="85" t="s">
        <v>13</v>
      </c>
      <c r="G900" s="17" t="s">
        <v>5</v>
      </c>
      <c r="H900" s="17" t="s">
        <v>2005</v>
      </c>
      <c r="I900" s="145">
        <v>0.70833333333333337</v>
      </c>
      <c r="J900" s="17" t="s">
        <v>3525</v>
      </c>
      <c r="K900" s="17" t="s">
        <v>2006</v>
      </c>
      <c r="L900" s="17" t="s">
        <v>965</v>
      </c>
      <c r="M900" s="16">
        <v>8123205958</v>
      </c>
      <c r="N900" s="16">
        <v>868166059175497</v>
      </c>
      <c r="O900" s="16" t="s">
        <v>3474</v>
      </c>
      <c r="P900" s="17" t="s">
        <v>3473</v>
      </c>
      <c r="Q900" s="17" t="s">
        <v>2559</v>
      </c>
      <c r="R900" s="40">
        <v>1999.84</v>
      </c>
      <c r="S900" s="19" t="s">
        <v>3329</v>
      </c>
      <c r="T900" s="17"/>
      <c r="U900" s="66"/>
    </row>
    <row r="901" spans="2:22" s="15" customFormat="1" ht="43.5" x14ac:dyDescent="0.35">
      <c r="B901" s="64">
        <v>45448</v>
      </c>
      <c r="C901" s="17">
        <v>807</v>
      </c>
      <c r="D901" s="85">
        <v>703</v>
      </c>
      <c r="E901" s="85" t="s">
        <v>2007</v>
      </c>
      <c r="F901" s="85" t="s">
        <v>13</v>
      </c>
      <c r="G901" s="17" t="s">
        <v>5</v>
      </c>
      <c r="H901" s="17" t="s">
        <v>2413</v>
      </c>
      <c r="I901" s="145" t="s">
        <v>4103</v>
      </c>
      <c r="J901" s="17" t="s">
        <v>4104</v>
      </c>
      <c r="K901" s="17" t="s">
        <v>2008</v>
      </c>
      <c r="L901" s="17" t="s">
        <v>2</v>
      </c>
      <c r="M901" s="16" t="s">
        <v>39</v>
      </c>
      <c r="N901" s="16" t="s">
        <v>39</v>
      </c>
      <c r="O901" s="16"/>
      <c r="P901" s="17" t="s">
        <v>39</v>
      </c>
      <c r="Q901" s="14" t="s">
        <v>2010</v>
      </c>
      <c r="R901" s="40">
        <v>0</v>
      </c>
      <c r="S901" s="41">
        <v>0</v>
      </c>
      <c r="T901" s="17"/>
      <c r="U901" s="66"/>
    </row>
    <row r="902" spans="2:22" s="15" customFormat="1" ht="29" x14ac:dyDescent="0.35">
      <c r="B902" s="64">
        <v>45449</v>
      </c>
      <c r="C902" s="17">
        <v>808</v>
      </c>
      <c r="D902" s="85" t="s">
        <v>3416</v>
      </c>
      <c r="E902" s="85" t="s">
        <v>2012</v>
      </c>
      <c r="F902" s="85" t="s">
        <v>13</v>
      </c>
      <c r="G902" s="17" t="s">
        <v>5</v>
      </c>
      <c r="H902" s="17" t="s">
        <v>2009</v>
      </c>
      <c r="I902" s="145">
        <v>0.625</v>
      </c>
      <c r="J902" s="17" t="s">
        <v>3526</v>
      </c>
      <c r="K902" s="17" t="s">
        <v>2011</v>
      </c>
      <c r="L902" s="17" t="s">
        <v>2</v>
      </c>
      <c r="M902" s="16">
        <v>8123554967</v>
      </c>
      <c r="N902" s="16">
        <v>865011034749573</v>
      </c>
      <c r="O902" s="16" t="s">
        <v>3476</v>
      </c>
      <c r="P902" s="17" t="s">
        <v>3475</v>
      </c>
      <c r="Q902" s="17" t="s">
        <v>2559</v>
      </c>
      <c r="R902" s="40">
        <v>1999.84</v>
      </c>
      <c r="S902" s="19" t="s">
        <v>3329</v>
      </c>
      <c r="T902" s="17"/>
      <c r="U902" s="66"/>
    </row>
    <row r="903" spans="2:22" s="15" customFormat="1" ht="29" x14ac:dyDescent="0.35">
      <c r="B903" s="64">
        <v>45450</v>
      </c>
      <c r="C903" s="17">
        <v>809</v>
      </c>
      <c r="D903" s="85">
        <v>705</v>
      </c>
      <c r="E903" s="85" t="s">
        <v>2033</v>
      </c>
      <c r="F903" s="85" t="s">
        <v>13</v>
      </c>
      <c r="G903" s="17" t="s">
        <v>5</v>
      </c>
      <c r="H903" s="17" t="s">
        <v>2034</v>
      </c>
      <c r="I903" s="145"/>
      <c r="J903" s="17" t="s">
        <v>2035</v>
      </c>
      <c r="K903" s="17" t="s">
        <v>2036</v>
      </c>
      <c r="L903" s="17" t="s">
        <v>2</v>
      </c>
      <c r="M903" s="16">
        <v>8182547798</v>
      </c>
      <c r="N903" s="16">
        <v>868166059178863</v>
      </c>
      <c r="O903" s="16"/>
      <c r="P903" s="17" t="s">
        <v>2037</v>
      </c>
      <c r="Q903" s="14" t="s">
        <v>8</v>
      </c>
      <c r="R903" s="40">
        <v>1999.84</v>
      </c>
      <c r="S903" s="41">
        <v>174</v>
      </c>
      <c r="T903" s="17"/>
      <c r="U903" s="66"/>
    </row>
    <row r="904" spans="2:22" s="15" customFormat="1" ht="29" x14ac:dyDescent="0.35">
      <c r="B904" s="64">
        <v>45451</v>
      </c>
      <c r="C904" s="17">
        <v>810</v>
      </c>
      <c r="D904" s="85">
        <v>706</v>
      </c>
      <c r="E904" s="85" t="s">
        <v>2038</v>
      </c>
      <c r="F904" s="85" t="s">
        <v>13</v>
      </c>
      <c r="G904" s="17" t="s">
        <v>5</v>
      </c>
      <c r="H904" s="17" t="s">
        <v>2046</v>
      </c>
      <c r="I904" s="145"/>
      <c r="J904" s="17" t="s">
        <v>2039</v>
      </c>
      <c r="K904" s="17" t="s">
        <v>2040</v>
      </c>
      <c r="L904" s="17" t="s">
        <v>2</v>
      </c>
      <c r="M904" s="16">
        <v>8118249713</v>
      </c>
      <c r="N904" s="16">
        <v>864893039427599</v>
      </c>
      <c r="O904" s="16"/>
      <c r="P904" s="17" t="s">
        <v>2045</v>
      </c>
      <c r="Q904" s="14" t="s">
        <v>8</v>
      </c>
      <c r="R904" s="40">
        <v>1999.84</v>
      </c>
      <c r="S904" s="41">
        <v>174</v>
      </c>
      <c r="T904" s="17"/>
      <c r="U904" s="66"/>
    </row>
    <row r="905" spans="2:22" s="15" customFormat="1" ht="29" x14ac:dyDescent="0.35">
      <c r="B905" s="64">
        <v>45455</v>
      </c>
      <c r="C905" s="17">
        <v>811</v>
      </c>
      <c r="D905" s="36" t="s">
        <v>2215</v>
      </c>
      <c r="E905" s="85" t="s">
        <v>2048</v>
      </c>
      <c r="F905" s="85" t="s">
        <v>6</v>
      </c>
      <c r="G905" s="17" t="s">
        <v>5</v>
      </c>
      <c r="H905" s="17" t="s">
        <v>2047</v>
      </c>
      <c r="I905" s="145" t="s">
        <v>4320</v>
      </c>
      <c r="J905" s="17" t="s">
        <v>4319</v>
      </c>
      <c r="K905" s="14" t="s">
        <v>2049</v>
      </c>
      <c r="L905" s="17" t="s">
        <v>2</v>
      </c>
      <c r="M905" s="16">
        <v>8115319749</v>
      </c>
      <c r="N905" s="16">
        <v>359857084517101</v>
      </c>
      <c r="O905" s="16" t="s">
        <v>4322</v>
      </c>
      <c r="P905" s="14" t="s">
        <v>4321</v>
      </c>
      <c r="Q905" s="74" t="s">
        <v>2745</v>
      </c>
      <c r="R905" s="40">
        <v>754</v>
      </c>
      <c r="S905" s="19" t="s">
        <v>2744</v>
      </c>
      <c r="T905" s="19" t="s">
        <v>2050</v>
      </c>
      <c r="U905" s="66"/>
    </row>
    <row r="906" spans="2:22" s="15" customFormat="1" ht="29" x14ac:dyDescent="0.35">
      <c r="B906" s="64">
        <v>45455</v>
      </c>
      <c r="C906" s="17">
        <v>812</v>
      </c>
      <c r="D906" s="85" t="s">
        <v>4049</v>
      </c>
      <c r="E906" s="85" t="s">
        <v>2051</v>
      </c>
      <c r="F906" s="85" t="s">
        <v>138</v>
      </c>
      <c r="G906" s="17" t="s">
        <v>5</v>
      </c>
      <c r="H906" s="17" t="s">
        <v>2047</v>
      </c>
      <c r="I906" s="145" t="s">
        <v>4320</v>
      </c>
      <c r="J906" s="17" t="s">
        <v>4319</v>
      </c>
      <c r="K906" s="17" t="s">
        <v>2052</v>
      </c>
      <c r="L906" s="17" t="s">
        <v>2</v>
      </c>
      <c r="M906" s="16">
        <v>8115319749</v>
      </c>
      <c r="N906" s="16">
        <v>359857084517101</v>
      </c>
      <c r="O906" s="17" t="s">
        <v>2053</v>
      </c>
      <c r="P906" s="17" t="s">
        <v>39</v>
      </c>
      <c r="Q906" s="74" t="s">
        <v>2746</v>
      </c>
      <c r="R906" s="18">
        <v>696</v>
      </c>
      <c r="S906" s="19" t="s">
        <v>3584</v>
      </c>
      <c r="T906" s="17"/>
      <c r="U906" s="66"/>
    </row>
    <row r="907" spans="2:22" s="15" customFormat="1" ht="58" x14ac:dyDescent="0.35">
      <c r="B907" s="64">
        <v>45456</v>
      </c>
      <c r="C907" s="17">
        <v>813</v>
      </c>
      <c r="D907" s="85">
        <v>708</v>
      </c>
      <c r="E907" s="85" t="s">
        <v>2054</v>
      </c>
      <c r="F907" s="85" t="s">
        <v>13</v>
      </c>
      <c r="G907" s="17" t="s">
        <v>5</v>
      </c>
      <c r="H907" s="17" t="s">
        <v>2413</v>
      </c>
      <c r="I907" s="145" t="s">
        <v>4105</v>
      </c>
      <c r="J907" s="17" t="s">
        <v>4106</v>
      </c>
      <c r="K907" s="17" t="s">
        <v>2056</v>
      </c>
      <c r="L907" s="17" t="s">
        <v>2</v>
      </c>
      <c r="M907" s="16">
        <v>8184663187</v>
      </c>
      <c r="N907" s="16">
        <v>868166059177766</v>
      </c>
      <c r="O907" s="16"/>
      <c r="P907" s="17" t="s">
        <v>2058</v>
      </c>
      <c r="Q907" s="14" t="s">
        <v>8</v>
      </c>
      <c r="R907" s="40">
        <v>1999.84</v>
      </c>
      <c r="S907" s="41">
        <v>174</v>
      </c>
      <c r="T907" s="17"/>
      <c r="U907" s="66"/>
    </row>
    <row r="908" spans="2:22" s="15" customFormat="1" ht="29" x14ac:dyDescent="0.35">
      <c r="B908" s="64">
        <v>45457</v>
      </c>
      <c r="C908" s="17">
        <v>815</v>
      </c>
      <c r="D908" s="85" t="s">
        <v>3417</v>
      </c>
      <c r="E908" s="85" t="s">
        <v>2055</v>
      </c>
      <c r="F908" s="85" t="s">
        <v>13</v>
      </c>
      <c r="G908" s="17" t="s">
        <v>5</v>
      </c>
      <c r="H908" s="14" t="s">
        <v>1744</v>
      </c>
      <c r="I908" s="145" t="s">
        <v>3232</v>
      </c>
      <c r="J908" s="17" t="s">
        <v>3527</v>
      </c>
      <c r="K908" s="17" t="s">
        <v>2059</v>
      </c>
      <c r="L908" s="17" t="s">
        <v>965</v>
      </c>
      <c r="M908" s="16">
        <v>8135518619</v>
      </c>
      <c r="N908" s="16">
        <v>868166059178582</v>
      </c>
      <c r="O908" s="16" t="s">
        <v>39</v>
      </c>
      <c r="P908" s="17" t="s">
        <v>2062</v>
      </c>
      <c r="Q908" s="17" t="s">
        <v>2559</v>
      </c>
      <c r="R908" s="40">
        <v>1999.84</v>
      </c>
      <c r="S908" s="19" t="s">
        <v>3329</v>
      </c>
      <c r="T908" s="17"/>
      <c r="U908" s="66"/>
    </row>
    <row r="909" spans="2:22" s="15" customFormat="1" ht="29" x14ac:dyDescent="0.35">
      <c r="B909" s="64">
        <v>45457</v>
      </c>
      <c r="C909" s="17">
        <v>814</v>
      </c>
      <c r="D909" s="36" t="s">
        <v>2070</v>
      </c>
      <c r="E909" s="85" t="s">
        <v>2055</v>
      </c>
      <c r="F909" s="85" t="s">
        <v>13</v>
      </c>
      <c r="G909" s="17" t="s">
        <v>5</v>
      </c>
      <c r="H909" s="14" t="s">
        <v>1744</v>
      </c>
      <c r="I909" s="145"/>
      <c r="J909" s="17" t="s">
        <v>2057</v>
      </c>
      <c r="K909" s="17" t="s">
        <v>2060</v>
      </c>
      <c r="L909" s="17" t="s">
        <v>965</v>
      </c>
      <c r="M909" s="16">
        <v>8123191539</v>
      </c>
      <c r="N909" s="16">
        <v>868166059178590</v>
      </c>
      <c r="O909" s="16"/>
      <c r="P909" s="17" t="s">
        <v>2061</v>
      </c>
      <c r="Q909" s="14" t="s">
        <v>8</v>
      </c>
      <c r="R909" s="40">
        <v>1999.84</v>
      </c>
      <c r="S909" s="41" t="s">
        <v>2065</v>
      </c>
      <c r="T909" s="17"/>
      <c r="U909" s="66"/>
    </row>
    <row r="910" spans="2:22" s="15" customFormat="1" ht="29" x14ac:dyDescent="0.35">
      <c r="B910" s="64">
        <v>45465</v>
      </c>
      <c r="C910" s="17">
        <v>815</v>
      </c>
      <c r="D910" s="85">
        <v>711</v>
      </c>
      <c r="E910" s="85" t="s">
        <v>2066</v>
      </c>
      <c r="F910" s="85" t="s">
        <v>13</v>
      </c>
      <c r="G910" s="17" t="s">
        <v>5</v>
      </c>
      <c r="H910" s="17" t="s">
        <v>1896</v>
      </c>
      <c r="I910" s="145"/>
      <c r="J910" s="17" t="s">
        <v>2068</v>
      </c>
      <c r="K910" s="17" t="s">
        <v>2067</v>
      </c>
      <c r="L910" s="17" t="s">
        <v>2</v>
      </c>
      <c r="M910" s="16"/>
      <c r="N910" s="16">
        <v>868166058822487</v>
      </c>
      <c r="O910" s="16"/>
      <c r="P910" s="17" t="s">
        <v>2069</v>
      </c>
      <c r="Q910" s="14" t="s">
        <v>8</v>
      </c>
      <c r="R910" s="40">
        <v>1999.84</v>
      </c>
      <c r="S910" s="41">
        <v>174</v>
      </c>
      <c r="T910" s="17"/>
      <c r="U910" s="66"/>
    </row>
    <row r="911" spans="2:22" s="15" customFormat="1" ht="29" x14ac:dyDescent="0.35">
      <c r="B911" s="64">
        <v>45465</v>
      </c>
      <c r="C911" s="17">
        <v>816</v>
      </c>
      <c r="D911" s="36" t="s">
        <v>2070</v>
      </c>
      <c r="E911" s="85" t="s">
        <v>2065</v>
      </c>
      <c r="F911" s="85" t="s">
        <v>6</v>
      </c>
      <c r="G911" s="17" t="s">
        <v>21</v>
      </c>
      <c r="H911" s="14" t="s">
        <v>1744</v>
      </c>
      <c r="I911" s="145"/>
      <c r="J911" s="17" t="s">
        <v>1836</v>
      </c>
      <c r="K911" s="17" t="s">
        <v>2060</v>
      </c>
      <c r="L911" s="17" t="s">
        <v>2</v>
      </c>
      <c r="M911" s="16">
        <v>8123191539</v>
      </c>
      <c r="N911" s="16">
        <v>868166059178590</v>
      </c>
      <c r="O911" s="16"/>
      <c r="P911" s="17" t="s">
        <v>2061</v>
      </c>
      <c r="Q911" s="14" t="s">
        <v>8</v>
      </c>
      <c r="R911" s="18">
        <v>754</v>
      </c>
      <c r="S911" s="19"/>
      <c r="T911" s="17"/>
      <c r="U911" s="66"/>
      <c r="V911" s="15" t="s">
        <v>2071</v>
      </c>
    </row>
    <row r="912" spans="2:22" s="15" customFormat="1" ht="43.5" x14ac:dyDescent="0.35">
      <c r="B912" s="64">
        <v>45471</v>
      </c>
      <c r="C912" s="17">
        <v>817</v>
      </c>
      <c r="D912" s="85" t="s">
        <v>39</v>
      </c>
      <c r="E912" s="36" t="s">
        <v>39</v>
      </c>
      <c r="F912" s="85" t="s">
        <v>40</v>
      </c>
      <c r="G912" s="17" t="s">
        <v>5</v>
      </c>
      <c r="H912" s="17" t="s">
        <v>2073</v>
      </c>
      <c r="I912" s="145"/>
      <c r="J912" s="17" t="s">
        <v>2074</v>
      </c>
      <c r="K912" s="17" t="s">
        <v>2075</v>
      </c>
      <c r="L912" s="17" t="s">
        <v>965</v>
      </c>
      <c r="M912" s="16" t="s">
        <v>39</v>
      </c>
      <c r="N912" s="16" t="s">
        <v>39</v>
      </c>
      <c r="O912" s="16"/>
      <c r="P912" s="17" t="s">
        <v>39</v>
      </c>
      <c r="Q912" s="17" t="s">
        <v>2081</v>
      </c>
      <c r="R912" s="18">
        <v>290</v>
      </c>
      <c r="S912" s="19"/>
      <c r="T912" s="17"/>
      <c r="U912" s="66"/>
    </row>
    <row r="913" spans="2:21" s="15" customFormat="1" ht="29" x14ac:dyDescent="0.35">
      <c r="B913" s="64">
        <v>45471</v>
      </c>
      <c r="C913" s="17">
        <v>818</v>
      </c>
      <c r="D913" s="85" t="s">
        <v>4051</v>
      </c>
      <c r="E913" s="85" t="s">
        <v>2076</v>
      </c>
      <c r="F913" s="85" t="s">
        <v>13</v>
      </c>
      <c r="G913" s="17" t="s">
        <v>5</v>
      </c>
      <c r="H913" s="14" t="s">
        <v>1744</v>
      </c>
      <c r="I913" s="145" t="s">
        <v>4277</v>
      </c>
      <c r="J913" s="17" t="s">
        <v>4323</v>
      </c>
      <c r="K913" s="17" t="s">
        <v>2077</v>
      </c>
      <c r="L913" s="17" t="s">
        <v>965</v>
      </c>
      <c r="M913" s="16" t="s">
        <v>4324</v>
      </c>
      <c r="N913" s="16">
        <v>868166057575524</v>
      </c>
      <c r="O913" s="16" t="s">
        <v>39</v>
      </c>
      <c r="P913" s="17" t="s">
        <v>2078</v>
      </c>
      <c r="Q913" s="17" t="s">
        <v>4174</v>
      </c>
      <c r="R913" s="40">
        <v>1999.84</v>
      </c>
      <c r="S913" s="19" t="s">
        <v>3584</v>
      </c>
      <c r="T913" s="17"/>
      <c r="U913" s="66"/>
    </row>
    <row r="914" spans="2:21" s="15" customFormat="1" ht="29" x14ac:dyDescent="0.35">
      <c r="B914" s="64">
        <v>45471</v>
      </c>
      <c r="C914" s="17">
        <v>819</v>
      </c>
      <c r="D914" s="85" t="s">
        <v>5242</v>
      </c>
      <c r="E914" s="85" t="s">
        <v>2076</v>
      </c>
      <c r="F914" s="85" t="s">
        <v>13</v>
      </c>
      <c r="G914" s="17" t="s">
        <v>5</v>
      </c>
      <c r="H914" s="17" t="s">
        <v>2072</v>
      </c>
      <c r="I914" s="145" t="s">
        <v>4934</v>
      </c>
      <c r="J914" s="17" t="s">
        <v>5247</v>
      </c>
      <c r="K914" s="17" t="s">
        <v>2079</v>
      </c>
      <c r="L914" s="17" t="s">
        <v>965</v>
      </c>
      <c r="M914" s="16">
        <v>8116006935</v>
      </c>
      <c r="N914" s="16" t="s">
        <v>2080</v>
      </c>
      <c r="O914" s="16" t="s">
        <v>5248</v>
      </c>
      <c r="P914" s="17" t="s">
        <v>5249</v>
      </c>
      <c r="Q914" s="14" t="s">
        <v>8</v>
      </c>
      <c r="R914" s="40">
        <v>1999.84</v>
      </c>
      <c r="S914" s="19" t="s">
        <v>5240</v>
      </c>
      <c r="T914" s="17"/>
      <c r="U914" s="66"/>
    </row>
    <row r="915" spans="2:21" s="15" customFormat="1" ht="29" x14ac:dyDescent="0.35">
      <c r="B915" s="64">
        <v>45477</v>
      </c>
      <c r="C915" s="17">
        <v>820</v>
      </c>
      <c r="D915" s="85" t="s">
        <v>39</v>
      </c>
      <c r="E915" s="85" t="s">
        <v>39</v>
      </c>
      <c r="F915" s="85" t="s">
        <v>1648</v>
      </c>
      <c r="G915" s="17" t="s">
        <v>5</v>
      </c>
      <c r="H915" s="14" t="s">
        <v>1744</v>
      </c>
      <c r="I915" s="145"/>
      <c r="J915" s="17" t="s">
        <v>2083</v>
      </c>
      <c r="K915" s="17" t="s">
        <v>2084</v>
      </c>
      <c r="L915" s="17" t="s">
        <v>965</v>
      </c>
      <c r="M915" s="16" t="s">
        <v>39</v>
      </c>
      <c r="N915" s="16" t="s">
        <v>39</v>
      </c>
      <c r="O915" s="16"/>
      <c r="P915" s="17" t="s">
        <v>39</v>
      </c>
      <c r="Q915" s="17" t="s">
        <v>2085</v>
      </c>
      <c r="R915" s="18">
        <v>0</v>
      </c>
      <c r="S915" s="19"/>
      <c r="T915" s="17"/>
      <c r="U915" s="66"/>
    </row>
    <row r="916" spans="2:21" s="15" customFormat="1" ht="29" x14ac:dyDescent="0.35">
      <c r="B916" s="64">
        <v>45478</v>
      </c>
      <c r="C916" s="17">
        <v>821</v>
      </c>
      <c r="D916" s="85">
        <v>714</v>
      </c>
      <c r="E916" s="85" t="s">
        <v>2082</v>
      </c>
      <c r="F916" s="85" t="s">
        <v>13</v>
      </c>
      <c r="G916" s="17" t="s">
        <v>5</v>
      </c>
      <c r="H916" s="17" t="s">
        <v>2086</v>
      </c>
      <c r="I916" s="145"/>
      <c r="J916" s="17" t="s">
        <v>2087</v>
      </c>
      <c r="K916" s="17" t="s">
        <v>2088</v>
      </c>
      <c r="L916" s="17" t="s">
        <v>965</v>
      </c>
      <c r="M916" s="16">
        <v>8119174177</v>
      </c>
      <c r="N916" s="16">
        <v>86816605758761</v>
      </c>
      <c r="O916" s="16"/>
      <c r="P916" s="17" t="s">
        <v>2089</v>
      </c>
      <c r="Q916" s="14" t="s">
        <v>8</v>
      </c>
      <c r="R916" s="40">
        <v>1999.84</v>
      </c>
      <c r="S916" s="41">
        <v>174</v>
      </c>
      <c r="T916" s="17"/>
      <c r="U916" s="66"/>
    </row>
    <row r="917" spans="2:21" s="15" customFormat="1" ht="29" x14ac:dyDescent="0.35">
      <c r="B917" s="64">
        <v>45479</v>
      </c>
      <c r="C917" s="17">
        <v>822</v>
      </c>
      <c r="D917" s="39" t="s">
        <v>2094</v>
      </c>
      <c r="E917" s="85" t="s">
        <v>2090</v>
      </c>
      <c r="F917" s="85" t="s">
        <v>6</v>
      </c>
      <c r="G917" s="17" t="s">
        <v>5</v>
      </c>
      <c r="H917" s="17" t="s">
        <v>2091</v>
      </c>
      <c r="I917" s="145">
        <v>0.625</v>
      </c>
      <c r="J917" s="17" t="s">
        <v>4328</v>
      </c>
      <c r="K917" s="14" t="s">
        <v>2093</v>
      </c>
      <c r="L917" s="17" t="s">
        <v>965</v>
      </c>
      <c r="M917" s="14">
        <v>8120362372</v>
      </c>
      <c r="N917" s="38">
        <v>863844052849921</v>
      </c>
      <c r="O917" s="16" t="s">
        <v>4330</v>
      </c>
      <c r="P917" s="17" t="s">
        <v>4329</v>
      </c>
      <c r="Q917" s="14" t="s">
        <v>2733</v>
      </c>
      <c r="R917" s="18">
        <v>754</v>
      </c>
      <c r="S917" s="41" t="s">
        <v>2735</v>
      </c>
      <c r="T917" s="17" t="s">
        <v>2736</v>
      </c>
      <c r="U917" s="66"/>
    </row>
    <row r="918" spans="2:21" s="15" customFormat="1" ht="29" x14ac:dyDescent="0.35">
      <c r="B918" s="64">
        <v>45481</v>
      </c>
      <c r="C918" s="17">
        <v>823</v>
      </c>
      <c r="D918" s="85" t="s">
        <v>4053</v>
      </c>
      <c r="E918" s="85" t="s">
        <v>2095</v>
      </c>
      <c r="F918" s="85" t="s">
        <v>138</v>
      </c>
      <c r="G918" s="17" t="s">
        <v>5</v>
      </c>
      <c r="H918" s="17" t="s">
        <v>2096</v>
      </c>
      <c r="I918" s="145" t="s">
        <v>4277</v>
      </c>
      <c r="J918" s="17" t="s">
        <v>4325</v>
      </c>
      <c r="K918" s="17" t="s">
        <v>2097</v>
      </c>
      <c r="L918" s="17" t="s">
        <v>965</v>
      </c>
      <c r="M918" s="14">
        <v>8120362372</v>
      </c>
      <c r="N918" s="38">
        <v>863844052849921</v>
      </c>
      <c r="O918" s="16" t="s">
        <v>39</v>
      </c>
      <c r="P918" s="17" t="s">
        <v>2098</v>
      </c>
      <c r="Q918" s="14" t="s">
        <v>2734</v>
      </c>
      <c r="R918" s="18">
        <v>696</v>
      </c>
      <c r="S918" s="19" t="s">
        <v>3584</v>
      </c>
      <c r="T918" s="17"/>
      <c r="U918" s="66"/>
    </row>
    <row r="919" spans="2:21" s="15" customFormat="1" ht="29" x14ac:dyDescent="0.35">
      <c r="B919" s="64">
        <v>45481</v>
      </c>
      <c r="C919" s="17">
        <v>824</v>
      </c>
      <c r="D919" s="36" t="s">
        <v>2114</v>
      </c>
      <c r="E919" s="85" t="s">
        <v>2095</v>
      </c>
      <c r="F919" s="85" t="s">
        <v>13</v>
      </c>
      <c r="G919" s="17" t="s">
        <v>5</v>
      </c>
      <c r="H919" s="17" t="s">
        <v>2099</v>
      </c>
      <c r="I919" s="145" t="s">
        <v>4277</v>
      </c>
      <c r="J919" s="17" t="s">
        <v>4331</v>
      </c>
      <c r="K919" s="17" t="s">
        <v>2101</v>
      </c>
      <c r="L919" s="17" t="s">
        <v>965</v>
      </c>
      <c r="M919" s="16">
        <v>8110443687</v>
      </c>
      <c r="N919" s="16">
        <v>868166057587537</v>
      </c>
      <c r="O919" s="17" t="s">
        <v>2100</v>
      </c>
      <c r="P919" s="17" t="s">
        <v>39</v>
      </c>
      <c r="Q919" s="17" t="s">
        <v>4174</v>
      </c>
      <c r="R919" s="40">
        <v>1999.84</v>
      </c>
      <c r="S919" s="19" t="s">
        <v>2113</v>
      </c>
      <c r="T919" s="17"/>
      <c r="U919" s="66"/>
    </row>
    <row r="920" spans="2:21" s="15" customFormat="1" ht="29" x14ac:dyDescent="0.35">
      <c r="B920" s="64">
        <v>45482</v>
      </c>
      <c r="C920" s="17">
        <v>825</v>
      </c>
      <c r="D920" s="74" t="s">
        <v>5047</v>
      </c>
      <c r="E920" s="85" t="s">
        <v>2102</v>
      </c>
      <c r="F920" s="85" t="s">
        <v>13</v>
      </c>
      <c r="G920" s="17" t="s">
        <v>5</v>
      </c>
      <c r="H920" s="17" t="s">
        <v>1802</v>
      </c>
      <c r="I920" s="145" t="s">
        <v>4277</v>
      </c>
      <c r="J920" s="17" t="s">
        <v>5163</v>
      </c>
      <c r="K920" s="17" t="s">
        <v>2103</v>
      </c>
      <c r="L920" s="17" t="s">
        <v>965</v>
      </c>
      <c r="M920" s="38">
        <v>8112851820</v>
      </c>
      <c r="N920" s="38">
        <v>864893037592311</v>
      </c>
      <c r="O920" s="16" t="s">
        <v>39</v>
      </c>
      <c r="P920" s="17" t="s">
        <v>2104</v>
      </c>
      <c r="Q920" s="14" t="s">
        <v>8</v>
      </c>
      <c r="R920" s="18">
        <v>1999.84</v>
      </c>
      <c r="S920" s="19" t="s">
        <v>5002</v>
      </c>
      <c r="T920" s="17"/>
      <c r="U920" s="66"/>
    </row>
    <row r="921" spans="2:21" s="15" customFormat="1" ht="29" x14ac:dyDescent="0.35">
      <c r="B921" s="64">
        <v>45483</v>
      </c>
      <c r="C921" s="17">
        <v>826</v>
      </c>
      <c r="D921" s="36" t="s">
        <v>2279</v>
      </c>
      <c r="E921" s="85" t="s">
        <v>2105</v>
      </c>
      <c r="F921" s="85" t="s">
        <v>13</v>
      </c>
      <c r="G921" s="17" t="s">
        <v>5</v>
      </c>
      <c r="H921" s="14" t="s">
        <v>1744</v>
      </c>
      <c r="I921" s="145"/>
      <c r="J921" s="17" t="s">
        <v>2286</v>
      </c>
      <c r="K921" s="17" t="s">
        <v>2288</v>
      </c>
      <c r="L921" s="17" t="s">
        <v>965</v>
      </c>
      <c r="M921" s="16">
        <v>8110447213</v>
      </c>
      <c r="N921" s="16">
        <v>868166057572695</v>
      </c>
      <c r="O921" s="16"/>
      <c r="P921" s="17" t="s">
        <v>2106</v>
      </c>
      <c r="Q921" s="14" t="s">
        <v>8</v>
      </c>
      <c r="R921" s="18">
        <v>1999.84</v>
      </c>
      <c r="S921" s="19" t="s">
        <v>2200</v>
      </c>
      <c r="T921" s="17"/>
      <c r="U921" s="66"/>
    </row>
    <row r="922" spans="2:21" s="15" customFormat="1" ht="29" x14ac:dyDescent="0.35">
      <c r="B922" s="64">
        <v>45483</v>
      </c>
      <c r="C922" s="17">
        <v>827</v>
      </c>
      <c r="D922" s="85">
        <v>719</v>
      </c>
      <c r="E922" s="85" t="s">
        <v>2105</v>
      </c>
      <c r="F922" s="85" t="s">
        <v>13</v>
      </c>
      <c r="G922" s="17" t="s">
        <v>5</v>
      </c>
      <c r="H922" s="14" t="s">
        <v>1744</v>
      </c>
      <c r="I922" s="145"/>
      <c r="J922" s="17" t="s">
        <v>2110</v>
      </c>
      <c r="K922" s="17" t="s">
        <v>2107</v>
      </c>
      <c r="L922" s="17" t="s">
        <v>2</v>
      </c>
      <c r="M922" s="16">
        <v>8110500898</v>
      </c>
      <c r="N922" s="16">
        <v>868166057564114</v>
      </c>
      <c r="O922" s="16"/>
      <c r="P922" s="17" t="s">
        <v>2108</v>
      </c>
      <c r="Q922" s="14" t="s">
        <v>8</v>
      </c>
      <c r="R922" s="18">
        <v>1999.84</v>
      </c>
      <c r="S922" s="19">
        <v>174</v>
      </c>
      <c r="T922" s="17"/>
      <c r="U922" s="66"/>
    </row>
    <row r="923" spans="2:21" s="15" customFormat="1" ht="29" x14ac:dyDescent="0.35">
      <c r="B923" s="64">
        <v>45484</v>
      </c>
      <c r="C923" s="17">
        <v>828</v>
      </c>
      <c r="D923" s="85" t="s">
        <v>3083</v>
      </c>
      <c r="E923" s="85" t="s">
        <v>2109</v>
      </c>
      <c r="F923" s="85" t="s">
        <v>13</v>
      </c>
      <c r="G923" s="17" t="s">
        <v>5</v>
      </c>
      <c r="H923" s="14" t="s">
        <v>1744</v>
      </c>
      <c r="I923" s="145" t="s">
        <v>3232</v>
      </c>
      <c r="J923" s="17" t="s">
        <v>3245</v>
      </c>
      <c r="K923" s="17" t="s">
        <v>2913</v>
      </c>
      <c r="L923" s="17" t="s">
        <v>965</v>
      </c>
      <c r="M923" s="16">
        <v>8110447223</v>
      </c>
      <c r="N923" s="16">
        <v>868166057572612</v>
      </c>
      <c r="O923" s="16" t="s">
        <v>39</v>
      </c>
      <c r="P923" s="17" t="s">
        <v>2914</v>
      </c>
      <c r="Q923" s="17" t="s">
        <v>2559</v>
      </c>
      <c r="R923" s="18">
        <v>1999.84</v>
      </c>
      <c r="S923" s="19" t="s">
        <v>2977</v>
      </c>
      <c r="T923" s="17"/>
      <c r="U923" s="66"/>
    </row>
    <row r="924" spans="2:21" s="15" customFormat="1" ht="29" x14ac:dyDescent="0.35">
      <c r="B924" s="64">
        <v>45491</v>
      </c>
      <c r="C924" s="17">
        <v>829</v>
      </c>
      <c r="D924" s="36" t="s">
        <v>2114</v>
      </c>
      <c r="E924" s="85" t="s">
        <v>2111</v>
      </c>
      <c r="F924" s="85" t="s">
        <v>6</v>
      </c>
      <c r="G924" s="17" t="s">
        <v>5</v>
      </c>
      <c r="H924" s="17" t="s">
        <v>2099</v>
      </c>
      <c r="I924" s="145" t="s">
        <v>4277</v>
      </c>
      <c r="J924" s="17" t="s">
        <v>4331</v>
      </c>
      <c r="K924" s="17" t="s">
        <v>2101</v>
      </c>
      <c r="L924" s="17" t="s">
        <v>965</v>
      </c>
      <c r="M924" s="16">
        <v>8110443687</v>
      </c>
      <c r="N924" s="16">
        <v>868166057587537</v>
      </c>
      <c r="O924" s="17" t="s">
        <v>2100</v>
      </c>
      <c r="P924" s="17" t="s">
        <v>39</v>
      </c>
      <c r="Q924" s="17" t="s">
        <v>2112</v>
      </c>
      <c r="R924" s="18">
        <v>754</v>
      </c>
      <c r="S924" s="19" t="s">
        <v>2113</v>
      </c>
      <c r="T924" s="17"/>
      <c r="U924" s="66"/>
    </row>
    <row r="925" spans="2:21" s="15" customFormat="1" ht="39" x14ac:dyDescent="0.35">
      <c r="B925" s="64">
        <v>45491</v>
      </c>
      <c r="C925" s="17">
        <v>830</v>
      </c>
      <c r="D925" s="74" t="s">
        <v>5046</v>
      </c>
      <c r="E925" s="85" t="s">
        <v>2111</v>
      </c>
      <c r="F925" s="85" t="s">
        <v>40</v>
      </c>
      <c r="G925" s="17" t="s">
        <v>5</v>
      </c>
      <c r="H925" s="17" t="s">
        <v>1720</v>
      </c>
      <c r="I925" s="145" t="s">
        <v>4277</v>
      </c>
      <c r="J925" s="17" t="s">
        <v>5162</v>
      </c>
      <c r="K925" s="17" t="s">
        <v>1976</v>
      </c>
      <c r="L925" s="17" t="s">
        <v>39</v>
      </c>
      <c r="M925" s="16">
        <v>8126220799</v>
      </c>
      <c r="N925" s="16">
        <v>868166059175679</v>
      </c>
      <c r="O925" s="16" t="s">
        <v>5161</v>
      </c>
      <c r="P925" s="17" t="s">
        <v>5160</v>
      </c>
      <c r="Q925" s="95" t="s">
        <v>2115</v>
      </c>
      <c r="R925" s="18">
        <v>0</v>
      </c>
      <c r="S925" s="19" t="s">
        <v>5002</v>
      </c>
      <c r="T925" s="17"/>
      <c r="U925" s="66"/>
    </row>
    <row r="926" spans="2:21" s="15" customFormat="1" ht="29" x14ac:dyDescent="0.35">
      <c r="B926" s="64">
        <v>45492</v>
      </c>
      <c r="C926" s="17">
        <v>831</v>
      </c>
      <c r="D926" s="74" t="s">
        <v>5048</v>
      </c>
      <c r="E926" s="85" t="s">
        <v>2116</v>
      </c>
      <c r="F926" s="85" t="s">
        <v>13</v>
      </c>
      <c r="G926" s="17" t="s">
        <v>5</v>
      </c>
      <c r="H926" s="17" t="s">
        <v>1920</v>
      </c>
      <c r="I926" s="145" t="s">
        <v>4929</v>
      </c>
      <c r="J926" s="17" t="s">
        <v>5164</v>
      </c>
      <c r="K926" s="17" t="s">
        <v>2117</v>
      </c>
      <c r="L926" s="17" t="s">
        <v>965</v>
      </c>
      <c r="M926" s="16">
        <v>8110447216</v>
      </c>
      <c r="N926" s="16">
        <v>868166057572570</v>
      </c>
      <c r="O926" s="16" t="s">
        <v>5166</v>
      </c>
      <c r="P926" s="17" t="s">
        <v>5165</v>
      </c>
      <c r="Q926" s="14" t="s">
        <v>8</v>
      </c>
      <c r="R926" s="18">
        <v>1999.84</v>
      </c>
      <c r="S926" s="19" t="s">
        <v>5002</v>
      </c>
      <c r="T926" s="17"/>
      <c r="U926" s="66"/>
    </row>
    <row r="927" spans="2:21" s="15" customFormat="1" ht="29" x14ac:dyDescent="0.35">
      <c r="B927" s="64">
        <v>45492</v>
      </c>
      <c r="C927" s="17">
        <v>832</v>
      </c>
      <c r="D927" s="74" t="s">
        <v>5049</v>
      </c>
      <c r="E927" s="85" t="s">
        <v>2116</v>
      </c>
      <c r="F927" s="85" t="s">
        <v>13</v>
      </c>
      <c r="G927" s="17" t="s">
        <v>1805</v>
      </c>
      <c r="H927" s="17" t="s">
        <v>1715</v>
      </c>
      <c r="I927" s="145" t="s">
        <v>4652</v>
      </c>
      <c r="J927" s="17" t="s">
        <v>24</v>
      </c>
      <c r="K927" s="17" t="s">
        <v>2118</v>
      </c>
      <c r="L927" s="17" t="s">
        <v>2</v>
      </c>
      <c r="M927" s="16">
        <v>8110506831</v>
      </c>
      <c r="N927" s="16">
        <v>868166057566895</v>
      </c>
      <c r="O927" s="16" t="s">
        <v>5168</v>
      </c>
      <c r="P927" s="17" t="s">
        <v>5167</v>
      </c>
      <c r="Q927" s="14" t="s">
        <v>8</v>
      </c>
      <c r="R927" s="18">
        <v>1999.84</v>
      </c>
      <c r="S927" s="19" t="s">
        <v>5002</v>
      </c>
      <c r="T927" s="17"/>
      <c r="U927" s="66"/>
    </row>
    <row r="928" spans="2:21" s="15" customFormat="1" ht="29" x14ac:dyDescent="0.35">
      <c r="B928" s="64">
        <v>45495</v>
      </c>
      <c r="C928" s="17">
        <v>833</v>
      </c>
      <c r="D928" s="74" t="s">
        <v>5050</v>
      </c>
      <c r="E928" s="85" t="s">
        <v>2119</v>
      </c>
      <c r="F928" s="85" t="s">
        <v>13</v>
      </c>
      <c r="G928" s="17" t="s">
        <v>5</v>
      </c>
      <c r="H928" s="17" t="s">
        <v>2120</v>
      </c>
      <c r="I928" s="145" t="s">
        <v>5085</v>
      </c>
      <c r="J928" s="17" t="s">
        <v>5169</v>
      </c>
      <c r="K928" s="17" t="s">
        <v>2121</v>
      </c>
      <c r="L928" s="17" t="s">
        <v>965</v>
      </c>
      <c r="M928" s="16">
        <v>8135510346</v>
      </c>
      <c r="N928" s="16">
        <v>868166057572463</v>
      </c>
      <c r="O928" s="16" t="s">
        <v>5171</v>
      </c>
      <c r="P928" s="17" t="s">
        <v>5170</v>
      </c>
      <c r="Q928" s="14" t="s">
        <v>8</v>
      </c>
      <c r="R928" s="18">
        <v>1999.84</v>
      </c>
      <c r="S928" s="19" t="s">
        <v>5002</v>
      </c>
      <c r="T928" s="17"/>
      <c r="U928" s="66"/>
    </row>
    <row r="929" spans="2:22" s="15" customFormat="1" ht="29" x14ac:dyDescent="0.35">
      <c r="B929" s="64">
        <v>45498</v>
      </c>
      <c r="C929" s="17">
        <v>834</v>
      </c>
      <c r="D929" s="74" t="s">
        <v>5051</v>
      </c>
      <c r="E929" s="85" t="s">
        <v>2122</v>
      </c>
      <c r="F929" s="85" t="s">
        <v>13</v>
      </c>
      <c r="G929" s="17" t="s">
        <v>5</v>
      </c>
      <c r="H929" s="17" t="s">
        <v>2125</v>
      </c>
      <c r="I929" s="145" t="s">
        <v>4647</v>
      </c>
      <c r="J929" s="17" t="s">
        <v>5172</v>
      </c>
      <c r="K929" s="17" t="s">
        <v>2123</v>
      </c>
      <c r="L929" s="17" t="s">
        <v>2</v>
      </c>
      <c r="M929" s="16">
        <v>8110228404</v>
      </c>
      <c r="N929" s="16">
        <v>868166057567125</v>
      </c>
      <c r="O929" s="16" t="s">
        <v>5174</v>
      </c>
      <c r="P929" s="17" t="s">
        <v>5173</v>
      </c>
      <c r="Q929" s="14" t="s">
        <v>8</v>
      </c>
      <c r="R929" s="18">
        <v>1999.84</v>
      </c>
      <c r="S929" s="19" t="s">
        <v>5002</v>
      </c>
      <c r="T929" s="17"/>
      <c r="U929" s="66"/>
    </row>
    <row r="930" spans="2:22" s="15" customFormat="1" ht="43.5" x14ac:dyDescent="0.35">
      <c r="B930" s="64">
        <v>45499</v>
      </c>
      <c r="C930" s="17">
        <v>835</v>
      </c>
      <c r="D930" s="85" t="s">
        <v>4140</v>
      </c>
      <c r="E930" s="85" t="s">
        <v>2124</v>
      </c>
      <c r="F930" s="85" t="s">
        <v>13</v>
      </c>
      <c r="G930" s="17" t="s">
        <v>5</v>
      </c>
      <c r="H930" s="17" t="s">
        <v>2126</v>
      </c>
      <c r="I930" s="145">
        <v>0.58333333333333337</v>
      </c>
      <c r="J930" s="17" t="s">
        <v>4162</v>
      </c>
      <c r="K930" s="17" t="s">
        <v>2127</v>
      </c>
      <c r="L930" s="17" t="s">
        <v>2</v>
      </c>
      <c r="M930" s="16">
        <v>8110228303</v>
      </c>
      <c r="N930" s="16">
        <v>868166057566846</v>
      </c>
      <c r="O930" s="17" t="s">
        <v>2128</v>
      </c>
      <c r="P930" s="17" t="s">
        <v>39</v>
      </c>
      <c r="Q930" s="17" t="s">
        <v>2559</v>
      </c>
      <c r="R930" s="18">
        <v>1999.84</v>
      </c>
      <c r="S930" s="19" t="s">
        <v>4147</v>
      </c>
      <c r="T930" s="17"/>
      <c r="U930" s="66"/>
    </row>
    <row r="931" spans="2:22" s="15" customFormat="1" ht="29" x14ac:dyDescent="0.35">
      <c r="B931" s="64">
        <v>45502</v>
      </c>
      <c r="C931" s="17">
        <v>836</v>
      </c>
      <c r="D931" s="85">
        <v>726</v>
      </c>
      <c r="E931" s="85" t="s">
        <v>2129</v>
      </c>
      <c r="F931" s="85" t="s">
        <v>13</v>
      </c>
      <c r="G931" s="17" t="s">
        <v>5</v>
      </c>
      <c r="H931" s="14" t="s">
        <v>1793</v>
      </c>
      <c r="I931" s="145"/>
      <c r="J931" s="17" t="s">
        <v>2130</v>
      </c>
      <c r="K931" s="17" t="s">
        <v>2131</v>
      </c>
      <c r="L931" s="17" t="s">
        <v>965</v>
      </c>
      <c r="M931" s="16">
        <v>8119802162</v>
      </c>
      <c r="N931" s="16">
        <v>868166059174326</v>
      </c>
      <c r="O931" s="16"/>
      <c r="P931" s="17" t="s">
        <v>2132</v>
      </c>
      <c r="Q931" s="14" t="s">
        <v>8</v>
      </c>
      <c r="R931" s="18">
        <v>1999.84</v>
      </c>
      <c r="S931" s="19">
        <v>174</v>
      </c>
      <c r="T931" s="17"/>
      <c r="U931" s="66"/>
    </row>
    <row r="932" spans="2:22" s="15" customFormat="1" ht="29" x14ac:dyDescent="0.35">
      <c r="B932" s="64">
        <v>45504</v>
      </c>
      <c r="C932" s="17">
        <v>837</v>
      </c>
      <c r="D932" s="74" t="s">
        <v>5052</v>
      </c>
      <c r="E932" s="85" t="s">
        <v>2133</v>
      </c>
      <c r="F932" s="85" t="s">
        <v>13</v>
      </c>
      <c r="G932" s="17" t="s">
        <v>5</v>
      </c>
      <c r="H932" s="14" t="s">
        <v>1744</v>
      </c>
      <c r="I932" s="145" t="s">
        <v>4277</v>
      </c>
      <c r="J932" s="17" t="s">
        <v>5175</v>
      </c>
      <c r="K932" s="17" t="s">
        <v>2134</v>
      </c>
      <c r="L932" s="17" t="s">
        <v>965</v>
      </c>
      <c r="M932" s="16">
        <v>8128615693</v>
      </c>
      <c r="N932" s="16">
        <v>868166057893760</v>
      </c>
      <c r="O932" s="16" t="s">
        <v>39</v>
      </c>
      <c r="P932" s="17" t="s">
        <v>2135</v>
      </c>
      <c r="Q932" s="14" t="s">
        <v>8</v>
      </c>
      <c r="R932" s="18">
        <v>1999.84</v>
      </c>
      <c r="S932" s="19" t="s">
        <v>5002</v>
      </c>
      <c r="T932" s="17"/>
      <c r="U932" s="66"/>
    </row>
    <row r="933" spans="2:22" s="15" customFormat="1" ht="29" x14ac:dyDescent="0.35">
      <c r="B933" s="64">
        <v>45506</v>
      </c>
      <c r="C933" s="17">
        <v>838</v>
      </c>
      <c r="D933" s="74" t="s">
        <v>5053</v>
      </c>
      <c r="E933" s="85" t="s">
        <v>2136</v>
      </c>
      <c r="F933" s="85" t="s">
        <v>13</v>
      </c>
      <c r="G933" s="17" t="s">
        <v>5</v>
      </c>
      <c r="H933" s="14" t="s">
        <v>1744</v>
      </c>
      <c r="I933" s="145" t="s">
        <v>4277</v>
      </c>
      <c r="J933" s="17" t="s">
        <v>5176</v>
      </c>
      <c r="K933" s="17" t="s">
        <v>2137</v>
      </c>
      <c r="L933" s="17" t="s">
        <v>965</v>
      </c>
      <c r="M933" s="16">
        <v>8110448882</v>
      </c>
      <c r="N933" s="16">
        <v>868166059136630</v>
      </c>
      <c r="O933" s="16" t="s">
        <v>39</v>
      </c>
      <c r="P933" s="17" t="s">
        <v>2138</v>
      </c>
      <c r="Q933" s="14" t="s">
        <v>8</v>
      </c>
      <c r="R933" s="18">
        <v>1999.84</v>
      </c>
      <c r="S933" s="19" t="s">
        <v>5002</v>
      </c>
      <c r="T933" s="17"/>
      <c r="U933" s="66"/>
    </row>
    <row r="934" spans="2:22" s="15" customFormat="1" ht="29" x14ac:dyDescent="0.35">
      <c r="B934" s="64">
        <v>45506</v>
      </c>
      <c r="C934" s="17">
        <v>829</v>
      </c>
      <c r="D934" s="36">
        <v>700</v>
      </c>
      <c r="E934" s="85" t="s">
        <v>2139</v>
      </c>
      <c r="F934" s="85" t="s">
        <v>6</v>
      </c>
      <c r="G934" s="17" t="s">
        <v>1805</v>
      </c>
      <c r="H934" s="17" t="s">
        <v>1787</v>
      </c>
      <c r="I934" s="145"/>
      <c r="J934" s="17" t="s">
        <v>1995</v>
      </c>
      <c r="K934" s="17" t="s">
        <v>1999</v>
      </c>
      <c r="L934" s="17" t="s">
        <v>2</v>
      </c>
      <c r="M934" s="16">
        <v>8182547171</v>
      </c>
      <c r="N934" s="16">
        <v>868166059178772</v>
      </c>
      <c r="O934" s="16"/>
      <c r="P934" s="17" t="s">
        <v>2000</v>
      </c>
      <c r="Q934" s="17" t="s">
        <v>2140</v>
      </c>
      <c r="R934" s="18">
        <v>754</v>
      </c>
      <c r="S934" s="19" t="s">
        <v>2141</v>
      </c>
      <c r="T934" s="17"/>
      <c r="U934" s="66"/>
      <c r="V934" s="15" t="s">
        <v>2142</v>
      </c>
    </row>
    <row r="935" spans="2:22" s="15" customFormat="1" ht="29" x14ac:dyDescent="0.35">
      <c r="B935" s="64">
        <v>45509</v>
      </c>
      <c r="C935" s="17">
        <v>830</v>
      </c>
      <c r="D935" s="74" t="s">
        <v>2750</v>
      </c>
      <c r="E935" s="85" t="s">
        <v>2146</v>
      </c>
      <c r="F935" s="85" t="s">
        <v>6</v>
      </c>
      <c r="G935" s="17" t="s">
        <v>5</v>
      </c>
      <c r="H935" s="17" t="s">
        <v>2143</v>
      </c>
      <c r="I935" s="145">
        <v>0.45833333333333331</v>
      </c>
      <c r="J935" s="17" t="s">
        <v>4335</v>
      </c>
      <c r="K935" s="17" t="s">
        <v>974</v>
      </c>
      <c r="L935" s="17" t="s">
        <v>965</v>
      </c>
      <c r="M935" s="16">
        <v>8118220273</v>
      </c>
      <c r="N935" s="16">
        <v>359857084516731</v>
      </c>
      <c r="O935" s="16" t="s">
        <v>4337</v>
      </c>
      <c r="P935" s="17" t="s">
        <v>4336</v>
      </c>
      <c r="Q935" s="14" t="s">
        <v>2751</v>
      </c>
      <c r="R935" s="18">
        <v>754</v>
      </c>
      <c r="S935" s="19" t="s">
        <v>2748</v>
      </c>
      <c r="T935" s="17" t="s">
        <v>2749</v>
      </c>
      <c r="U935" s="66"/>
      <c r="V935" s="100" t="s">
        <v>2148</v>
      </c>
    </row>
    <row r="936" spans="2:22" s="15" customFormat="1" ht="29" x14ac:dyDescent="0.35">
      <c r="B936" s="64">
        <v>45510</v>
      </c>
      <c r="C936" s="17">
        <v>831</v>
      </c>
      <c r="D936" s="85" t="s">
        <v>4141</v>
      </c>
      <c r="E936" s="85" t="s">
        <v>2147</v>
      </c>
      <c r="F936" s="85" t="s">
        <v>138</v>
      </c>
      <c r="G936" s="17" t="s">
        <v>5</v>
      </c>
      <c r="H936" s="14" t="s">
        <v>1744</v>
      </c>
      <c r="I936" s="145">
        <v>0.6875</v>
      </c>
      <c r="J936" s="17" t="s">
        <v>4163</v>
      </c>
      <c r="K936" s="17" t="s">
        <v>2149</v>
      </c>
      <c r="L936" s="17" t="s">
        <v>965</v>
      </c>
      <c r="M936" s="16">
        <v>8118220273</v>
      </c>
      <c r="N936" s="16">
        <v>359857084516731</v>
      </c>
      <c r="O936" s="16" t="s">
        <v>39</v>
      </c>
      <c r="P936" s="17" t="s">
        <v>39</v>
      </c>
      <c r="Q936" s="17" t="s">
        <v>2559</v>
      </c>
      <c r="R936" s="18">
        <v>696</v>
      </c>
      <c r="S936" s="19" t="s">
        <v>4147</v>
      </c>
      <c r="T936" s="17" t="s">
        <v>2749</v>
      </c>
      <c r="U936" s="66"/>
      <c r="V936" s="100" t="s">
        <v>2148</v>
      </c>
    </row>
    <row r="937" spans="2:22" s="15" customFormat="1" ht="29" x14ac:dyDescent="0.35">
      <c r="B937" s="64">
        <v>45513</v>
      </c>
      <c r="C937" s="17">
        <v>832</v>
      </c>
      <c r="D937" s="74" t="s">
        <v>5054</v>
      </c>
      <c r="E937" s="85" t="s">
        <v>2150</v>
      </c>
      <c r="F937" s="85" t="s">
        <v>13</v>
      </c>
      <c r="G937" s="17" t="s">
        <v>5</v>
      </c>
      <c r="H937" s="14" t="s">
        <v>1744</v>
      </c>
      <c r="I937" s="145" t="s">
        <v>5177</v>
      </c>
      <c r="J937" s="17" t="s">
        <v>5178</v>
      </c>
      <c r="K937" s="17" t="s">
        <v>2151</v>
      </c>
      <c r="L937" s="17" t="s">
        <v>50</v>
      </c>
      <c r="M937" s="16">
        <v>8123539408</v>
      </c>
      <c r="N937" s="16">
        <v>350544502464111</v>
      </c>
      <c r="O937" s="16" t="s">
        <v>39</v>
      </c>
      <c r="P937" s="17" t="s">
        <v>2152</v>
      </c>
      <c r="Q937" s="14" t="s">
        <v>8</v>
      </c>
      <c r="R937" s="18">
        <v>1999.84</v>
      </c>
      <c r="S937" s="19" t="s">
        <v>5002</v>
      </c>
      <c r="T937" s="17"/>
      <c r="U937" s="66"/>
    </row>
    <row r="938" spans="2:22" s="15" customFormat="1" ht="29" x14ac:dyDescent="0.35">
      <c r="B938" s="64">
        <v>45516</v>
      </c>
      <c r="C938" s="17">
        <v>833</v>
      </c>
      <c r="D938" s="85" t="s">
        <v>3086</v>
      </c>
      <c r="E938" s="85" t="s">
        <v>2153</v>
      </c>
      <c r="F938" s="85" t="s">
        <v>13</v>
      </c>
      <c r="G938" s="17" t="s">
        <v>5</v>
      </c>
      <c r="H938" s="17" t="s">
        <v>2156</v>
      </c>
      <c r="I938" s="145">
        <v>0.70833333333333337</v>
      </c>
      <c r="J938" s="17" t="s">
        <v>3246</v>
      </c>
      <c r="K938" s="17" t="s">
        <v>2154</v>
      </c>
      <c r="L938" s="17" t="s">
        <v>965</v>
      </c>
      <c r="M938" s="16">
        <v>8118003462</v>
      </c>
      <c r="N938" s="16">
        <v>865011030429022</v>
      </c>
      <c r="O938" s="16" t="s">
        <v>3247</v>
      </c>
      <c r="P938" s="17" t="s">
        <v>3248</v>
      </c>
      <c r="Q938" s="17" t="s">
        <v>2559</v>
      </c>
      <c r="R938" s="18">
        <v>1999.84</v>
      </c>
      <c r="S938" s="19" t="s">
        <v>2977</v>
      </c>
      <c r="T938" s="17"/>
      <c r="U938" s="66"/>
    </row>
    <row r="939" spans="2:22" s="15" customFormat="1" ht="29" x14ac:dyDescent="0.35">
      <c r="B939" s="64">
        <v>45517</v>
      </c>
      <c r="C939" s="17">
        <v>834</v>
      </c>
      <c r="D939" s="67" t="s">
        <v>39</v>
      </c>
      <c r="E939" s="67" t="s">
        <v>39</v>
      </c>
      <c r="F939" s="85" t="s">
        <v>40</v>
      </c>
      <c r="G939" s="17" t="s">
        <v>5</v>
      </c>
      <c r="H939" s="14" t="s">
        <v>2157</v>
      </c>
      <c r="I939" s="145"/>
      <c r="J939" s="17" t="s">
        <v>2160</v>
      </c>
      <c r="K939" s="17" t="s">
        <v>2159</v>
      </c>
      <c r="L939" s="17" t="s">
        <v>965</v>
      </c>
      <c r="M939" s="16" t="s">
        <v>39</v>
      </c>
      <c r="N939" s="16" t="s">
        <v>39</v>
      </c>
      <c r="O939" s="16"/>
      <c r="P939" s="17" t="s">
        <v>39</v>
      </c>
      <c r="Q939" s="17" t="s">
        <v>39</v>
      </c>
      <c r="R939" s="18">
        <v>290</v>
      </c>
      <c r="S939" s="19">
        <v>0</v>
      </c>
      <c r="T939" s="17"/>
      <c r="U939" s="66"/>
    </row>
    <row r="940" spans="2:22" s="15" customFormat="1" ht="29" x14ac:dyDescent="0.35">
      <c r="B940" s="64">
        <v>45517</v>
      </c>
      <c r="C940" s="17">
        <v>835</v>
      </c>
      <c r="D940" s="74" t="s">
        <v>5055</v>
      </c>
      <c r="E940" s="85" t="s">
        <v>2155</v>
      </c>
      <c r="F940" s="85" t="s">
        <v>13</v>
      </c>
      <c r="G940" s="17" t="s">
        <v>5</v>
      </c>
      <c r="H940" s="14" t="s">
        <v>1744</v>
      </c>
      <c r="I940" s="145" t="s">
        <v>5082</v>
      </c>
      <c r="J940" s="17" t="s">
        <v>5179</v>
      </c>
      <c r="K940" s="17" t="s">
        <v>2158</v>
      </c>
      <c r="L940" s="17" t="s">
        <v>965</v>
      </c>
      <c r="M940" s="16">
        <v>8182597255</v>
      </c>
      <c r="N940" s="16">
        <v>868166059144436</v>
      </c>
      <c r="O940" s="16" t="s">
        <v>39</v>
      </c>
      <c r="P940" s="17" t="s">
        <v>2161</v>
      </c>
      <c r="Q940" s="14" t="s">
        <v>8</v>
      </c>
      <c r="R940" s="18">
        <v>1999.84</v>
      </c>
      <c r="S940" s="19" t="s">
        <v>5002</v>
      </c>
      <c r="T940" s="17"/>
      <c r="U940" s="66"/>
    </row>
    <row r="941" spans="2:22" s="15" customFormat="1" ht="29" x14ac:dyDescent="0.35">
      <c r="B941" s="64">
        <v>45518</v>
      </c>
      <c r="C941" s="17">
        <v>836</v>
      </c>
      <c r="D941" s="85" t="s">
        <v>3418</v>
      </c>
      <c r="E941" s="85" t="s">
        <v>2162</v>
      </c>
      <c r="F941" s="85" t="s">
        <v>13</v>
      </c>
      <c r="G941" s="17" t="s">
        <v>1805</v>
      </c>
      <c r="H941" s="17" t="s">
        <v>39</v>
      </c>
      <c r="I941" s="145" t="s">
        <v>39</v>
      </c>
      <c r="J941" s="121" t="s">
        <v>3371</v>
      </c>
      <c r="K941" s="17" t="s">
        <v>2163</v>
      </c>
      <c r="L941" s="17" t="s">
        <v>965</v>
      </c>
      <c r="M941" s="16">
        <v>8182594957</v>
      </c>
      <c r="N941" s="16">
        <v>868166059144444</v>
      </c>
      <c r="O941" s="16" t="s">
        <v>39</v>
      </c>
      <c r="P941" s="17" t="s">
        <v>2187</v>
      </c>
      <c r="Q941" s="17" t="s">
        <v>2559</v>
      </c>
      <c r="R941" s="18">
        <v>1999.84</v>
      </c>
      <c r="S941" s="19" t="s">
        <v>3329</v>
      </c>
      <c r="T941" s="17"/>
      <c r="U941" s="66"/>
    </row>
    <row r="942" spans="2:22" s="15" customFormat="1" ht="29" x14ac:dyDescent="0.35">
      <c r="B942" s="64">
        <v>45520</v>
      </c>
      <c r="C942" s="17">
        <v>837</v>
      </c>
      <c r="D942" s="85">
        <v>734</v>
      </c>
      <c r="E942" s="85" t="s">
        <v>2164</v>
      </c>
      <c r="F942" s="85" t="s">
        <v>13</v>
      </c>
      <c r="G942" s="17" t="s">
        <v>1805</v>
      </c>
      <c r="H942" s="17" t="s">
        <v>2166</v>
      </c>
      <c r="I942" s="145"/>
      <c r="J942" s="17" t="s">
        <v>2167</v>
      </c>
      <c r="K942" s="17" t="s">
        <v>2165</v>
      </c>
      <c r="L942" s="17" t="s">
        <v>965</v>
      </c>
      <c r="M942" s="16">
        <v>8110440300</v>
      </c>
      <c r="N942" s="16">
        <v>868166059143719</v>
      </c>
      <c r="O942" s="16"/>
      <c r="P942" s="17" t="s">
        <v>2168</v>
      </c>
      <c r="Q942" s="14" t="s">
        <v>8</v>
      </c>
      <c r="R942" s="18">
        <v>1999.84</v>
      </c>
      <c r="S942" s="19">
        <v>174</v>
      </c>
      <c r="T942" s="17"/>
      <c r="U942" s="66"/>
    </row>
    <row r="943" spans="2:22" s="15" customFormat="1" ht="29" x14ac:dyDescent="0.35">
      <c r="B943" s="64">
        <v>45520</v>
      </c>
      <c r="C943" s="17">
        <v>838</v>
      </c>
      <c r="D943" s="85" t="s">
        <v>3088</v>
      </c>
      <c r="E943" s="85" t="s">
        <v>2164</v>
      </c>
      <c r="F943" s="85" t="s">
        <v>13</v>
      </c>
      <c r="G943" s="17" t="s">
        <v>5</v>
      </c>
      <c r="H943" s="17" t="s">
        <v>2169</v>
      </c>
      <c r="I943" s="145" t="s">
        <v>3232</v>
      </c>
      <c r="J943" s="17" t="s">
        <v>3251</v>
      </c>
      <c r="K943" s="17" t="s">
        <v>2957</v>
      </c>
      <c r="L943" s="17" t="s">
        <v>965</v>
      </c>
      <c r="M943" s="16">
        <v>8135516739</v>
      </c>
      <c r="N943" s="16">
        <v>868166059177782</v>
      </c>
      <c r="O943" s="16" t="s">
        <v>3250</v>
      </c>
      <c r="P943" s="17" t="s">
        <v>3252</v>
      </c>
      <c r="Q943" s="17" t="s">
        <v>2559</v>
      </c>
      <c r="R943" s="18">
        <v>1999.84</v>
      </c>
      <c r="S943" s="19" t="s">
        <v>2977</v>
      </c>
      <c r="T943" s="17"/>
      <c r="U943" s="66"/>
    </row>
    <row r="944" spans="2:22" s="15" customFormat="1" ht="43.5" x14ac:dyDescent="0.35">
      <c r="B944" s="64">
        <v>45523</v>
      </c>
      <c r="C944" s="17">
        <v>839</v>
      </c>
      <c r="D944" s="85" t="s">
        <v>39</v>
      </c>
      <c r="E944" s="85" t="s">
        <v>2170</v>
      </c>
      <c r="F944" s="85" t="s">
        <v>6</v>
      </c>
      <c r="G944" s="17" t="s">
        <v>5</v>
      </c>
      <c r="H944" s="14" t="s">
        <v>1744</v>
      </c>
      <c r="I944" s="145"/>
      <c r="J944" s="17" t="s">
        <v>2175</v>
      </c>
      <c r="K944" s="17" t="s">
        <v>2179</v>
      </c>
      <c r="L944" s="17" t="s">
        <v>965</v>
      </c>
      <c r="M944" s="16" t="s">
        <v>39</v>
      </c>
      <c r="N944" s="16" t="s">
        <v>39</v>
      </c>
      <c r="O944" s="16"/>
      <c r="P944" s="17" t="s">
        <v>2178</v>
      </c>
      <c r="Q944" s="17" t="s">
        <v>2171</v>
      </c>
      <c r="R944" s="18">
        <v>754</v>
      </c>
      <c r="S944" s="19">
        <v>0</v>
      </c>
      <c r="T944" s="17"/>
      <c r="U944" s="66"/>
    </row>
    <row r="945" spans="2:22" s="15" customFormat="1" ht="29" x14ac:dyDescent="0.35">
      <c r="B945" s="64">
        <v>45523</v>
      </c>
      <c r="C945" s="17">
        <v>840</v>
      </c>
      <c r="D945" s="134" t="s">
        <v>4263</v>
      </c>
      <c r="E945" s="85" t="s">
        <v>2172</v>
      </c>
      <c r="F945" s="85" t="s">
        <v>13</v>
      </c>
      <c r="G945" s="17" t="s">
        <v>5</v>
      </c>
      <c r="H945" s="17" t="s">
        <v>2173</v>
      </c>
      <c r="I945" s="145" t="s">
        <v>4282</v>
      </c>
      <c r="J945" s="17" t="s">
        <v>4281</v>
      </c>
      <c r="K945" s="17" t="s">
        <v>2174</v>
      </c>
      <c r="L945" s="17" t="s">
        <v>965</v>
      </c>
      <c r="M945" s="16">
        <v>8119166780</v>
      </c>
      <c r="N945" s="16">
        <v>868166059144626</v>
      </c>
      <c r="O945" s="16" t="s">
        <v>4284</v>
      </c>
      <c r="P945" s="17" t="s">
        <v>4283</v>
      </c>
      <c r="Q945" s="17" t="s">
        <v>2559</v>
      </c>
      <c r="R945" s="18">
        <v>1999.84</v>
      </c>
      <c r="S945" s="19" t="s">
        <v>4265</v>
      </c>
      <c r="T945" s="17"/>
      <c r="U945" s="66"/>
    </row>
    <row r="946" spans="2:22" s="15" customFormat="1" ht="29" x14ac:dyDescent="0.35">
      <c r="B946" s="64">
        <v>45523</v>
      </c>
      <c r="C946" s="17">
        <v>841</v>
      </c>
      <c r="D946" s="74" t="s">
        <v>5056</v>
      </c>
      <c r="E946" s="85" t="s">
        <v>2172</v>
      </c>
      <c r="F946" s="85" t="s">
        <v>13</v>
      </c>
      <c r="G946" s="17" t="s">
        <v>5</v>
      </c>
      <c r="H946" s="14" t="s">
        <v>1744</v>
      </c>
      <c r="I946" s="145" t="s">
        <v>5181</v>
      </c>
      <c r="J946" s="17" t="s">
        <v>5180</v>
      </c>
      <c r="K946" s="17" t="s">
        <v>2176</v>
      </c>
      <c r="L946" s="17" t="s">
        <v>965</v>
      </c>
      <c r="M946" s="16">
        <v>8182597047</v>
      </c>
      <c r="N946" s="16">
        <v>868166059143966</v>
      </c>
      <c r="O946" s="16" t="s">
        <v>4397</v>
      </c>
      <c r="P946" s="17" t="s">
        <v>2177</v>
      </c>
      <c r="Q946" s="14" t="s">
        <v>8</v>
      </c>
      <c r="R946" s="18">
        <v>1999.84</v>
      </c>
      <c r="S946" s="19" t="s">
        <v>5002</v>
      </c>
      <c r="T946" s="17"/>
      <c r="U946" s="66"/>
    </row>
    <row r="947" spans="2:22" s="15" customFormat="1" ht="29" x14ac:dyDescent="0.35">
      <c r="B947" s="64">
        <v>45528</v>
      </c>
      <c r="C947" s="17">
        <v>842</v>
      </c>
      <c r="D947" s="85" t="s">
        <v>39</v>
      </c>
      <c r="E947" s="67" t="s">
        <v>39</v>
      </c>
      <c r="F947" s="85" t="s">
        <v>40</v>
      </c>
      <c r="G947" s="17" t="s">
        <v>5</v>
      </c>
      <c r="H947" s="17" t="s">
        <v>2181</v>
      </c>
      <c r="I947" s="145"/>
      <c r="J947" s="17" t="s">
        <v>2182</v>
      </c>
      <c r="K947" s="17" t="s">
        <v>2180</v>
      </c>
      <c r="L947" s="17" t="s">
        <v>965</v>
      </c>
      <c r="M947" s="16" t="s">
        <v>39</v>
      </c>
      <c r="N947" s="16" t="s">
        <v>39</v>
      </c>
      <c r="O947" s="16"/>
      <c r="P947" s="17" t="s">
        <v>39</v>
      </c>
      <c r="Q947" s="17" t="s">
        <v>2183</v>
      </c>
      <c r="R947" s="18">
        <v>290</v>
      </c>
      <c r="S947" s="19">
        <v>0</v>
      </c>
      <c r="T947" s="17"/>
      <c r="U947" s="66"/>
    </row>
    <row r="948" spans="2:22" s="15" customFormat="1" ht="29" x14ac:dyDescent="0.35">
      <c r="B948" s="64">
        <v>45530</v>
      </c>
      <c r="C948" s="17">
        <v>843</v>
      </c>
      <c r="D948" s="85">
        <v>738</v>
      </c>
      <c r="E948" s="85" t="s">
        <v>2184</v>
      </c>
      <c r="F948" s="85" t="s">
        <v>13</v>
      </c>
      <c r="G948" s="17" t="s">
        <v>5</v>
      </c>
      <c r="H948" s="14" t="s">
        <v>1744</v>
      </c>
      <c r="I948" s="145"/>
      <c r="J948" s="17" t="s">
        <v>2185</v>
      </c>
      <c r="K948" s="17" t="s">
        <v>2186</v>
      </c>
      <c r="L948" s="17" t="s">
        <v>965</v>
      </c>
      <c r="M948" s="16">
        <v>8118241457</v>
      </c>
      <c r="N948" s="16">
        <v>868166057571648</v>
      </c>
      <c r="O948" s="16"/>
      <c r="P948" s="17" t="s">
        <v>2188</v>
      </c>
      <c r="Q948" s="14" t="s">
        <v>8</v>
      </c>
      <c r="R948" s="18">
        <v>1999.84</v>
      </c>
      <c r="S948" s="19">
        <v>174</v>
      </c>
      <c r="T948" s="17"/>
      <c r="U948" s="66"/>
    </row>
    <row r="949" spans="2:22" s="15" customFormat="1" ht="29" x14ac:dyDescent="0.35">
      <c r="B949" s="64">
        <v>45530</v>
      </c>
      <c r="C949" s="17">
        <v>844</v>
      </c>
      <c r="D949" s="85">
        <v>739</v>
      </c>
      <c r="E949" s="85" t="s">
        <v>2184</v>
      </c>
      <c r="F949" s="85" t="s">
        <v>13</v>
      </c>
      <c r="G949" s="17" t="s">
        <v>5</v>
      </c>
      <c r="H949" s="17" t="s">
        <v>1720</v>
      </c>
      <c r="I949" s="145"/>
      <c r="J949" s="17" t="s">
        <v>2191</v>
      </c>
      <c r="K949" s="17" t="s">
        <v>2189</v>
      </c>
      <c r="L949" s="17" t="s">
        <v>965</v>
      </c>
      <c r="M949" s="16">
        <v>8182595036</v>
      </c>
      <c r="N949" s="16">
        <v>868166057564577</v>
      </c>
      <c r="O949" s="16"/>
      <c r="P949" s="17" t="s">
        <v>2190</v>
      </c>
      <c r="Q949" s="14" t="s">
        <v>8</v>
      </c>
      <c r="R949" s="18">
        <v>1999.84</v>
      </c>
      <c r="S949" s="19">
        <v>174</v>
      </c>
      <c r="T949" s="17"/>
      <c r="U949" s="66"/>
    </row>
    <row r="950" spans="2:22" s="15" customFormat="1" ht="39" x14ac:dyDescent="0.35">
      <c r="B950" s="64">
        <v>45532</v>
      </c>
      <c r="C950" s="17">
        <v>845</v>
      </c>
      <c r="D950" s="85" t="s">
        <v>3042</v>
      </c>
      <c r="E950" s="14" t="s">
        <v>2192</v>
      </c>
      <c r="F950" s="74" t="s">
        <v>213</v>
      </c>
      <c r="G950" s="14" t="s">
        <v>2195</v>
      </c>
      <c r="H950" s="14" t="s">
        <v>3183</v>
      </c>
      <c r="I950" s="144" t="s">
        <v>39</v>
      </c>
      <c r="J950" s="14" t="s">
        <v>251</v>
      </c>
      <c r="K950" s="14" t="s">
        <v>1306</v>
      </c>
      <c r="L950" s="14" t="s">
        <v>965</v>
      </c>
      <c r="M950" s="38">
        <v>8180927463</v>
      </c>
      <c r="N950" s="38">
        <v>357073296076025</v>
      </c>
      <c r="O950" s="38" t="s">
        <v>3180</v>
      </c>
      <c r="P950" s="14" t="s">
        <v>3181</v>
      </c>
      <c r="Q950" s="94" t="s">
        <v>3182</v>
      </c>
      <c r="R950" s="18" t="s">
        <v>39</v>
      </c>
      <c r="S950" s="19" t="s">
        <v>2977</v>
      </c>
      <c r="T950" s="17"/>
      <c r="U950" s="66"/>
      <c r="V950" s="100" t="s">
        <v>2193</v>
      </c>
    </row>
    <row r="951" spans="2:22" s="15" customFormat="1" ht="29" x14ac:dyDescent="0.35">
      <c r="B951" s="64">
        <v>45532</v>
      </c>
      <c r="C951" s="17">
        <v>846</v>
      </c>
      <c r="D951" s="85">
        <v>740</v>
      </c>
      <c r="E951" s="85" t="s">
        <v>2194</v>
      </c>
      <c r="F951" s="85" t="s">
        <v>13</v>
      </c>
      <c r="G951" s="17" t="s">
        <v>5</v>
      </c>
      <c r="H951" s="17" t="s">
        <v>1893</v>
      </c>
      <c r="I951" s="145"/>
      <c r="J951" s="17" t="s">
        <v>2196</v>
      </c>
      <c r="K951" s="17" t="s">
        <v>2197</v>
      </c>
      <c r="L951" s="17" t="s">
        <v>965</v>
      </c>
      <c r="M951" s="16">
        <v>8118003526</v>
      </c>
      <c r="N951" s="16">
        <v>868166059136408</v>
      </c>
      <c r="O951" s="16"/>
      <c r="P951" s="17" t="s">
        <v>2198</v>
      </c>
      <c r="Q951" s="14" t="s">
        <v>8</v>
      </c>
      <c r="R951" s="18">
        <v>1999.84</v>
      </c>
      <c r="S951" s="19">
        <v>174</v>
      </c>
      <c r="T951" s="17"/>
      <c r="U951" s="66"/>
    </row>
    <row r="952" spans="2:22" s="15" customFormat="1" ht="29" x14ac:dyDescent="0.35">
      <c r="B952" s="64">
        <v>45535</v>
      </c>
      <c r="C952" s="17">
        <v>847</v>
      </c>
      <c r="D952" s="36" t="s">
        <v>2201</v>
      </c>
      <c r="E952" s="85" t="s">
        <v>2200</v>
      </c>
      <c r="F952" s="85" t="s">
        <v>1468</v>
      </c>
      <c r="G952" s="17" t="s">
        <v>5</v>
      </c>
      <c r="H952" s="17" t="s">
        <v>1930</v>
      </c>
      <c r="I952" s="145"/>
      <c r="J952" s="14" t="s">
        <v>807</v>
      </c>
      <c r="K952" s="14" t="s">
        <v>1015</v>
      </c>
      <c r="L952" s="14" t="s">
        <v>39</v>
      </c>
      <c r="M952" s="38">
        <v>8181620569</v>
      </c>
      <c r="N952" s="38">
        <v>864895033314855</v>
      </c>
      <c r="O952" s="38"/>
      <c r="P952" s="14" t="s">
        <v>621</v>
      </c>
      <c r="Q952" s="39" t="s">
        <v>1538</v>
      </c>
      <c r="R952" s="18">
        <v>0</v>
      </c>
      <c r="S952" s="41" t="s">
        <v>2200</v>
      </c>
      <c r="T952" s="17"/>
      <c r="U952" s="66"/>
    </row>
    <row r="953" spans="2:22" s="15" customFormat="1" ht="29" x14ac:dyDescent="0.35">
      <c r="B953" s="64">
        <v>45535</v>
      </c>
      <c r="C953" s="17">
        <v>848</v>
      </c>
      <c r="D953" s="71" t="s">
        <v>1928</v>
      </c>
      <c r="E953" s="85" t="s">
        <v>1929</v>
      </c>
      <c r="F953" s="85" t="s">
        <v>1468</v>
      </c>
      <c r="G953" s="17" t="s">
        <v>5</v>
      </c>
      <c r="H953" s="17" t="s">
        <v>1930</v>
      </c>
      <c r="I953" s="145"/>
      <c r="J953" s="14" t="s">
        <v>794</v>
      </c>
      <c r="K953" s="17" t="s">
        <v>1062</v>
      </c>
      <c r="L953" s="17" t="s">
        <v>39</v>
      </c>
      <c r="M953" s="38">
        <v>345901012159571</v>
      </c>
      <c r="N953" s="38">
        <v>865011032219306</v>
      </c>
      <c r="O953" s="38"/>
      <c r="P953" s="14" t="s">
        <v>793</v>
      </c>
      <c r="Q953" s="71" t="s">
        <v>2202</v>
      </c>
      <c r="R953" s="18">
        <v>0</v>
      </c>
      <c r="S953" s="41" t="s">
        <v>1931</v>
      </c>
      <c r="T953" s="17"/>
      <c r="U953" s="66"/>
    </row>
    <row r="954" spans="2:22" s="15" customFormat="1" ht="43.5" x14ac:dyDescent="0.35">
      <c r="B954" s="64">
        <v>45535</v>
      </c>
      <c r="C954" s="17">
        <v>849</v>
      </c>
      <c r="D954" s="36" t="s">
        <v>2203</v>
      </c>
      <c r="E954" s="85" t="s">
        <v>2200</v>
      </c>
      <c r="F954" s="85" t="s">
        <v>1468</v>
      </c>
      <c r="G954" s="17" t="s">
        <v>5</v>
      </c>
      <c r="H954" s="17" t="s">
        <v>1930</v>
      </c>
      <c r="I954" s="145"/>
      <c r="J954" s="14" t="s">
        <v>788</v>
      </c>
      <c r="K954" s="14" t="s">
        <v>1070</v>
      </c>
      <c r="L954" s="14" t="s">
        <v>39</v>
      </c>
      <c r="M954" s="38">
        <v>345901012591006</v>
      </c>
      <c r="N954" s="38">
        <v>863844050491643</v>
      </c>
      <c r="O954" s="38"/>
      <c r="P954" s="14" t="s">
        <v>787</v>
      </c>
      <c r="Q954" s="39" t="s">
        <v>2559</v>
      </c>
      <c r="R954" s="18">
        <v>0</v>
      </c>
      <c r="S954" s="19" t="s">
        <v>2204</v>
      </c>
      <c r="T954" s="17"/>
      <c r="U954" s="66"/>
    </row>
    <row r="955" spans="2:22" s="15" customFormat="1" ht="29" x14ac:dyDescent="0.35">
      <c r="B955" s="64">
        <v>45535</v>
      </c>
      <c r="C955" s="17">
        <v>850</v>
      </c>
      <c r="D955" s="71" t="s">
        <v>1932</v>
      </c>
      <c r="E955" s="85" t="s">
        <v>1929</v>
      </c>
      <c r="F955" s="85" t="s">
        <v>1468</v>
      </c>
      <c r="G955" s="17" t="s">
        <v>5</v>
      </c>
      <c r="H955" s="17" t="s">
        <v>1930</v>
      </c>
      <c r="I955" s="145"/>
      <c r="J955" s="17" t="s">
        <v>2940</v>
      </c>
      <c r="K955" s="17" t="s">
        <v>1933</v>
      </c>
      <c r="L955" s="17" t="s">
        <v>39</v>
      </c>
      <c r="M955" s="38" t="s">
        <v>777</v>
      </c>
      <c r="N955" s="38">
        <v>863844050699245</v>
      </c>
      <c r="O955" s="38"/>
      <c r="P955" s="14" t="s">
        <v>776</v>
      </c>
      <c r="Q955" s="72" t="s">
        <v>2205</v>
      </c>
      <c r="R955" s="40">
        <v>0</v>
      </c>
      <c r="S955" s="41" t="s">
        <v>1931</v>
      </c>
      <c r="T955" s="17"/>
      <c r="U955" s="66"/>
    </row>
    <row r="956" spans="2:22" s="15" customFormat="1" ht="29" x14ac:dyDescent="0.35">
      <c r="B956" s="64">
        <v>45535</v>
      </c>
      <c r="C956" s="17">
        <v>851</v>
      </c>
      <c r="D956" s="36" t="s">
        <v>2206</v>
      </c>
      <c r="E956" s="85" t="s">
        <v>2200</v>
      </c>
      <c r="F956" s="85" t="s">
        <v>1468</v>
      </c>
      <c r="G956" s="17" t="s">
        <v>5</v>
      </c>
      <c r="H956" s="17" t="s">
        <v>1930</v>
      </c>
      <c r="I956" s="145"/>
      <c r="J956" s="14" t="s">
        <v>774</v>
      </c>
      <c r="K956" s="14" t="s">
        <v>1076</v>
      </c>
      <c r="L956" s="14" t="s">
        <v>39</v>
      </c>
      <c r="M956" s="38" t="s">
        <v>773</v>
      </c>
      <c r="N956" s="38">
        <v>863844050698064</v>
      </c>
      <c r="O956" s="38"/>
      <c r="P956" s="14" t="s">
        <v>772</v>
      </c>
      <c r="Q956" s="39" t="s">
        <v>2559</v>
      </c>
      <c r="R956" s="18">
        <v>0</v>
      </c>
      <c r="S956" s="19" t="s">
        <v>2200</v>
      </c>
      <c r="T956" s="17"/>
      <c r="U956" s="66"/>
    </row>
    <row r="957" spans="2:22" s="15" customFormat="1" ht="29" x14ac:dyDescent="0.35">
      <c r="B957" s="64">
        <v>45535</v>
      </c>
      <c r="C957" s="17">
        <v>852</v>
      </c>
      <c r="D957" s="71" t="s">
        <v>1934</v>
      </c>
      <c r="E957" s="85" t="s">
        <v>1929</v>
      </c>
      <c r="F957" s="85" t="s">
        <v>1468</v>
      </c>
      <c r="G957" s="17" t="s">
        <v>5</v>
      </c>
      <c r="H957" s="17" t="s">
        <v>1930</v>
      </c>
      <c r="I957" s="145"/>
      <c r="J957" s="17" t="s">
        <v>771</v>
      </c>
      <c r="K957" s="14" t="s">
        <v>1077</v>
      </c>
      <c r="L957" s="17" t="s">
        <v>39</v>
      </c>
      <c r="M957" s="38" t="s">
        <v>770</v>
      </c>
      <c r="N957" s="38">
        <v>864606046773361</v>
      </c>
      <c r="O957" s="38"/>
      <c r="P957" s="14" t="s">
        <v>769</v>
      </c>
      <c r="Q957" s="72" t="s">
        <v>2205</v>
      </c>
      <c r="R957" s="40">
        <v>0</v>
      </c>
      <c r="S957" s="41" t="s">
        <v>1931</v>
      </c>
      <c r="T957" s="17"/>
      <c r="U957" s="66"/>
    </row>
    <row r="958" spans="2:22" s="15" customFormat="1" ht="29" x14ac:dyDescent="0.35">
      <c r="B958" s="64">
        <v>45535</v>
      </c>
      <c r="C958" s="17">
        <v>853</v>
      </c>
      <c r="D958" s="71" t="s">
        <v>1935</v>
      </c>
      <c r="E958" s="85" t="s">
        <v>1929</v>
      </c>
      <c r="F958" s="85" t="s">
        <v>1468</v>
      </c>
      <c r="G958" s="17" t="s">
        <v>5</v>
      </c>
      <c r="H958" s="17" t="s">
        <v>1930</v>
      </c>
      <c r="I958" s="145"/>
      <c r="J958" s="17" t="s">
        <v>768</v>
      </c>
      <c r="K958" s="17" t="s">
        <v>1078</v>
      </c>
      <c r="L958" s="17" t="s">
        <v>39</v>
      </c>
      <c r="M958" s="38" t="s">
        <v>767</v>
      </c>
      <c r="N958" s="38">
        <v>358480086815885</v>
      </c>
      <c r="O958" s="38"/>
      <c r="P958" s="14" t="s">
        <v>766</v>
      </c>
      <c r="Q958" s="72" t="s">
        <v>2205</v>
      </c>
      <c r="R958" s="40">
        <v>0</v>
      </c>
      <c r="S958" s="41" t="s">
        <v>1931</v>
      </c>
      <c r="T958" s="17"/>
      <c r="U958" s="66"/>
    </row>
    <row r="959" spans="2:22" s="15" customFormat="1" ht="29" x14ac:dyDescent="0.35">
      <c r="B959" s="64">
        <v>45535</v>
      </c>
      <c r="C959" s="17">
        <v>854</v>
      </c>
      <c r="D959" s="71" t="s">
        <v>1936</v>
      </c>
      <c r="E959" s="85" t="s">
        <v>1929</v>
      </c>
      <c r="F959" s="85" t="s">
        <v>1468</v>
      </c>
      <c r="G959" s="17" t="s">
        <v>5</v>
      </c>
      <c r="H959" s="17" t="s">
        <v>1930</v>
      </c>
      <c r="I959" s="145"/>
      <c r="J959" s="17" t="s">
        <v>765</v>
      </c>
      <c r="K959" s="17" t="s">
        <v>1079</v>
      </c>
      <c r="L959" s="17" t="s">
        <v>39</v>
      </c>
      <c r="M959" s="38" t="s">
        <v>764</v>
      </c>
      <c r="N959" s="38">
        <v>863844050695532</v>
      </c>
      <c r="O959" s="38"/>
      <c r="P959" s="14" t="s">
        <v>763</v>
      </c>
      <c r="Q959" s="72" t="s">
        <v>2205</v>
      </c>
      <c r="R959" s="40">
        <v>0</v>
      </c>
      <c r="S959" s="41" t="s">
        <v>1931</v>
      </c>
      <c r="T959" s="17"/>
      <c r="U959" s="66"/>
    </row>
    <row r="960" spans="2:22" s="15" customFormat="1" ht="29" x14ac:dyDescent="0.35">
      <c r="B960" s="64">
        <v>45535</v>
      </c>
      <c r="C960" s="17">
        <v>855</v>
      </c>
      <c r="D960" s="71" t="s">
        <v>1937</v>
      </c>
      <c r="E960" s="85" t="s">
        <v>1929</v>
      </c>
      <c r="F960" s="85" t="s">
        <v>1468</v>
      </c>
      <c r="G960" s="17" t="s">
        <v>5</v>
      </c>
      <c r="H960" s="17" t="s">
        <v>1930</v>
      </c>
      <c r="I960" s="145"/>
      <c r="J960" s="17" t="s">
        <v>762</v>
      </c>
      <c r="K960" s="17" t="s">
        <v>1938</v>
      </c>
      <c r="L960" s="17" t="s">
        <v>39</v>
      </c>
      <c r="M960" s="38" t="s">
        <v>761</v>
      </c>
      <c r="N960" s="38">
        <v>863844050700423</v>
      </c>
      <c r="O960" s="38"/>
      <c r="P960" s="14" t="s">
        <v>760</v>
      </c>
      <c r="Q960" s="72" t="s">
        <v>2205</v>
      </c>
      <c r="R960" s="40">
        <v>0</v>
      </c>
      <c r="S960" s="41" t="s">
        <v>1931</v>
      </c>
      <c r="T960" s="17"/>
      <c r="U960" s="66"/>
    </row>
    <row r="961" spans="2:21" s="15" customFormat="1" ht="29" x14ac:dyDescent="0.35">
      <c r="B961" s="64">
        <v>45535</v>
      </c>
      <c r="C961" s="17">
        <v>856</v>
      </c>
      <c r="D961" s="71" t="s">
        <v>1939</v>
      </c>
      <c r="E961" s="85" t="s">
        <v>1929</v>
      </c>
      <c r="F961" s="85" t="s">
        <v>1468</v>
      </c>
      <c r="G961" s="17" t="s">
        <v>5</v>
      </c>
      <c r="H961" s="17" t="s">
        <v>1930</v>
      </c>
      <c r="I961" s="145"/>
      <c r="J961" s="17" t="s">
        <v>759</v>
      </c>
      <c r="K961" s="17" t="s">
        <v>1080</v>
      </c>
      <c r="L961" s="17" t="s">
        <v>39</v>
      </c>
      <c r="M961" s="38" t="s">
        <v>758</v>
      </c>
      <c r="N961" s="38">
        <v>863844050700092</v>
      </c>
      <c r="O961" s="38"/>
      <c r="P961" s="14" t="s">
        <v>757</v>
      </c>
      <c r="Q961" s="72" t="s">
        <v>2205</v>
      </c>
      <c r="R961" s="40">
        <v>0</v>
      </c>
      <c r="S961" s="41" t="s">
        <v>1931</v>
      </c>
      <c r="T961" s="17"/>
      <c r="U961" s="66"/>
    </row>
    <row r="962" spans="2:21" s="15" customFormat="1" ht="29" x14ac:dyDescent="0.35">
      <c r="B962" s="64">
        <v>45535</v>
      </c>
      <c r="C962" s="17">
        <v>857</v>
      </c>
      <c r="D962" s="71" t="s">
        <v>1940</v>
      </c>
      <c r="E962" s="85" t="s">
        <v>1929</v>
      </c>
      <c r="F962" s="85" t="s">
        <v>1468</v>
      </c>
      <c r="G962" s="17" t="s">
        <v>5</v>
      </c>
      <c r="H962" s="17" t="s">
        <v>1930</v>
      </c>
      <c r="I962" s="145"/>
      <c r="J962" s="17" t="s">
        <v>755</v>
      </c>
      <c r="K962" s="17" t="s">
        <v>1084</v>
      </c>
      <c r="L962" s="17" t="s">
        <v>39</v>
      </c>
      <c r="M962" s="38" t="s">
        <v>754</v>
      </c>
      <c r="N962" s="38">
        <v>865011032238058</v>
      </c>
      <c r="O962" s="38"/>
      <c r="P962" s="14" t="s">
        <v>753</v>
      </c>
      <c r="Q962" s="72" t="s">
        <v>2205</v>
      </c>
      <c r="R962" s="40">
        <v>0</v>
      </c>
      <c r="S962" s="41" t="s">
        <v>1931</v>
      </c>
      <c r="T962" s="17"/>
      <c r="U962" s="66"/>
    </row>
    <row r="963" spans="2:21" s="15" customFormat="1" ht="29" x14ac:dyDescent="0.35">
      <c r="B963" s="64">
        <v>45535</v>
      </c>
      <c r="C963" s="17">
        <v>858</v>
      </c>
      <c r="D963" s="71" t="s">
        <v>1941</v>
      </c>
      <c r="E963" s="85" t="s">
        <v>1929</v>
      </c>
      <c r="F963" s="85" t="s">
        <v>1468</v>
      </c>
      <c r="G963" s="17" t="s">
        <v>5</v>
      </c>
      <c r="H963" s="17" t="s">
        <v>1930</v>
      </c>
      <c r="I963" s="145"/>
      <c r="J963" s="17" t="s">
        <v>749</v>
      </c>
      <c r="K963" s="17" t="s">
        <v>1085</v>
      </c>
      <c r="L963" s="17" t="s">
        <v>39</v>
      </c>
      <c r="M963" s="38" t="s">
        <v>748</v>
      </c>
      <c r="N963" s="38">
        <v>864893035773723</v>
      </c>
      <c r="O963" s="38"/>
      <c r="P963" s="14" t="s">
        <v>747</v>
      </c>
      <c r="Q963" s="72" t="s">
        <v>2205</v>
      </c>
      <c r="R963" s="40">
        <v>0</v>
      </c>
      <c r="S963" s="41" t="s">
        <v>1931</v>
      </c>
      <c r="T963" s="17"/>
      <c r="U963" s="66"/>
    </row>
    <row r="964" spans="2:21" s="15" customFormat="1" ht="29" x14ac:dyDescent="0.35">
      <c r="B964" s="64">
        <v>45535</v>
      </c>
      <c r="C964" s="17">
        <v>859</v>
      </c>
      <c r="D964" s="71" t="s">
        <v>1942</v>
      </c>
      <c r="E964" s="85" t="s">
        <v>1929</v>
      </c>
      <c r="F964" s="85" t="s">
        <v>1468</v>
      </c>
      <c r="G964" s="17" t="s">
        <v>5</v>
      </c>
      <c r="H964" s="17" t="s">
        <v>1930</v>
      </c>
      <c r="I964" s="145"/>
      <c r="J964" s="17" t="s">
        <v>745</v>
      </c>
      <c r="K964" s="17" t="s">
        <v>1943</v>
      </c>
      <c r="L964" s="17" t="s">
        <v>39</v>
      </c>
      <c r="M964" s="38" t="s">
        <v>744</v>
      </c>
      <c r="N964" s="38">
        <v>865011031931257</v>
      </c>
      <c r="O964" s="38"/>
      <c r="P964" s="14" t="s">
        <v>743</v>
      </c>
      <c r="Q964" s="72" t="s">
        <v>2205</v>
      </c>
      <c r="R964" s="40">
        <v>0</v>
      </c>
      <c r="S964" s="41" t="s">
        <v>1931</v>
      </c>
      <c r="T964" s="17"/>
      <c r="U964" s="66"/>
    </row>
    <row r="965" spans="2:21" s="15" customFormat="1" ht="29" x14ac:dyDescent="0.35">
      <c r="B965" s="64">
        <v>45535</v>
      </c>
      <c r="C965" s="17">
        <v>860</v>
      </c>
      <c r="D965" s="71" t="s">
        <v>1944</v>
      </c>
      <c r="E965" s="71" t="s">
        <v>1852</v>
      </c>
      <c r="F965" s="85" t="s">
        <v>1468</v>
      </c>
      <c r="G965" s="17" t="s">
        <v>5</v>
      </c>
      <c r="H965" s="17" t="s">
        <v>1930</v>
      </c>
      <c r="I965" s="145" t="s">
        <v>39</v>
      </c>
      <c r="J965" s="17" t="s">
        <v>3520</v>
      </c>
      <c r="K965" s="17" t="s">
        <v>1091</v>
      </c>
      <c r="L965" s="17" t="s">
        <v>39</v>
      </c>
      <c r="M965" s="38">
        <v>8120010508</v>
      </c>
      <c r="N965" s="16">
        <v>865011031937544</v>
      </c>
      <c r="O965" s="16" t="s">
        <v>620</v>
      </c>
      <c r="P965" s="14" t="s">
        <v>3522</v>
      </c>
      <c r="Q965" s="74" t="s">
        <v>2844</v>
      </c>
      <c r="R965" s="40">
        <v>0</v>
      </c>
      <c r="S965" s="41" t="s">
        <v>2792</v>
      </c>
      <c r="T965" s="17" t="s">
        <v>2793</v>
      </c>
      <c r="U965" s="66"/>
    </row>
    <row r="966" spans="2:21" s="15" customFormat="1" ht="29" x14ac:dyDescent="0.35">
      <c r="B966" s="64">
        <v>45535</v>
      </c>
      <c r="C966" s="17">
        <v>861</v>
      </c>
      <c r="D966" s="36" t="s">
        <v>2208</v>
      </c>
      <c r="E966" s="85" t="s">
        <v>2200</v>
      </c>
      <c r="F966" s="85" t="s">
        <v>1468</v>
      </c>
      <c r="G966" s="17" t="s">
        <v>5</v>
      </c>
      <c r="H966" s="17" t="s">
        <v>1930</v>
      </c>
      <c r="I966" s="145"/>
      <c r="J966" s="14" t="s">
        <v>737</v>
      </c>
      <c r="K966" s="14" t="s">
        <v>1093</v>
      </c>
      <c r="L966" s="14" t="s">
        <v>39</v>
      </c>
      <c r="M966" s="38" t="s">
        <v>736</v>
      </c>
      <c r="N966" s="38">
        <v>865011031932669</v>
      </c>
      <c r="O966" s="38"/>
      <c r="P966" s="14" t="s">
        <v>735</v>
      </c>
      <c r="Q966" s="39" t="s">
        <v>2559</v>
      </c>
      <c r="R966" s="18">
        <v>0</v>
      </c>
      <c r="S966" s="19" t="s">
        <v>2200</v>
      </c>
      <c r="T966" s="17"/>
      <c r="U966" s="66"/>
    </row>
    <row r="967" spans="2:21" s="15" customFormat="1" ht="29" x14ac:dyDescent="0.35">
      <c r="B967" s="64">
        <v>45535</v>
      </c>
      <c r="C967" s="17">
        <v>862</v>
      </c>
      <c r="D967" s="71" t="s">
        <v>1945</v>
      </c>
      <c r="E967" s="85" t="s">
        <v>1929</v>
      </c>
      <c r="F967" s="85" t="s">
        <v>1468</v>
      </c>
      <c r="G967" s="17" t="s">
        <v>5</v>
      </c>
      <c r="H967" s="17" t="s">
        <v>1930</v>
      </c>
      <c r="I967" s="145"/>
      <c r="J967" s="17" t="s">
        <v>1946</v>
      </c>
      <c r="K967" s="17" t="s">
        <v>1947</v>
      </c>
      <c r="L967" s="17" t="s">
        <v>39</v>
      </c>
      <c r="M967" s="38">
        <v>345901012730392</v>
      </c>
      <c r="N967" s="38">
        <v>865011031930457</v>
      </c>
      <c r="O967" s="38"/>
      <c r="P967" s="14" t="s">
        <v>730</v>
      </c>
      <c r="Q967" s="72" t="s">
        <v>2205</v>
      </c>
      <c r="R967" s="18"/>
      <c r="S967" s="41" t="s">
        <v>1931</v>
      </c>
      <c r="T967" s="17"/>
      <c r="U967" s="66"/>
    </row>
    <row r="968" spans="2:21" s="15" customFormat="1" ht="29" x14ac:dyDescent="0.35">
      <c r="B968" s="64">
        <v>45535</v>
      </c>
      <c r="C968" s="17">
        <v>863</v>
      </c>
      <c r="D968" s="71" t="s">
        <v>1948</v>
      </c>
      <c r="E968" s="85" t="s">
        <v>1929</v>
      </c>
      <c r="F968" s="85" t="s">
        <v>1468</v>
      </c>
      <c r="G968" s="17" t="s">
        <v>5</v>
      </c>
      <c r="H968" s="17" t="s">
        <v>1930</v>
      </c>
      <c r="I968" s="145"/>
      <c r="J968" s="17" t="s">
        <v>1949</v>
      </c>
      <c r="K968" s="17" t="s">
        <v>1950</v>
      </c>
      <c r="L968" s="17" t="s">
        <v>39</v>
      </c>
      <c r="M968" s="38" t="s">
        <v>727</v>
      </c>
      <c r="N968" s="38">
        <v>865011031937015</v>
      </c>
      <c r="O968" s="38"/>
      <c r="P968" s="14" t="s">
        <v>726</v>
      </c>
      <c r="Q968" s="72" t="s">
        <v>2205</v>
      </c>
      <c r="R968" s="40">
        <v>0</v>
      </c>
      <c r="S968" s="41" t="s">
        <v>1931</v>
      </c>
      <c r="T968" s="17"/>
      <c r="U968" s="66"/>
    </row>
    <row r="969" spans="2:21" s="15" customFormat="1" ht="43.5" x14ac:dyDescent="0.35">
      <c r="B969" s="64">
        <v>45535</v>
      </c>
      <c r="C969" s="17">
        <v>864</v>
      </c>
      <c r="D969" s="71" t="s">
        <v>1951</v>
      </c>
      <c r="E969" s="85" t="s">
        <v>1929</v>
      </c>
      <c r="F969" s="85" t="s">
        <v>1468</v>
      </c>
      <c r="G969" s="17" t="s">
        <v>5</v>
      </c>
      <c r="H969" s="17" t="s">
        <v>1930</v>
      </c>
      <c r="I969" s="145"/>
      <c r="J969" s="14" t="s">
        <v>2209</v>
      </c>
      <c r="K969" s="17" t="s">
        <v>1103</v>
      </c>
      <c r="L969" s="17" t="s">
        <v>39</v>
      </c>
      <c r="M969" s="38" t="s">
        <v>725</v>
      </c>
      <c r="N969" s="38">
        <v>865011031932735</v>
      </c>
      <c r="O969" s="38"/>
      <c r="P969" s="14" t="s">
        <v>724</v>
      </c>
      <c r="Q969" s="72" t="s">
        <v>2205</v>
      </c>
      <c r="R969" s="40">
        <v>0</v>
      </c>
      <c r="S969" s="41" t="s">
        <v>1931</v>
      </c>
      <c r="T969" s="17"/>
      <c r="U969" s="66"/>
    </row>
    <row r="970" spans="2:21" s="15" customFormat="1" ht="29" x14ac:dyDescent="0.35">
      <c r="B970" s="64">
        <v>45535</v>
      </c>
      <c r="C970" s="17">
        <v>865</v>
      </c>
      <c r="D970" s="71" t="s">
        <v>1952</v>
      </c>
      <c r="E970" s="85" t="s">
        <v>1929</v>
      </c>
      <c r="F970" s="85" t="s">
        <v>1468</v>
      </c>
      <c r="G970" s="17" t="s">
        <v>5</v>
      </c>
      <c r="H970" s="17" t="s">
        <v>1930</v>
      </c>
      <c r="I970" s="145"/>
      <c r="J970" s="17" t="s">
        <v>723</v>
      </c>
      <c r="K970" s="17" t="s">
        <v>1108</v>
      </c>
      <c r="L970" s="17" t="s">
        <v>39</v>
      </c>
      <c r="M970" s="38">
        <v>8123194394</v>
      </c>
      <c r="N970" s="38">
        <v>863844052854186</v>
      </c>
      <c r="O970" s="38"/>
      <c r="P970" s="14" t="s">
        <v>722</v>
      </c>
      <c r="Q970" s="72" t="s">
        <v>2205</v>
      </c>
      <c r="R970" s="40">
        <v>0</v>
      </c>
      <c r="S970" s="41" t="s">
        <v>1931</v>
      </c>
      <c r="T970" s="17"/>
      <c r="U970" s="66"/>
    </row>
    <row r="971" spans="2:21" s="15" customFormat="1" ht="29" x14ac:dyDescent="0.35">
      <c r="B971" s="64">
        <v>45535</v>
      </c>
      <c r="C971" s="17">
        <v>866</v>
      </c>
      <c r="D971" s="36" t="s">
        <v>2210</v>
      </c>
      <c r="E971" s="85" t="s">
        <v>2200</v>
      </c>
      <c r="F971" s="85" t="s">
        <v>1468</v>
      </c>
      <c r="G971" s="17" t="s">
        <v>5</v>
      </c>
      <c r="H971" s="17" t="s">
        <v>1930</v>
      </c>
      <c r="I971" s="145"/>
      <c r="J971" s="14" t="s">
        <v>721</v>
      </c>
      <c r="K971" s="14" t="s">
        <v>2211</v>
      </c>
      <c r="L971" s="14" t="s">
        <v>39</v>
      </c>
      <c r="M971" s="38">
        <v>8118249644</v>
      </c>
      <c r="N971" s="38">
        <v>863844052854103</v>
      </c>
      <c r="O971" s="38"/>
      <c r="P971" s="14" t="s">
        <v>720</v>
      </c>
      <c r="Q971" s="39" t="s">
        <v>2559</v>
      </c>
      <c r="R971" s="18">
        <v>0</v>
      </c>
      <c r="S971" s="49" t="s">
        <v>2200</v>
      </c>
      <c r="T971" s="17"/>
      <c r="U971" s="66"/>
    </row>
    <row r="972" spans="2:21" s="15" customFormat="1" ht="29" x14ac:dyDescent="0.35">
      <c r="B972" s="64">
        <v>45535</v>
      </c>
      <c r="C972" s="17">
        <v>867</v>
      </c>
      <c r="D972" s="36" t="s">
        <v>2212</v>
      </c>
      <c r="E972" s="85" t="s">
        <v>2200</v>
      </c>
      <c r="F972" s="85" t="s">
        <v>1468</v>
      </c>
      <c r="G972" s="17" t="s">
        <v>5</v>
      </c>
      <c r="H972" s="17" t="s">
        <v>1930</v>
      </c>
      <c r="I972" s="145"/>
      <c r="J972" s="14" t="s">
        <v>719</v>
      </c>
      <c r="K972" s="14" t="s">
        <v>2213</v>
      </c>
      <c r="L972" s="14" t="s">
        <v>39</v>
      </c>
      <c r="M972" s="38">
        <v>8118249666</v>
      </c>
      <c r="N972" s="38">
        <v>863844052849210</v>
      </c>
      <c r="O972" s="38"/>
      <c r="P972" s="14" t="s">
        <v>718</v>
      </c>
      <c r="Q972" s="39" t="s">
        <v>2559</v>
      </c>
      <c r="R972" s="18">
        <v>0</v>
      </c>
      <c r="S972" s="19" t="s">
        <v>2200</v>
      </c>
      <c r="T972" s="17"/>
      <c r="U972" s="66"/>
    </row>
    <row r="973" spans="2:21" s="15" customFormat="1" ht="29" x14ac:dyDescent="0.35">
      <c r="B973" s="64">
        <v>45535</v>
      </c>
      <c r="C973" s="17">
        <v>868</v>
      </c>
      <c r="D973" s="71" t="s">
        <v>1953</v>
      </c>
      <c r="E973" s="85" t="s">
        <v>1929</v>
      </c>
      <c r="F973" s="85" t="s">
        <v>1468</v>
      </c>
      <c r="G973" s="17" t="s">
        <v>5</v>
      </c>
      <c r="H973" s="17" t="s">
        <v>1930</v>
      </c>
      <c r="I973" s="145"/>
      <c r="J973" s="17" t="s">
        <v>1954</v>
      </c>
      <c r="K973" s="14" t="s">
        <v>1957</v>
      </c>
      <c r="L973" s="17" t="s">
        <v>39</v>
      </c>
      <c r="M973" s="38">
        <v>8118249663</v>
      </c>
      <c r="N973" s="38">
        <v>865011031939458</v>
      </c>
      <c r="O973" s="38"/>
      <c r="P973" s="14" t="s">
        <v>716</v>
      </c>
      <c r="Q973" s="72" t="s">
        <v>2205</v>
      </c>
      <c r="R973" s="18"/>
      <c r="S973" s="41" t="s">
        <v>1931</v>
      </c>
      <c r="T973" s="17"/>
      <c r="U973" s="66"/>
    </row>
    <row r="974" spans="2:21" s="15" customFormat="1" ht="29" x14ac:dyDescent="0.35">
      <c r="B974" s="64">
        <v>45535</v>
      </c>
      <c r="C974" s="17">
        <v>869</v>
      </c>
      <c r="D974" s="71" t="s">
        <v>2214</v>
      </c>
      <c r="E974" s="85" t="s">
        <v>2090</v>
      </c>
      <c r="F974" s="85" t="s">
        <v>1468</v>
      </c>
      <c r="G974" s="17" t="s">
        <v>5</v>
      </c>
      <c r="H974" s="17" t="s">
        <v>1930</v>
      </c>
      <c r="I974" s="145">
        <v>0.625</v>
      </c>
      <c r="J974" s="17" t="s">
        <v>4328</v>
      </c>
      <c r="K974" s="14" t="s">
        <v>2093</v>
      </c>
      <c r="L974" s="17" t="s">
        <v>39</v>
      </c>
      <c r="M974" s="14">
        <v>8120362372</v>
      </c>
      <c r="N974" s="38">
        <v>863844052849921</v>
      </c>
      <c r="O974" s="16" t="s">
        <v>4330</v>
      </c>
      <c r="P974" s="17" t="s">
        <v>4329</v>
      </c>
      <c r="Q974" s="72" t="s">
        <v>2737</v>
      </c>
      <c r="R974" s="18">
        <v>0</v>
      </c>
      <c r="S974" s="41" t="s">
        <v>2735</v>
      </c>
      <c r="T974" s="17" t="s">
        <v>2736</v>
      </c>
      <c r="U974" s="66"/>
    </row>
    <row r="975" spans="2:21" s="15" customFormat="1" ht="29" x14ac:dyDescent="0.35">
      <c r="B975" s="64">
        <v>45535</v>
      </c>
      <c r="C975" s="17">
        <v>870</v>
      </c>
      <c r="D975" s="71" t="s">
        <v>2215</v>
      </c>
      <c r="E975" s="85" t="s">
        <v>2048</v>
      </c>
      <c r="F975" s="85" t="s">
        <v>1468</v>
      </c>
      <c r="G975" s="17" t="s">
        <v>5</v>
      </c>
      <c r="H975" s="17" t="s">
        <v>1930</v>
      </c>
      <c r="I975" s="145" t="s">
        <v>4320</v>
      </c>
      <c r="J975" s="17" t="s">
        <v>4319</v>
      </c>
      <c r="K975" s="14" t="s">
        <v>2049</v>
      </c>
      <c r="L975" s="17" t="s">
        <v>2</v>
      </c>
      <c r="M975" s="16">
        <v>8115319749</v>
      </c>
      <c r="N975" s="16">
        <v>359857084517101</v>
      </c>
      <c r="O975" s="16" t="s">
        <v>4322</v>
      </c>
      <c r="P975" s="14" t="s">
        <v>4321</v>
      </c>
      <c r="Q975" s="74" t="s">
        <v>2745</v>
      </c>
      <c r="R975" s="18">
        <v>0</v>
      </c>
      <c r="S975" s="19" t="s">
        <v>2744</v>
      </c>
      <c r="T975" s="19" t="s">
        <v>2050</v>
      </c>
      <c r="U975" s="66"/>
    </row>
    <row r="976" spans="2:21" s="15" customFormat="1" ht="29" x14ac:dyDescent="0.35">
      <c r="B976" s="64">
        <v>45535</v>
      </c>
      <c r="C976" s="17">
        <v>871</v>
      </c>
      <c r="D976" s="71" t="s">
        <v>2146</v>
      </c>
      <c r="E976" s="85" t="s">
        <v>2145</v>
      </c>
      <c r="F976" s="85" t="s">
        <v>1468</v>
      </c>
      <c r="G976" s="17" t="s">
        <v>5</v>
      </c>
      <c r="H976" s="17" t="s">
        <v>1930</v>
      </c>
      <c r="I976" s="145">
        <v>0.45833333333333331</v>
      </c>
      <c r="J976" s="17" t="s">
        <v>4335</v>
      </c>
      <c r="K976" s="17" t="s">
        <v>974</v>
      </c>
      <c r="L976" s="17" t="s">
        <v>965</v>
      </c>
      <c r="M976" s="16">
        <v>8118220273</v>
      </c>
      <c r="N976" s="16">
        <v>359857084516731</v>
      </c>
      <c r="O976" s="16" t="s">
        <v>4337</v>
      </c>
      <c r="P976" s="17" t="s">
        <v>4336</v>
      </c>
      <c r="Q976" s="72" t="s">
        <v>2752</v>
      </c>
      <c r="R976" s="18">
        <v>0</v>
      </c>
      <c r="S976" s="19" t="s">
        <v>2145</v>
      </c>
      <c r="T976" s="17"/>
      <c r="U976" s="66"/>
    </row>
    <row r="977" spans="2:21" s="15" customFormat="1" ht="29" x14ac:dyDescent="0.35">
      <c r="B977" s="64">
        <v>45535</v>
      </c>
      <c r="C977" s="17">
        <v>872</v>
      </c>
      <c r="D977" s="36" t="s">
        <v>2216</v>
      </c>
      <c r="E977" s="85" t="s">
        <v>2200</v>
      </c>
      <c r="F977" s="85" t="s">
        <v>1468</v>
      </c>
      <c r="G977" s="17" t="s">
        <v>5</v>
      </c>
      <c r="H977" s="17" t="s">
        <v>1930</v>
      </c>
      <c r="I977" s="145"/>
      <c r="J977" s="14" t="s">
        <v>702</v>
      </c>
      <c r="K977" s="14" t="s">
        <v>1116</v>
      </c>
      <c r="L977" s="14" t="s">
        <v>2</v>
      </c>
      <c r="M977" s="38">
        <v>8126310881</v>
      </c>
      <c r="N977" s="38">
        <v>359857084508282</v>
      </c>
      <c r="O977" s="38"/>
      <c r="P977" s="14" t="s">
        <v>701</v>
      </c>
      <c r="Q977" s="39" t="s">
        <v>2559</v>
      </c>
      <c r="R977" s="18">
        <v>0</v>
      </c>
      <c r="S977" s="19" t="s">
        <v>2200</v>
      </c>
      <c r="T977" s="17"/>
      <c r="U977" s="66"/>
    </row>
    <row r="978" spans="2:21" s="15" customFormat="1" ht="29" x14ac:dyDescent="0.35">
      <c r="B978" s="64">
        <v>45535</v>
      </c>
      <c r="C978" s="17">
        <v>873</v>
      </c>
      <c r="D978" s="36" t="s">
        <v>2217</v>
      </c>
      <c r="E978" s="85" t="s">
        <v>2200</v>
      </c>
      <c r="F978" s="85" t="s">
        <v>1468</v>
      </c>
      <c r="G978" s="17" t="s">
        <v>5</v>
      </c>
      <c r="H978" s="17" t="s">
        <v>1930</v>
      </c>
      <c r="I978" s="145"/>
      <c r="J978" s="14" t="s">
        <v>700</v>
      </c>
      <c r="K978" s="14" t="s">
        <v>2218</v>
      </c>
      <c r="L978" s="14" t="s">
        <v>50</v>
      </c>
      <c r="M978" s="38" t="s">
        <v>699</v>
      </c>
      <c r="N978" s="38">
        <v>860856040476974</v>
      </c>
      <c r="O978" s="38"/>
      <c r="P978" s="14" t="s">
        <v>621</v>
      </c>
      <c r="Q978" s="39" t="s">
        <v>2559</v>
      </c>
      <c r="R978" s="18">
        <v>0</v>
      </c>
      <c r="S978" s="19" t="s">
        <v>2200</v>
      </c>
      <c r="T978" s="17"/>
      <c r="U978" s="66"/>
    </row>
    <row r="979" spans="2:21" s="15" customFormat="1" ht="29" x14ac:dyDescent="0.35">
      <c r="B979" s="64">
        <v>45535</v>
      </c>
      <c r="C979" s="17">
        <v>874</v>
      </c>
      <c r="D979" s="36" t="s">
        <v>2219</v>
      </c>
      <c r="E979" s="85" t="s">
        <v>2200</v>
      </c>
      <c r="F979" s="85" t="s">
        <v>1468</v>
      </c>
      <c r="G979" s="17" t="s">
        <v>5</v>
      </c>
      <c r="H979" s="17" t="s">
        <v>1930</v>
      </c>
      <c r="I979" s="145"/>
      <c r="J979" s="14" t="s">
        <v>698</v>
      </c>
      <c r="K979" s="14" t="s">
        <v>1117</v>
      </c>
      <c r="L979" s="14" t="s">
        <v>2</v>
      </c>
      <c r="M979" s="38">
        <v>8261715040</v>
      </c>
      <c r="N979" s="38">
        <v>359857084517028</v>
      </c>
      <c r="O979" s="38"/>
      <c r="P979" s="14" t="s">
        <v>697</v>
      </c>
      <c r="Q979" s="39" t="s">
        <v>2559</v>
      </c>
      <c r="R979" s="18">
        <v>0</v>
      </c>
      <c r="S979" s="41" t="s">
        <v>2200</v>
      </c>
      <c r="T979" s="17"/>
      <c r="U979" s="66"/>
    </row>
    <row r="980" spans="2:21" s="15" customFormat="1" ht="29" x14ac:dyDescent="0.35">
      <c r="B980" s="64">
        <v>45535</v>
      </c>
      <c r="C980" s="17">
        <v>875</v>
      </c>
      <c r="D980" s="36" t="s">
        <v>2220</v>
      </c>
      <c r="E980" s="85" t="s">
        <v>2200</v>
      </c>
      <c r="F980" s="85" t="s">
        <v>1468</v>
      </c>
      <c r="G980" s="17" t="s">
        <v>5</v>
      </c>
      <c r="H980" s="17" t="s">
        <v>1930</v>
      </c>
      <c r="I980" s="145"/>
      <c r="J980" s="14" t="s">
        <v>696</v>
      </c>
      <c r="K980" s="14" t="s">
        <v>1118</v>
      </c>
      <c r="L980" s="14" t="s">
        <v>39</v>
      </c>
      <c r="M980" s="38">
        <v>8116841485</v>
      </c>
      <c r="N980" s="38">
        <v>864893039428316</v>
      </c>
      <c r="O980" s="38"/>
      <c r="P980" s="14" t="s">
        <v>695</v>
      </c>
      <c r="Q980" s="39" t="s">
        <v>2559</v>
      </c>
      <c r="R980" s="18">
        <v>0</v>
      </c>
      <c r="S980" s="41" t="s">
        <v>2200</v>
      </c>
      <c r="T980" s="17"/>
      <c r="U980" s="66"/>
    </row>
    <row r="981" spans="2:21" s="15" customFormat="1" ht="29" x14ac:dyDescent="0.35">
      <c r="B981" s="64">
        <v>45535</v>
      </c>
      <c r="C981" s="17">
        <v>876</v>
      </c>
      <c r="D981" s="36" t="s">
        <v>2221</v>
      </c>
      <c r="E981" s="85" t="s">
        <v>2200</v>
      </c>
      <c r="F981" s="85" t="s">
        <v>1468</v>
      </c>
      <c r="G981" s="17" t="s">
        <v>5</v>
      </c>
      <c r="H981" s="17" t="s">
        <v>1930</v>
      </c>
      <c r="I981" s="145"/>
      <c r="J981" s="14" t="s">
        <v>693</v>
      </c>
      <c r="K981" s="14" t="s">
        <v>1119</v>
      </c>
      <c r="L981" s="14" t="s">
        <v>39</v>
      </c>
      <c r="M981" s="38">
        <v>8118229130</v>
      </c>
      <c r="N981" s="38">
        <v>359857084508688</v>
      </c>
      <c r="O981" s="38"/>
      <c r="P981" s="14" t="s">
        <v>692</v>
      </c>
      <c r="Q981" s="39" t="s">
        <v>2559</v>
      </c>
      <c r="R981" s="18">
        <v>0</v>
      </c>
      <c r="S981" s="41" t="s">
        <v>2200</v>
      </c>
      <c r="T981" s="17"/>
      <c r="U981" s="66"/>
    </row>
    <row r="982" spans="2:21" s="15" customFormat="1" ht="29" x14ac:dyDescent="0.35">
      <c r="B982" s="64">
        <v>45535</v>
      </c>
      <c r="C982" s="17">
        <v>877</v>
      </c>
      <c r="D982" s="36" t="s">
        <v>2222</v>
      </c>
      <c r="E982" s="85" t="s">
        <v>2200</v>
      </c>
      <c r="F982" s="85" t="s">
        <v>1468</v>
      </c>
      <c r="G982" s="17" t="s">
        <v>5</v>
      </c>
      <c r="H982" s="17" t="s">
        <v>1930</v>
      </c>
      <c r="I982" s="145"/>
      <c r="J982" s="14" t="s">
        <v>690</v>
      </c>
      <c r="K982" s="14" t="s">
        <v>1121</v>
      </c>
      <c r="L982" s="14" t="s">
        <v>39</v>
      </c>
      <c r="M982" s="38">
        <v>8120013099</v>
      </c>
      <c r="N982" s="38">
        <v>865011033065385</v>
      </c>
      <c r="O982" s="38"/>
      <c r="P982" s="14" t="s">
        <v>689</v>
      </c>
      <c r="Q982" s="39" t="s">
        <v>2559</v>
      </c>
      <c r="R982" s="18">
        <v>0</v>
      </c>
      <c r="S982" s="19" t="s">
        <v>2200</v>
      </c>
      <c r="T982" s="17"/>
      <c r="U982" s="66"/>
    </row>
    <row r="983" spans="2:21" s="15" customFormat="1" ht="29" x14ac:dyDescent="0.35">
      <c r="B983" s="64">
        <v>45535</v>
      </c>
      <c r="C983" s="17">
        <v>878</v>
      </c>
      <c r="D983" s="36" t="s">
        <v>2223</v>
      </c>
      <c r="E983" s="85" t="s">
        <v>2200</v>
      </c>
      <c r="F983" s="85" t="s">
        <v>1468</v>
      </c>
      <c r="G983" s="17" t="s">
        <v>5</v>
      </c>
      <c r="H983" s="17" t="s">
        <v>1930</v>
      </c>
      <c r="I983" s="145"/>
      <c r="J983" s="14" t="s">
        <v>688</v>
      </c>
      <c r="K983" s="14" t="s">
        <v>1122</v>
      </c>
      <c r="L983" s="14" t="s">
        <v>39</v>
      </c>
      <c r="M983" s="38" t="s">
        <v>687</v>
      </c>
      <c r="N983" s="38">
        <v>863844052851083</v>
      </c>
      <c r="O983" s="38"/>
      <c r="P983" s="14" t="s">
        <v>686</v>
      </c>
      <c r="Q983" s="39" t="s">
        <v>2559</v>
      </c>
      <c r="R983" s="18">
        <v>0</v>
      </c>
      <c r="S983" s="19" t="s">
        <v>2200</v>
      </c>
      <c r="T983" s="17"/>
      <c r="U983" s="66"/>
    </row>
    <row r="984" spans="2:21" s="15" customFormat="1" ht="29" x14ac:dyDescent="0.35">
      <c r="B984" s="64">
        <v>45535</v>
      </c>
      <c r="C984" s="17">
        <v>879</v>
      </c>
      <c r="D984" s="36" t="s">
        <v>2224</v>
      </c>
      <c r="E984" s="85" t="s">
        <v>2200</v>
      </c>
      <c r="F984" s="85" t="s">
        <v>1468</v>
      </c>
      <c r="G984" s="17" t="s">
        <v>5</v>
      </c>
      <c r="H984" s="17" t="s">
        <v>1930</v>
      </c>
      <c r="I984" s="145"/>
      <c r="J984" s="14" t="s">
        <v>684</v>
      </c>
      <c r="K984" s="14" t="s">
        <v>1124</v>
      </c>
      <c r="L984" s="17" t="s">
        <v>39</v>
      </c>
      <c r="M984" s="38">
        <v>8261715045</v>
      </c>
      <c r="N984" s="38">
        <v>359857084510494</v>
      </c>
      <c r="O984" s="38"/>
      <c r="P984" s="14" t="s">
        <v>683</v>
      </c>
      <c r="Q984" s="39" t="s">
        <v>2559</v>
      </c>
      <c r="R984" s="18">
        <v>0</v>
      </c>
      <c r="S984" s="19" t="s">
        <v>2200</v>
      </c>
      <c r="T984" s="17"/>
      <c r="U984" s="66"/>
    </row>
    <row r="985" spans="2:21" s="15" customFormat="1" ht="29" x14ac:dyDescent="0.35">
      <c r="B985" s="64">
        <v>45535</v>
      </c>
      <c r="C985" s="17">
        <v>880</v>
      </c>
      <c r="D985" s="71" t="s">
        <v>1961</v>
      </c>
      <c r="E985" s="85" t="s">
        <v>1929</v>
      </c>
      <c r="F985" s="85" t="s">
        <v>1468</v>
      </c>
      <c r="G985" s="17" t="s">
        <v>5</v>
      </c>
      <c r="H985" s="17" t="s">
        <v>1930</v>
      </c>
      <c r="I985" s="145"/>
      <c r="J985" s="17" t="s">
        <v>670</v>
      </c>
      <c r="K985" s="17" t="s">
        <v>1131</v>
      </c>
      <c r="L985" s="17" t="s">
        <v>39</v>
      </c>
      <c r="M985" s="38">
        <v>8115777975</v>
      </c>
      <c r="N985" s="38">
        <v>359857084642479</v>
      </c>
      <c r="O985" s="38"/>
      <c r="P985" s="14" t="s">
        <v>668</v>
      </c>
      <c r="Q985" s="72" t="s">
        <v>2205</v>
      </c>
      <c r="R985" s="40">
        <v>0</v>
      </c>
      <c r="S985" s="41" t="s">
        <v>1931</v>
      </c>
      <c r="T985" s="17"/>
      <c r="U985" s="66"/>
    </row>
    <row r="986" spans="2:21" s="15" customFormat="1" ht="29" x14ac:dyDescent="0.35">
      <c r="B986" s="64">
        <v>45535</v>
      </c>
      <c r="C986" s="17">
        <v>881</v>
      </c>
      <c r="D986" s="71" t="s">
        <v>1955</v>
      </c>
      <c r="E986" s="85" t="s">
        <v>1929</v>
      </c>
      <c r="F986" s="85" t="s">
        <v>1468</v>
      </c>
      <c r="G986" s="17" t="s">
        <v>5</v>
      </c>
      <c r="H986" s="17" t="s">
        <v>1930</v>
      </c>
      <c r="I986" s="145"/>
      <c r="J986" s="17" t="s">
        <v>1956</v>
      </c>
      <c r="K986" s="17" t="s">
        <v>1958</v>
      </c>
      <c r="L986" s="17" t="s">
        <v>39</v>
      </c>
      <c r="M986" s="38">
        <v>8134058874</v>
      </c>
      <c r="N986" s="38">
        <v>359857084616978</v>
      </c>
      <c r="O986" s="38"/>
      <c r="P986" s="14" t="s">
        <v>664</v>
      </c>
      <c r="Q986" s="72" t="s">
        <v>2205</v>
      </c>
      <c r="R986" s="40">
        <v>0</v>
      </c>
      <c r="S986" s="41" t="s">
        <v>1931</v>
      </c>
      <c r="T986" s="17"/>
      <c r="U986" s="66"/>
    </row>
    <row r="987" spans="2:21" s="15" customFormat="1" ht="29" x14ac:dyDescent="0.35">
      <c r="B987" s="64">
        <v>45535</v>
      </c>
      <c r="C987" s="17">
        <v>882</v>
      </c>
      <c r="D987" s="36" t="s">
        <v>2225</v>
      </c>
      <c r="E987" s="85" t="s">
        <v>2200</v>
      </c>
      <c r="F987" s="85" t="s">
        <v>1468</v>
      </c>
      <c r="G987" s="17" t="s">
        <v>5</v>
      </c>
      <c r="H987" s="17" t="s">
        <v>1930</v>
      </c>
      <c r="I987" s="145"/>
      <c r="J987" s="14" t="s">
        <v>660</v>
      </c>
      <c r="K987" s="14" t="s">
        <v>1136</v>
      </c>
      <c r="L987" s="17" t="s">
        <v>39</v>
      </c>
      <c r="M987" s="38">
        <v>8134058902</v>
      </c>
      <c r="N987" s="38">
        <v>359857084617232</v>
      </c>
      <c r="O987" s="38"/>
      <c r="P987" s="14" t="s">
        <v>659</v>
      </c>
      <c r="Q987" s="39" t="s">
        <v>2559</v>
      </c>
      <c r="R987" s="18">
        <v>0</v>
      </c>
      <c r="S987" s="19" t="s">
        <v>2200</v>
      </c>
      <c r="T987" s="17"/>
      <c r="U987" s="66"/>
    </row>
    <row r="988" spans="2:21" s="15" customFormat="1" ht="29" x14ac:dyDescent="0.35">
      <c r="B988" s="64">
        <v>45535</v>
      </c>
      <c r="C988" s="17">
        <v>883</v>
      </c>
      <c r="D988" s="71" t="s">
        <v>1962</v>
      </c>
      <c r="E988" s="98" t="s">
        <v>1505</v>
      </c>
      <c r="F988" s="85" t="s">
        <v>1468</v>
      </c>
      <c r="G988" s="17" t="s">
        <v>5</v>
      </c>
      <c r="H988" s="17" t="s">
        <v>1930</v>
      </c>
      <c r="I988" s="145"/>
      <c r="J988" s="17" t="s">
        <v>1499</v>
      </c>
      <c r="K988" s="17" t="s">
        <v>1461</v>
      </c>
      <c r="L988" s="17" t="s">
        <v>39</v>
      </c>
      <c r="M988" s="38">
        <v>8134058857</v>
      </c>
      <c r="N988" s="38">
        <v>359857084511641</v>
      </c>
      <c r="O988" s="38"/>
      <c r="P988" s="14" t="s">
        <v>654</v>
      </c>
      <c r="Q988" s="72" t="s">
        <v>1970</v>
      </c>
      <c r="R988" s="40">
        <v>0</v>
      </c>
      <c r="S988" s="41" t="s">
        <v>1504</v>
      </c>
      <c r="T988" s="17"/>
      <c r="U988" s="66"/>
    </row>
    <row r="989" spans="2:21" s="15" customFormat="1" ht="29" x14ac:dyDescent="0.35">
      <c r="B989" s="64">
        <v>45535</v>
      </c>
      <c r="C989" s="17">
        <v>884</v>
      </c>
      <c r="D989" s="71" t="s">
        <v>1963</v>
      </c>
      <c r="E989" s="85" t="s">
        <v>1929</v>
      </c>
      <c r="F989" s="85" t="s">
        <v>1468</v>
      </c>
      <c r="G989" s="17" t="s">
        <v>5</v>
      </c>
      <c r="H989" s="17" t="s">
        <v>1930</v>
      </c>
      <c r="I989" s="145"/>
      <c r="J989" s="17" t="s">
        <v>652</v>
      </c>
      <c r="K989" s="17" t="s">
        <v>1141</v>
      </c>
      <c r="L989" s="17" t="s">
        <v>39</v>
      </c>
      <c r="M989" s="38">
        <v>8123545675</v>
      </c>
      <c r="N989" s="38">
        <v>865011033065252</v>
      </c>
      <c r="O989" s="38"/>
      <c r="P989" s="14" t="s">
        <v>651</v>
      </c>
      <c r="Q989" s="72" t="s">
        <v>2205</v>
      </c>
      <c r="R989" s="40">
        <v>0</v>
      </c>
      <c r="S989" s="41" t="s">
        <v>1931</v>
      </c>
      <c r="T989" s="17"/>
      <c r="U989" s="66"/>
    </row>
    <row r="990" spans="2:21" s="15" customFormat="1" ht="29" x14ac:dyDescent="0.35">
      <c r="B990" s="64">
        <v>45535</v>
      </c>
      <c r="C990" s="17">
        <v>885</v>
      </c>
      <c r="D990" s="71" t="s">
        <v>1964</v>
      </c>
      <c r="E990" s="85" t="s">
        <v>1929</v>
      </c>
      <c r="F990" s="85" t="s">
        <v>1468</v>
      </c>
      <c r="G990" s="17" t="s">
        <v>5</v>
      </c>
      <c r="H990" s="17" t="s">
        <v>1930</v>
      </c>
      <c r="I990" s="145"/>
      <c r="J990" s="17" t="s">
        <v>637</v>
      </c>
      <c r="K990" s="17" t="s">
        <v>1154</v>
      </c>
      <c r="L990" s="17" t="s">
        <v>39</v>
      </c>
      <c r="M990" s="38">
        <v>8120013079</v>
      </c>
      <c r="N990" s="38">
        <v>863844050547113</v>
      </c>
      <c r="O990" s="38"/>
      <c r="P990" s="14" t="s">
        <v>636</v>
      </c>
      <c r="Q990" s="72" t="s">
        <v>2205</v>
      </c>
      <c r="R990" s="18">
        <v>0</v>
      </c>
      <c r="S990" s="41" t="s">
        <v>1931</v>
      </c>
      <c r="T990" s="17"/>
      <c r="U990" s="66"/>
    </row>
    <row r="991" spans="2:21" s="15" customFormat="1" ht="29" x14ac:dyDescent="0.35">
      <c r="B991" s="64">
        <v>45535</v>
      </c>
      <c r="C991" s="17">
        <v>886</v>
      </c>
      <c r="D991" s="36" t="s">
        <v>2226</v>
      </c>
      <c r="E991" s="85" t="s">
        <v>2200</v>
      </c>
      <c r="F991" s="85" t="s">
        <v>1468</v>
      </c>
      <c r="G991" s="17" t="s">
        <v>5</v>
      </c>
      <c r="H991" s="17" t="s">
        <v>1930</v>
      </c>
      <c r="I991" s="145"/>
      <c r="J991" s="14" t="s">
        <v>590</v>
      </c>
      <c r="K991" s="14" t="s">
        <v>1161</v>
      </c>
      <c r="L991" s="14" t="s">
        <v>39</v>
      </c>
      <c r="M991" s="38">
        <v>8135514815</v>
      </c>
      <c r="N991" s="38">
        <v>865011033832099</v>
      </c>
      <c r="O991" s="38"/>
      <c r="P991" s="14" t="s">
        <v>589</v>
      </c>
      <c r="Q991" s="39" t="s">
        <v>1538</v>
      </c>
      <c r="R991" s="18">
        <v>0</v>
      </c>
      <c r="S991" s="41" t="s">
        <v>2200</v>
      </c>
      <c r="T991" s="17"/>
      <c r="U991" s="66"/>
    </row>
    <row r="992" spans="2:21" s="15" customFormat="1" ht="29" x14ac:dyDescent="0.35">
      <c r="B992" s="64">
        <v>45535</v>
      </c>
      <c r="C992" s="17">
        <v>887</v>
      </c>
      <c r="D992" s="71" t="s">
        <v>1965</v>
      </c>
      <c r="E992" s="85" t="s">
        <v>1929</v>
      </c>
      <c r="F992" s="85" t="s">
        <v>1468</v>
      </c>
      <c r="G992" s="17" t="s">
        <v>5</v>
      </c>
      <c r="H992" s="17" t="s">
        <v>1930</v>
      </c>
      <c r="I992" s="145"/>
      <c r="J992" s="17" t="s">
        <v>337</v>
      </c>
      <c r="K992" s="17" t="s">
        <v>1165</v>
      </c>
      <c r="L992" s="17" t="s">
        <v>39</v>
      </c>
      <c r="M992" s="38">
        <v>8135516739</v>
      </c>
      <c r="N992" s="38">
        <v>865011033828881</v>
      </c>
      <c r="O992" s="38"/>
      <c r="P992" s="14" t="s">
        <v>582</v>
      </c>
      <c r="Q992" s="72" t="s">
        <v>2205</v>
      </c>
      <c r="R992" s="18">
        <v>0</v>
      </c>
      <c r="S992" s="41" t="s">
        <v>1931</v>
      </c>
      <c r="T992" s="17"/>
      <c r="U992" s="66"/>
    </row>
    <row r="993" spans="2:21" s="15" customFormat="1" ht="29" x14ac:dyDescent="0.35">
      <c r="B993" s="64">
        <v>45535</v>
      </c>
      <c r="C993" s="17">
        <v>888</v>
      </c>
      <c r="D993" s="101" t="s">
        <v>2227</v>
      </c>
      <c r="E993" s="85" t="s">
        <v>2200</v>
      </c>
      <c r="F993" s="85" t="s">
        <v>1468</v>
      </c>
      <c r="G993" s="17" t="s">
        <v>5</v>
      </c>
      <c r="H993" s="17" t="s">
        <v>1930</v>
      </c>
      <c r="I993" s="145" t="s">
        <v>39</v>
      </c>
      <c r="J993" s="17" t="s">
        <v>3758</v>
      </c>
      <c r="K993" s="14" t="s">
        <v>1172</v>
      </c>
      <c r="L993" s="14" t="s">
        <v>39</v>
      </c>
      <c r="M993" s="38">
        <v>8261715038</v>
      </c>
      <c r="N993" s="38">
        <v>359857084508431</v>
      </c>
      <c r="O993" s="16" t="s">
        <v>3757</v>
      </c>
      <c r="P993" s="17" t="s">
        <v>3756</v>
      </c>
      <c r="Q993" s="72" t="s">
        <v>2823</v>
      </c>
      <c r="R993" s="18">
        <v>0</v>
      </c>
      <c r="S993" s="19" t="s">
        <v>3584</v>
      </c>
      <c r="T993" s="17"/>
      <c r="U993" s="66"/>
    </row>
    <row r="994" spans="2:21" s="15" customFormat="1" ht="29" x14ac:dyDescent="0.35">
      <c r="B994" s="64">
        <v>45535</v>
      </c>
      <c r="C994" s="17">
        <v>889</v>
      </c>
      <c r="D994" s="71" t="s">
        <v>1966</v>
      </c>
      <c r="E994" s="85" t="s">
        <v>1929</v>
      </c>
      <c r="F994" s="85" t="s">
        <v>1468</v>
      </c>
      <c r="G994" s="17" t="s">
        <v>5</v>
      </c>
      <c r="H994" s="17" t="s">
        <v>1930</v>
      </c>
      <c r="I994" s="145"/>
      <c r="J994" s="17" t="s">
        <v>565</v>
      </c>
      <c r="K994" s="17" t="s">
        <v>1182</v>
      </c>
      <c r="L994" s="17" t="s">
        <v>39</v>
      </c>
      <c r="M994" s="38">
        <v>8118220664</v>
      </c>
      <c r="N994" s="37">
        <v>865011033828766</v>
      </c>
      <c r="O994" s="37"/>
      <c r="P994" s="14" t="s">
        <v>564</v>
      </c>
      <c r="Q994" s="72" t="s">
        <v>2205</v>
      </c>
      <c r="R994" s="40">
        <v>0</v>
      </c>
      <c r="S994" s="41" t="s">
        <v>1931</v>
      </c>
      <c r="T994" s="17"/>
      <c r="U994" s="66"/>
    </row>
    <row r="995" spans="2:21" s="15" customFormat="1" ht="29" x14ac:dyDescent="0.35">
      <c r="B995" s="64">
        <v>45535</v>
      </c>
      <c r="C995" s="17">
        <v>890</v>
      </c>
      <c r="D995" s="71" t="s">
        <v>1967</v>
      </c>
      <c r="E995" s="85" t="s">
        <v>1929</v>
      </c>
      <c r="F995" s="85" t="s">
        <v>1468</v>
      </c>
      <c r="G995" s="17" t="s">
        <v>5</v>
      </c>
      <c r="H995" s="17" t="s">
        <v>1930</v>
      </c>
      <c r="I995" s="145"/>
      <c r="J995" s="17" t="s">
        <v>1968</v>
      </c>
      <c r="K995" s="17" t="s">
        <v>1969</v>
      </c>
      <c r="L995" s="17" t="s">
        <v>39</v>
      </c>
      <c r="M995" s="38">
        <v>8184663187</v>
      </c>
      <c r="N995" s="38">
        <v>863844055230178</v>
      </c>
      <c r="O995" s="38"/>
      <c r="P995" s="14" t="s">
        <v>546</v>
      </c>
      <c r="Q995" s="72" t="s">
        <v>2205</v>
      </c>
      <c r="R995" s="18">
        <v>0</v>
      </c>
      <c r="S995" s="41" t="s">
        <v>1931</v>
      </c>
      <c r="T995" s="17"/>
      <c r="U995" s="66"/>
    </row>
    <row r="996" spans="2:21" s="15" customFormat="1" ht="29" x14ac:dyDescent="0.35">
      <c r="B996" s="64">
        <v>45535</v>
      </c>
      <c r="C996" s="17">
        <v>891</v>
      </c>
      <c r="D996" s="36" t="s">
        <v>2229</v>
      </c>
      <c r="E996" s="85" t="s">
        <v>2200</v>
      </c>
      <c r="F996" s="85" t="s">
        <v>1468</v>
      </c>
      <c r="G996" s="17" t="s">
        <v>5</v>
      </c>
      <c r="H996" s="17" t="s">
        <v>1930</v>
      </c>
      <c r="I996" s="145"/>
      <c r="J996" s="14" t="s">
        <v>539</v>
      </c>
      <c r="K996" s="14" t="s">
        <v>2230</v>
      </c>
      <c r="L996" s="17" t="s">
        <v>39</v>
      </c>
      <c r="M996" s="55">
        <v>8124307889</v>
      </c>
      <c r="N996" s="56">
        <v>865011030822002</v>
      </c>
      <c r="O996" s="56"/>
      <c r="P996" s="55" t="s">
        <v>538</v>
      </c>
      <c r="Q996" s="39" t="s">
        <v>2559</v>
      </c>
      <c r="R996" s="18">
        <v>0</v>
      </c>
      <c r="S996" s="19" t="s">
        <v>2200</v>
      </c>
      <c r="T996" s="17"/>
      <c r="U996" s="66"/>
    </row>
    <row r="997" spans="2:21" s="15" customFormat="1" ht="29" x14ac:dyDescent="0.35">
      <c r="B997" s="64">
        <v>45535</v>
      </c>
      <c r="C997" s="17">
        <v>892</v>
      </c>
      <c r="D997" s="36" t="s">
        <v>2231</v>
      </c>
      <c r="E997" s="85" t="s">
        <v>2200</v>
      </c>
      <c r="F997" s="85" t="s">
        <v>1468</v>
      </c>
      <c r="G997" s="17" t="s">
        <v>5</v>
      </c>
      <c r="H997" s="17" t="s">
        <v>1930</v>
      </c>
      <c r="I997" s="145"/>
      <c r="J997" s="17" t="s">
        <v>2232</v>
      </c>
      <c r="K997" s="14" t="s">
        <v>2233</v>
      </c>
      <c r="L997" s="17" t="s">
        <v>39</v>
      </c>
      <c r="M997" s="16">
        <v>8115034651</v>
      </c>
      <c r="N997" s="38">
        <v>865011034398900</v>
      </c>
      <c r="O997" s="38"/>
      <c r="P997" s="14" t="s">
        <v>507</v>
      </c>
      <c r="Q997" s="39" t="s">
        <v>2559</v>
      </c>
      <c r="R997" s="18">
        <v>0</v>
      </c>
      <c r="S997" s="19" t="s">
        <v>2200</v>
      </c>
      <c r="T997" s="17"/>
      <c r="U997" s="66"/>
    </row>
    <row r="998" spans="2:21" s="15" customFormat="1" ht="29" x14ac:dyDescent="0.35">
      <c r="B998" s="64">
        <v>45535</v>
      </c>
      <c r="C998" s="17">
        <v>893</v>
      </c>
      <c r="D998" s="71" t="s">
        <v>2234</v>
      </c>
      <c r="E998" s="85" t="s">
        <v>1929</v>
      </c>
      <c r="F998" s="85" t="s">
        <v>1468</v>
      </c>
      <c r="G998" s="17" t="s">
        <v>5</v>
      </c>
      <c r="H998" s="17" t="s">
        <v>1930</v>
      </c>
      <c r="I998" s="145"/>
      <c r="J998" s="17" t="s">
        <v>506</v>
      </c>
      <c r="K998" s="17" t="s">
        <v>1206</v>
      </c>
      <c r="L998" s="17" t="s">
        <v>39</v>
      </c>
      <c r="M998" s="38">
        <v>8114856573</v>
      </c>
      <c r="N998" s="38">
        <v>865011034400037</v>
      </c>
      <c r="O998" s="38"/>
      <c r="P998" s="14" t="s">
        <v>505</v>
      </c>
      <c r="Q998" s="72" t="s">
        <v>2205</v>
      </c>
      <c r="R998" s="40">
        <v>0</v>
      </c>
      <c r="S998" s="41" t="s">
        <v>1931</v>
      </c>
      <c r="T998" s="17"/>
      <c r="U998" s="66"/>
    </row>
    <row r="999" spans="2:21" s="15" customFormat="1" ht="29" x14ac:dyDescent="0.35">
      <c r="B999" s="64">
        <v>45535</v>
      </c>
      <c r="C999" s="17">
        <v>894</v>
      </c>
      <c r="D999" s="36" t="s">
        <v>2199</v>
      </c>
      <c r="E999" s="85" t="s">
        <v>2200</v>
      </c>
      <c r="F999" s="85" t="s">
        <v>1468</v>
      </c>
      <c r="G999" s="17" t="s">
        <v>5</v>
      </c>
      <c r="H999" s="17" t="s">
        <v>1930</v>
      </c>
      <c r="I999" s="145"/>
      <c r="J999" s="14" t="s">
        <v>502</v>
      </c>
      <c r="K999" s="14" t="s">
        <v>1207</v>
      </c>
      <c r="L999" s="14" t="s">
        <v>39</v>
      </c>
      <c r="M999" s="38">
        <v>8119174203</v>
      </c>
      <c r="N999" s="38">
        <v>865011033829848</v>
      </c>
      <c r="O999" s="38"/>
      <c r="P999" s="14" t="s">
        <v>501</v>
      </c>
      <c r="Q999" s="39" t="s">
        <v>2559</v>
      </c>
      <c r="R999" s="18">
        <v>0</v>
      </c>
      <c r="S999" s="41" t="s">
        <v>2200</v>
      </c>
      <c r="T999" s="17"/>
      <c r="U999" s="66"/>
    </row>
    <row r="1000" spans="2:21" s="15" customFormat="1" ht="29" x14ac:dyDescent="0.35">
      <c r="B1000" s="64">
        <v>45535</v>
      </c>
      <c r="C1000" s="17">
        <v>895</v>
      </c>
      <c r="D1000" s="71" t="s">
        <v>1982</v>
      </c>
      <c r="E1000" s="85" t="s">
        <v>1929</v>
      </c>
      <c r="F1000" s="85" t="s">
        <v>1468</v>
      </c>
      <c r="G1000" s="17" t="s">
        <v>5</v>
      </c>
      <c r="H1000" s="17" t="s">
        <v>1930</v>
      </c>
      <c r="I1000" s="145"/>
      <c r="J1000" s="17" t="s">
        <v>489</v>
      </c>
      <c r="K1000" s="17" t="s">
        <v>1212</v>
      </c>
      <c r="L1000" s="17" t="s">
        <v>39</v>
      </c>
      <c r="M1000" s="38">
        <v>8135514813</v>
      </c>
      <c r="N1000" s="38">
        <v>865011033830424</v>
      </c>
      <c r="O1000" s="38"/>
      <c r="P1000" s="14" t="s">
        <v>488</v>
      </c>
      <c r="Q1000" s="72" t="s">
        <v>2205</v>
      </c>
      <c r="R1000" s="40">
        <v>0</v>
      </c>
      <c r="S1000" s="41" t="s">
        <v>1931</v>
      </c>
      <c r="T1000" s="17"/>
      <c r="U1000" s="66"/>
    </row>
    <row r="1001" spans="2:21" s="15" customFormat="1" ht="29" x14ac:dyDescent="0.35">
      <c r="B1001" s="64">
        <v>45535</v>
      </c>
      <c r="C1001" s="17">
        <v>896</v>
      </c>
      <c r="D1001" s="71" t="s">
        <v>1983</v>
      </c>
      <c r="E1001" s="85" t="s">
        <v>1929</v>
      </c>
      <c r="F1001" s="85" t="s">
        <v>1468</v>
      </c>
      <c r="G1001" s="17" t="s">
        <v>5</v>
      </c>
      <c r="H1001" s="17" t="s">
        <v>1930</v>
      </c>
      <c r="I1001" s="145"/>
      <c r="J1001" s="17" t="s">
        <v>452</v>
      </c>
      <c r="K1001" s="17" t="s">
        <v>1984</v>
      </c>
      <c r="L1001" s="17" t="s">
        <v>39</v>
      </c>
      <c r="M1001" s="55">
        <v>8115381049</v>
      </c>
      <c r="N1001" s="56">
        <v>863844055040106</v>
      </c>
      <c r="O1001" s="56"/>
      <c r="P1001" s="55" t="s">
        <v>451</v>
      </c>
      <c r="Q1001" s="72" t="s">
        <v>2205</v>
      </c>
      <c r="R1001" s="40">
        <v>0</v>
      </c>
      <c r="S1001" s="41" t="s">
        <v>1931</v>
      </c>
      <c r="T1001" s="17"/>
      <c r="U1001" s="66"/>
    </row>
    <row r="1002" spans="2:21" s="15" customFormat="1" ht="29" x14ac:dyDescent="0.35">
      <c r="B1002" s="64">
        <v>45535</v>
      </c>
      <c r="C1002" s="17">
        <v>897</v>
      </c>
      <c r="D1002" s="36" t="s">
        <v>2235</v>
      </c>
      <c r="E1002" s="85" t="s">
        <v>2200</v>
      </c>
      <c r="F1002" s="85" t="s">
        <v>1468</v>
      </c>
      <c r="G1002" s="17" t="s">
        <v>5</v>
      </c>
      <c r="H1002" s="17" t="s">
        <v>1930</v>
      </c>
      <c r="I1002" s="145"/>
      <c r="J1002" s="14" t="s">
        <v>447</v>
      </c>
      <c r="K1002" s="14" t="s">
        <v>1220</v>
      </c>
      <c r="L1002" s="17" t="s">
        <v>39</v>
      </c>
      <c r="M1002" s="37">
        <v>8110499589</v>
      </c>
      <c r="N1002" s="38">
        <v>865011034400177</v>
      </c>
      <c r="O1002" s="38"/>
      <c r="P1002" s="14" t="s">
        <v>446</v>
      </c>
      <c r="Q1002" s="39" t="s">
        <v>1538</v>
      </c>
      <c r="R1002" s="18">
        <v>0</v>
      </c>
      <c r="S1002" s="19" t="s">
        <v>2200</v>
      </c>
      <c r="T1002" s="17"/>
      <c r="U1002" s="66"/>
    </row>
    <row r="1003" spans="2:21" s="15" customFormat="1" ht="29" x14ac:dyDescent="0.35">
      <c r="B1003" s="64">
        <v>45535</v>
      </c>
      <c r="C1003" s="17">
        <v>898</v>
      </c>
      <c r="D1003" s="36" t="s">
        <v>2236</v>
      </c>
      <c r="E1003" s="85" t="s">
        <v>2200</v>
      </c>
      <c r="F1003" s="85" t="s">
        <v>1468</v>
      </c>
      <c r="G1003" s="17" t="s">
        <v>5</v>
      </c>
      <c r="H1003" s="17" t="s">
        <v>1930</v>
      </c>
      <c r="I1003" s="145"/>
      <c r="J1003" s="14" t="s">
        <v>2237</v>
      </c>
      <c r="K1003" s="14" t="s">
        <v>2238</v>
      </c>
      <c r="L1003" s="17" t="s">
        <v>39</v>
      </c>
      <c r="M1003" s="37">
        <v>8114901191</v>
      </c>
      <c r="N1003" s="38">
        <v>865011034398496</v>
      </c>
      <c r="O1003" s="38"/>
      <c r="P1003" s="14" t="s">
        <v>444</v>
      </c>
      <c r="Q1003" s="39" t="s">
        <v>1538</v>
      </c>
      <c r="R1003" s="18">
        <v>0</v>
      </c>
      <c r="S1003" s="19" t="s">
        <v>2200</v>
      </c>
      <c r="T1003" s="17"/>
      <c r="U1003" s="66"/>
    </row>
    <row r="1004" spans="2:21" s="15" customFormat="1" ht="29" x14ac:dyDescent="0.35">
      <c r="B1004" s="64">
        <v>45535</v>
      </c>
      <c r="C1004" s="17">
        <v>899</v>
      </c>
      <c r="D1004" s="71" t="s">
        <v>1985</v>
      </c>
      <c r="E1004" s="85" t="s">
        <v>1929</v>
      </c>
      <c r="F1004" s="85" t="s">
        <v>1468</v>
      </c>
      <c r="G1004" s="17" t="s">
        <v>5</v>
      </c>
      <c r="H1004" s="17" t="s">
        <v>1930</v>
      </c>
      <c r="I1004" s="145"/>
      <c r="J1004" s="17" t="s">
        <v>1991</v>
      </c>
      <c r="K1004" s="17" t="s">
        <v>1225</v>
      </c>
      <c r="L1004" s="17" t="s">
        <v>39</v>
      </c>
      <c r="M1004" s="37">
        <v>8123191539</v>
      </c>
      <c r="N1004" s="38">
        <v>865011034398413</v>
      </c>
      <c r="O1004" s="38"/>
      <c r="P1004" s="14" t="s">
        <v>430</v>
      </c>
      <c r="Q1004" s="72" t="s">
        <v>2205</v>
      </c>
      <c r="R1004" s="40">
        <v>0</v>
      </c>
      <c r="S1004" s="41" t="s">
        <v>1931</v>
      </c>
      <c r="T1004" s="17"/>
      <c r="U1004" s="66"/>
    </row>
    <row r="1005" spans="2:21" s="15" customFormat="1" ht="29" x14ac:dyDescent="0.35">
      <c r="B1005" s="64">
        <v>45535</v>
      </c>
      <c r="C1005" s="17">
        <v>900</v>
      </c>
      <c r="D1005" s="36" t="s">
        <v>2239</v>
      </c>
      <c r="E1005" s="85" t="s">
        <v>2200</v>
      </c>
      <c r="F1005" s="85" t="s">
        <v>1468</v>
      </c>
      <c r="G1005" s="17" t="s">
        <v>5</v>
      </c>
      <c r="H1005" s="17" t="s">
        <v>1930</v>
      </c>
      <c r="I1005" s="145"/>
      <c r="J1005" s="14" t="s">
        <v>433</v>
      </c>
      <c r="K1005" s="14" t="s">
        <v>1226</v>
      </c>
      <c r="L1005" s="17" t="s">
        <v>39</v>
      </c>
      <c r="M1005" s="37">
        <v>8120107552</v>
      </c>
      <c r="N1005" s="38">
        <v>865011034396243</v>
      </c>
      <c r="O1005" s="38"/>
      <c r="P1005" s="14" t="s">
        <v>432</v>
      </c>
      <c r="Q1005" s="39" t="s">
        <v>1538</v>
      </c>
      <c r="R1005" s="18">
        <v>0</v>
      </c>
      <c r="S1005" s="41" t="s">
        <v>2200</v>
      </c>
      <c r="T1005" s="17"/>
      <c r="U1005" s="66"/>
    </row>
    <row r="1006" spans="2:21" s="15" customFormat="1" ht="29" x14ac:dyDescent="0.35">
      <c r="B1006" s="64">
        <v>45535</v>
      </c>
      <c r="C1006" s="17">
        <v>901</v>
      </c>
      <c r="D1006" s="36" t="s">
        <v>2240</v>
      </c>
      <c r="E1006" s="85" t="s">
        <v>2200</v>
      </c>
      <c r="F1006" s="85" t="s">
        <v>1468</v>
      </c>
      <c r="G1006" s="17" t="s">
        <v>5</v>
      </c>
      <c r="H1006" s="17" t="s">
        <v>1930</v>
      </c>
      <c r="I1006" s="145"/>
      <c r="J1006" s="14" t="s">
        <v>188</v>
      </c>
      <c r="K1006" s="14" t="s">
        <v>1332</v>
      </c>
      <c r="L1006" s="14" t="s">
        <v>103</v>
      </c>
      <c r="M1006" s="37">
        <v>8180103762</v>
      </c>
      <c r="N1006" s="38">
        <v>865011034396490</v>
      </c>
      <c r="O1006" s="38"/>
      <c r="P1006" s="14" t="s">
        <v>2241</v>
      </c>
      <c r="Q1006" s="39" t="s">
        <v>1538</v>
      </c>
      <c r="R1006" s="18">
        <v>0</v>
      </c>
      <c r="S1006" s="41" t="s">
        <v>2200</v>
      </c>
      <c r="T1006" s="17"/>
      <c r="U1006" s="66"/>
    </row>
    <row r="1007" spans="2:21" s="15" customFormat="1" ht="29" x14ac:dyDescent="0.35">
      <c r="B1007" s="64">
        <v>45535</v>
      </c>
      <c r="C1007" s="17">
        <v>902</v>
      </c>
      <c r="D1007" s="71" t="s">
        <v>1992</v>
      </c>
      <c r="E1007" s="85" t="s">
        <v>1929</v>
      </c>
      <c r="F1007" s="85" t="s">
        <v>1468</v>
      </c>
      <c r="G1007" s="17" t="s">
        <v>5</v>
      </c>
      <c r="H1007" s="17" t="s">
        <v>1930</v>
      </c>
      <c r="I1007" s="145"/>
      <c r="J1007" s="14" t="s">
        <v>2031</v>
      </c>
      <c r="K1007" s="17" t="s">
        <v>1993</v>
      </c>
      <c r="L1007" s="17" t="s">
        <v>39</v>
      </c>
      <c r="M1007" s="37">
        <v>8135518619</v>
      </c>
      <c r="N1007" s="38">
        <v>865011033829442</v>
      </c>
      <c r="O1007" s="38"/>
      <c r="P1007" s="14" t="s">
        <v>399</v>
      </c>
      <c r="Q1007" s="72" t="s">
        <v>2205</v>
      </c>
      <c r="R1007" s="40">
        <v>0</v>
      </c>
      <c r="S1007" s="41" t="s">
        <v>1931</v>
      </c>
      <c r="T1007" s="17"/>
      <c r="U1007" s="66"/>
    </row>
    <row r="1008" spans="2:21" s="15" customFormat="1" ht="29" x14ac:dyDescent="0.35">
      <c r="B1008" s="64">
        <v>45535</v>
      </c>
      <c r="C1008" s="17">
        <v>903</v>
      </c>
      <c r="D1008" s="36" t="s">
        <v>2242</v>
      </c>
      <c r="E1008" s="85" t="s">
        <v>2200</v>
      </c>
      <c r="F1008" s="85" t="s">
        <v>1468</v>
      </c>
      <c r="G1008" s="17" t="s">
        <v>5</v>
      </c>
      <c r="H1008" s="17" t="s">
        <v>1930</v>
      </c>
      <c r="I1008" s="145"/>
      <c r="J1008" s="14" t="s">
        <v>362</v>
      </c>
      <c r="K1008" s="14" t="s">
        <v>1264</v>
      </c>
      <c r="L1008" s="17" t="s">
        <v>39</v>
      </c>
      <c r="M1008" s="37">
        <v>8110480058</v>
      </c>
      <c r="N1008" s="38">
        <v>865011034749193</v>
      </c>
      <c r="O1008" s="38"/>
      <c r="P1008" s="14" t="s">
        <v>365</v>
      </c>
      <c r="Q1008" s="39" t="s">
        <v>1538</v>
      </c>
      <c r="R1008" s="18">
        <v>0</v>
      </c>
      <c r="S1008" s="19" t="s">
        <v>2200</v>
      </c>
      <c r="T1008" s="17"/>
      <c r="U1008" s="66"/>
    </row>
    <row r="1009" spans="2:21" s="15" customFormat="1" ht="29" x14ac:dyDescent="0.35">
      <c r="B1009" s="64">
        <v>45535</v>
      </c>
      <c r="C1009" s="17">
        <v>904</v>
      </c>
      <c r="D1009" s="36" t="s">
        <v>2243</v>
      </c>
      <c r="E1009" s="85" t="s">
        <v>2200</v>
      </c>
      <c r="F1009" s="85" t="s">
        <v>1468</v>
      </c>
      <c r="G1009" s="17" t="s">
        <v>5</v>
      </c>
      <c r="H1009" s="17" t="s">
        <v>1930</v>
      </c>
      <c r="I1009" s="145"/>
      <c r="J1009" s="14" t="s">
        <v>2972</v>
      </c>
      <c r="K1009" s="14" t="s">
        <v>1267</v>
      </c>
      <c r="L1009" s="17" t="s">
        <v>39</v>
      </c>
      <c r="M1009" s="37">
        <v>8182594878</v>
      </c>
      <c r="N1009" s="38">
        <v>868789022834369</v>
      </c>
      <c r="O1009" s="38"/>
      <c r="P1009" s="14" t="s">
        <v>354</v>
      </c>
      <c r="Q1009" s="39" t="s">
        <v>1538</v>
      </c>
      <c r="R1009" s="18">
        <v>0</v>
      </c>
      <c r="S1009" s="19" t="s">
        <v>2200</v>
      </c>
      <c r="T1009" s="17"/>
      <c r="U1009" s="66"/>
    </row>
    <row r="1010" spans="2:21" s="15" customFormat="1" ht="29" x14ac:dyDescent="0.35">
      <c r="B1010" s="64">
        <v>45535</v>
      </c>
      <c r="C1010" s="17">
        <v>905</v>
      </c>
      <c r="D1010" s="36" t="s">
        <v>2244</v>
      </c>
      <c r="E1010" s="85" t="s">
        <v>2200</v>
      </c>
      <c r="F1010" s="85" t="s">
        <v>1468</v>
      </c>
      <c r="G1010" s="17" t="s">
        <v>5</v>
      </c>
      <c r="H1010" s="17" t="s">
        <v>1930</v>
      </c>
      <c r="I1010" s="145"/>
      <c r="J1010" s="17" t="s">
        <v>2245</v>
      </c>
      <c r="K1010" s="14" t="s">
        <v>1269</v>
      </c>
      <c r="L1010" s="17" t="s">
        <v>39</v>
      </c>
      <c r="M1010" s="37">
        <v>8110800740</v>
      </c>
      <c r="N1010" s="38">
        <v>865011034752072</v>
      </c>
      <c r="O1010" s="38"/>
      <c r="P1010" s="14" t="s">
        <v>2246</v>
      </c>
      <c r="Q1010" s="39" t="s">
        <v>1538</v>
      </c>
      <c r="R1010" s="18">
        <v>0</v>
      </c>
      <c r="S1010" s="41" t="s">
        <v>2200</v>
      </c>
      <c r="T1010" s="17"/>
      <c r="U1010" s="66"/>
    </row>
    <row r="1011" spans="2:21" s="15" customFormat="1" ht="29" x14ac:dyDescent="0.35">
      <c r="B1011" s="64">
        <v>45535</v>
      </c>
      <c r="C1011" s="17">
        <v>906</v>
      </c>
      <c r="D1011" s="36" t="s">
        <v>2247</v>
      </c>
      <c r="E1011" s="85" t="s">
        <v>2200</v>
      </c>
      <c r="F1011" s="85" t="s">
        <v>1468</v>
      </c>
      <c r="G1011" s="17" t="s">
        <v>5</v>
      </c>
      <c r="H1011" s="17" t="s">
        <v>1930</v>
      </c>
      <c r="I1011" s="145"/>
      <c r="J1011" s="14" t="s">
        <v>319</v>
      </c>
      <c r="K1011" s="14" t="s">
        <v>1283</v>
      </c>
      <c r="L1011" s="17" t="s">
        <v>39</v>
      </c>
      <c r="M1011" s="37">
        <v>8115316213</v>
      </c>
      <c r="N1011" s="38">
        <v>86756050069205</v>
      </c>
      <c r="O1011" s="38"/>
      <c r="P1011" s="14" t="s">
        <v>318</v>
      </c>
      <c r="Q1011" s="39" t="s">
        <v>1538</v>
      </c>
      <c r="R1011" s="18">
        <v>0</v>
      </c>
      <c r="S1011" s="19" t="s">
        <v>2200</v>
      </c>
      <c r="T1011" s="17"/>
      <c r="U1011" s="66"/>
    </row>
    <row r="1012" spans="2:21" s="15" customFormat="1" ht="29" x14ac:dyDescent="0.35">
      <c r="B1012" s="64">
        <v>45535</v>
      </c>
      <c r="C1012" s="17">
        <v>907</v>
      </c>
      <c r="D1012" s="36" t="s">
        <v>2248</v>
      </c>
      <c r="E1012" s="85" t="s">
        <v>2200</v>
      </c>
      <c r="F1012" s="85" t="s">
        <v>1468</v>
      </c>
      <c r="G1012" s="17" t="s">
        <v>5</v>
      </c>
      <c r="H1012" s="17" t="s">
        <v>1930</v>
      </c>
      <c r="I1012" s="145"/>
      <c r="J1012" s="17" t="s">
        <v>2249</v>
      </c>
      <c r="K1012" s="14" t="s">
        <v>2250</v>
      </c>
      <c r="L1012" s="17" t="s">
        <v>39</v>
      </c>
      <c r="M1012" s="37">
        <v>8115165731</v>
      </c>
      <c r="N1012" s="38">
        <v>863756050062978</v>
      </c>
      <c r="O1012" s="38"/>
      <c r="P1012" s="14" t="s">
        <v>301</v>
      </c>
      <c r="Q1012" s="39" t="s">
        <v>1538</v>
      </c>
      <c r="R1012" s="18">
        <v>0</v>
      </c>
      <c r="S1012" s="19" t="s">
        <v>2200</v>
      </c>
      <c r="T1012" s="17"/>
      <c r="U1012" s="66"/>
    </row>
    <row r="1013" spans="2:21" s="15" customFormat="1" ht="29" x14ac:dyDescent="0.35">
      <c r="B1013" s="64">
        <v>45535</v>
      </c>
      <c r="C1013" s="17">
        <v>908</v>
      </c>
      <c r="D1013" s="71" t="s">
        <v>1994</v>
      </c>
      <c r="E1013" s="85" t="s">
        <v>1929</v>
      </c>
      <c r="F1013" s="85" t="s">
        <v>1468</v>
      </c>
      <c r="G1013" s="17" t="s">
        <v>5</v>
      </c>
      <c r="H1013" s="17" t="s">
        <v>1930</v>
      </c>
      <c r="I1013" s="145"/>
      <c r="J1013" s="17" t="s">
        <v>297</v>
      </c>
      <c r="K1013" s="17" t="s">
        <v>1292</v>
      </c>
      <c r="L1013" s="17" t="s">
        <v>39</v>
      </c>
      <c r="M1013" s="37">
        <v>8119170609</v>
      </c>
      <c r="N1013" s="38">
        <v>863756050116055</v>
      </c>
      <c r="O1013" s="38"/>
      <c r="P1013" s="14" t="s">
        <v>296</v>
      </c>
      <c r="Q1013" s="72" t="s">
        <v>2205</v>
      </c>
      <c r="R1013" s="40">
        <v>0</v>
      </c>
      <c r="S1013" s="41" t="s">
        <v>1931</v>
      </c>
      <c r="T1013" s="17"/>
      <c r="U1013" s="66"/>
    </row>
    <row r="1014" spans="2:21" s="15" customFormat="1" ht="29" x14ac:dyDescent="0.35">
      <c r="B1014" s="64">
        <v>45535</v>
      </c>
      <c r="C1014" s="17">
        <v>909</v>
      </c>
      <c r="D1014" s="71" t="s">
        <v>2251</v>
      </c>
      <c r="E1014" s="17" t="s">
        <v>1505</v>
      </c>
      <c r="F1014" s="85" t="s">
        <v>1468</v>
      </c>
      <c r="G1014" s="17" t="s">
        <v>5</v>
      </c>
      <c r="H1014" s="17" t="s">
        <v>1930</v>
      </c>
      <c r="I1014" s="145"/>
      <c r="J1014" s="17" t="s">
        <v>2252</v>
      </c>
      <c r="K1014" s="17" t="s">
        <v>1293</v>
      </c>
      <c r="L1014" s="17" t="s">
        <v>39</v>
      </c>
      <c r="M1014" s="37">
        <v>8119774593</v>
      </c>
      <c r="N1014" s="38">
        <v>863756050116675</v>
      </c>
      <c r="O1014" s="38"/>
      <c r="P1014" s="14" t="s">
        <v>293</v>
      </c>
      <c r="Q1014" s="72" t="s">
        <v>2253</v>
      </c>
      <c r="R1014" s="18"/>
      <c r="S1014" s="41" t="s">
        <v>1504</v>
      </c>
      <c r="T1014" s="17"/>
      <c r="U1014" s="66"/>
    </row>
    <row r="1015" spans="2:21" s="15" customFormat="1" ht="29" x14ac:dyDescent="0.35">
      <c r="B1015" s="64">
        <v>45535</v>
      </c>
      <c r="C1015" s="17">
        <v>910</v>
      </c>
      <c r="D1015" s="71" t="s">
        <v>2001</v>
      </c>
      <c r="E1015" s="85" t="s">
        <v>1929</v>
      </c>
      <c r="F1015" s="85" t="s">
        <v>1468</v>
      </c>
      <c r="G1015" s="17" t="s">
        <v>5</v>
      </c>
      <c r="H1015" s="17" t="s">
        <v>1930</v>
      </c>
      <c r="I1015" s="145"/>
      <c r="J1015" s="17" t="s">
        <v>2946</v>
      </c>
      <c r="K1015" s="17" t="s">
        <v>2002</v>
      </c>
      <c r="L1015" s="17" t="s">
        <v>39</v>
      </c>
      <c r="M1015" s="37">
        <v>8120013133</v>
      </c>
      <c r="N1015" s="38">
        <v>863756050055832</v>
      </c>
      <c r="O1015" s="38"/>
      <c r="P1015" s="14" t="s">
        <v>278</v>
      </c>
      <c r="Q1015" s="72" t="s">
        <v>2205</v>
      </c>
      <c r="R1015" s="40">
        <v>0</v>
      </c>
      <c r="S1015" s="41" t="s">
        <v>1931</v>
      </c>
      <c r="T1015" s="17"/>
      <c r="U1015" s="66"/>
    </row>
    <row r="1016" spans="2:21" s="15" customFormat="1" ht="29" x14ac:dyDescent="0.35">
      <c r="B1016" s="64">
        <v>45535</v>
      </c>
      <c r="C1016" s="17">
        <v>911</v>
      </c>
      <c r="D1016" s="36" t="s">
        <v>2254</v>
      </c>
      <c r="E1016" s="85" t="s">
        <v>2200</v>
      </c>
      <c r="F1016" s="85" t="s">
        <v>1468</v>
      </c>
      <c r="G1016" s="17" t="s">
        <v>5</v>
      </c>
      <c r="H1016" s="17" t="s">
        <v>1930</v>
      </c>
      <c r="I1016" s="145"/>
      <c r="J1016" s="17"/>
      <c r="K1016" s="14" t="s">
        <v>1297</v>
      </c>
      <c r="L1016" s="14" t="s">
        <v>39</v>
      </c>
      <c r="M1016" s="37">
        <v>8115770670</v>
      </c>
      <c r="N1016" s="38">
        <v>863756050111361</v>
      </c>
      <c r="O1016" s="38"/>
      <c r="P1016" s="14" t="s">
        <v>266</v>
      </c>
      <c r="Q1016" s="39" t="s">
        <v>1538</v>
      </c>
      <c r="R1016" s="18">
        <v>0</v>
      </c>
      <c r="S1016" s="19" t="s">
        <v>2200</v>
      </c>
      <c r="T1016" s="17"/>
      <c r="U1016" s="66"/>
    </row>
    <row r="1017" spans="2:21" s="15" customFormat="1" ht="29" x14ac:dyDescent="0.35">
      <c r="B1017" s="64">
        <v>45535</v>
      </c>
      <c r="C1017" s="17">
        <v>912</v>
      </c>
      <c r="D1017" s="36" t="s">
        <v>2255</v>
      </c>
      <c r="E1017" s="85" t="s">
        <v>2200</v>
      </c>
      <c r="F1017" s="85" t="s">
        <v>1468</v>
      </c>
      <c r="G1017" s="17" t="s">
        <v>5</v>
      </c>
      <c r="H1017" s="17" t="s">
        <v>1930</v>
      </c>
      <c r="I1017" s="145"/>
      <c r="J1017" s="14" t="s">
        <v>264</v>
      </c>
      <c r="K1017" s="14" t="s">
        <v>1298</v>
      </c>
      <c r="L1017" s="17" t="s">
        <v>39</v>
      </c>
      <c r="M1017" s="37">
        <v>8131242768</v>
      </c>
      <c r="N1017" s="38">
        <v>863756050122616</v>
      </c>
      <c r="O1017" s="38"/>
      <c r="P1017" s="14" t="s">
        <v>263</v>
      </c>
      <c r="Q1017" s="39" t="s">
        <v>1538</v>
      </c>
      <c r="R1017" s="18">
        <v>0</v>
      </c>
      <c r="S1017" s="19" t="s">
        <v>2200</v>
      </c>
      <c r="T1017" s="17"/>
      <c r="U1017" s="66"/>
    </row>
    <row r="1018" spans="2:21" s="15" customFormat="1" ht="29" x14ac:dyDescent="0.35">
      <c r="B1018" s="64">
        <v>45535</v>
      </c>
      <c r="C1018" s="17">
        <v>913</v>
      </c>
      <c r="D1018" s="71" t="s">
        <v>2003</v>
      </c>
      <c r="E1018" s="85" t="s">
        <v>1929</v>
      </c>
      <c r="F1018" s="85" t="s">
        <v>1468</v>
      </c>
      <c r="G1018" s="17" t="s">
        <v>5</v>
      </c>
      <c r="H1018" s="17" t="s">
        <v>1930</v>
      </c>
      <c r="I1018" s="145"/>
      <c r="J1018" s="17" t="s">
        <v>212</v>
      </c>
      <c r="K1018" s="17" t="s">
        <v>1309</v>
      </c>
      <c r="L1018" s="17" t="s">
        <v>39</v>
      </c>
      <c r="M1018" s="38">
        <v>8181122535</v>
      </c>
      <c r="N1018" s="38">
        <v>867553057586869</v>
      </c>
      <c r="O1018" s="38"/>
      <c r="P1018" s="14" t="s">
        <v>211</v>
      </c>
      <c r="Q1018" s="72" t="s">
        <v>2205</v>
      </c>
      <c r="R1018" s="40">
        <v>0</v>
      </c>
      <c r="S1018" s="41" t="s">
        <v>1931</v>
      </c>
      <c r="T1018" s="17"/>
      <c r="U1018" s="66"/>
    </row>
    <row r="1019" spans="2:21" s="15" customFormat="1" ht="29" x14ac:dyDescent="0.35">
      <c r="B1019" s="64">
        <v>45535</v>
      </c>
      <c r="C1019" s="17">
        <v>914</v>
      </c>
      <c r="D1019" s="71" t="s">
        <v>2013</v>
      </c>
      <c r="E1019" s="85" t="s">
        <v>1929</v>
      </c>
      <c r="F1019" s="85" t="s">
        <v>1468</v>
      </c>
      <c r="G1019" s="17" t="s">
        <v>5</v>
      </c>
      <c r="H1019" s="17" t="s">
        <v>1930</v>
      </c>
      <c r="I1019" s="145"/>
      <c r="J1019" s="17" t="s">
        <v>240</v>
      </c>
      <c r="K1019" s="17" t="s">
        <v>1311</v>
      </c>
      <c r="L1019" s="17" t="s">
        <v>39</v>
      </c>
      <c r="M1019" s="38">
        <v>8116006935</v>
      </c>
      <c r="N1019" s="38">
        <v>864606047593891</v>
      </c>
      <c r="O1019" s="38"/>
      <c r="P1019" s="14" t="s">
        <v>238</v>
      </c>
      <c r="Q1019" s="72" t="s">
        <v>2205</v>
      </c>
      <c r="R1019" s="40">
        <v>0</v>
      </c>
      <c r="S1019" s="41" t="s">
        <v>1931</v>
      </c>
      <c r="T1019" s="17"/>
      <c r="U1019" s="66"/>
    </row>
    <row r="1020" spans="2:21" s="15" customFormat="1" ht="43.5" x14ac:dyDescent="0.35">
      <c r="B1020" s="64">
        <v>45535</v>
      </c>
      <c r="C1020" s="17">
        <v>915</v>
      </c>
      <c r="D1020" s="36" t="s">
        <v>2256</v>
      </c>
      <c r="E1020" s="85" t="s">
        <v>2200</v>
      </c>
      <c r="F1020" s="85" t="s">
        <v>1468</v>
      </c>
      <c r="G1020" s="17" t="s">
        <v>5</v>
      </c>
      <c r="H1020" s="17" t="s">
        <v>1930</v>
      </c>
      <c r="I1020" s="145"/>
      <c r="J1020" s="14" t="s">
        <v>233</v>
      </c>
      <c r="K1020" s="58" t="s">
        <v>1316</v>
      </c>
      <c r="L1020" s="14" t="s">
        <v>39</v>
      </c>
      <c r="M1020" s="37">
        <v>8126097196</v>
      </c>
      <c r="N1020" s="37">
        <v>869220040535209</v>
      </c>
      <c r="O1020" s="37"/>
      <c r="P1020" s="14" t="s">
        <v>232</v>
      </c>
      <c r="Q1020" s="39" t="s">
        <v>1538</v>
      </c>
      <c r="R1020" s="18">
        <v>0</v>
      </c>
      <c r="S1020" s="19" t="s">
        <v>2200</v>
      </c>
      <c r="T1020" s="17"/>
      <c r="U1020" s="66"/>
    </row>
    <row r="1021" spans="2:21" s="15" customFormat="1" ht="29" x14ac:dyDescent="0.35">
      <c r="B1021" s="64">
        <v>45535</v>
      </c>
      <c r="C1021" s="17">
        <v>916</v>
      </c>
      <c r="D1021" s="71" t="s">
        <v>2014</v>
      </c>
      <c r="E1021" s="85" t="s">
        <v>1929</v>
      </c>
      <c r="F1021" s="85" t="s">
        <v>1468</v>
      </c>
      <c r="G1021" s="17" t="s">
        <v>5</v>
      </c>
      <c r="H1021" s="17" t="s">
        <v>1930</v>
      </c>
      <c r="I1021" s="145"/>
      <c r="J1021" s="17" t="s">
        <v>225</v>
      </c>
      <c r="K1021" s="17" t="s">
        <v>1319</v>
      </c>
      <c r="L1021" s="17" t="s">
        <v>39</v>
      </c>
      <c r="M1021" s="37">
        <v>8120360505</v>
      </c>
      <c r="N1021" s="38">
        <v>868166053905584</v>
      </c>
      <c r="O1021" s="38"/>
      <c r="P1021" s="14" t="s">
        <v>224</v>
      </c>
      <c r="Q1021" s="72" t="s">
        <v>2205</v>
      </c>
      <c r="R1021" s="18">
        <v>0</v>
      </c>
      <c r="S1021" s="41" t="s">
        <v>1931</v>
      </c>
      <c r="T1021" s="17"/>
      <c r="U1021" s="66"/>
    </row>
    <row r="1022" spans="2:21" s="15" customFormat="1" ht="29" x14ac:dyDescent="0.35">
      <c r="B1022" s="64">
        <v>45535</v>
      </c>
      <c r="C1022" s="17">
        <v>917</v>
      </c>
      <c r="D1022" s="71" t="s">
        <v>2015</v>
      </c>
      <c r="E1022" s="85" t="s">
        <v>1929</v>
      </c>
      <c r="F1022" s="85" t="s">
        <v>1468</v>
      </c>
      <c r="G1022" s="17" t="s">
        <v>5</v>
      </c>
      <c r="H1022" s="17" t="s">
        <v>1930</v>
      </c>
      <c r="I1022" s="145"/>
      <c r="J1022" s="17" t="s">
        <v>2016</v>
      </c>
      <c r="K1022" s="17" t="s">
        <v>2017</v>
      </c>
      <c r="L1022" s="17" t="s">
        <v>39</v>
      </c>
      <c r="M1022" s="37">
        <v>8184663520</v>
      </c>
      <c r="N1022" s="38">
        <v>860186051803225</v>
      </c>
      <c r="O1022" s="38"/>
      <c r="P1022" s="14" t="s">
        <v>223</v>
      </c>
      <c r="Q1022" s="72" t="s">
        <v>2205</v>
      </c>
      <c r="R1022" s="40">
        <v>0</v>
      </c>
      <c r="S1022" s="41" t="s">
        <v>1931</v>
      </c>
      <c r="T1022" s="17"/>
      <c r="U1022" s="66"/>
    </row>
    <row r="1023" spans="2:21" s="15" customFormat="1" ht="29" x14ac:dyDescent="0.35">
      <c r="B1023" s="64">
        <v>45535</v>
      </c>
      <c r="C1023" s="17">
        <v>918</v>
      </c>
      <c r="D1023" s="36" t="s">
        <v>2257</v>
      </c>
      <c r="E1023" s="85" t="s">
        <v>2200</v>
      </c>
      <c r="F1023" s="85" t="s">
        <v>1468</v>
      </c>
      <c r="G1023" s="17" t="s">
        <v>5</v>
      </c>
      <c r="H1023" s="17" t="s">
        <v>1930</v>
      </c>
      <c r="I1023" s="145"/>
      <c r="J1023" s="17" t="s">
        <v>2258</v>
      </c>
      <c r="K1023" s="14" t="s">
        <v>2259</v>
      </c>
      <c r="L1023" s="17" t="s">
        <v>39</v>
      </c>
      <c r="M1023" s="38">
        <v>8126296921</v>
      </c>
      <c r="N1023" s="38">
        <v>868166053314688</v>
      </c>
      <c r="O1023" s="38"/>
      <c r="P1023" s="14" t="s">
        <v>197</v>
      </c>
      <c r="Q1023" s="39" t="s">
        <v>1538</v>
      </c>
      <c r="R1023" s="18">
        <v>0</v>
      </c>
      <c r="S1023" s="19" t="s">
        <v>2200</v>
      </c>
      <c r="T1023" s="17"/>
      <c r="U1023" s="66"/>
    </row>
    <row r="1024" spans="2:21" s="15" customFormat="1" ht="29" x14ac:dyDescent="0.35">
      <c r="B1024" s="64">
        <v>45535</v>
      </c>
      <c r="C1024" s="17">
        <v>919</v>
      </c>
      <c r="D1024" s="36" t="s">
        <v>2260</v>
      </c>
      <c r="E1024" s="85" t="s">
        <v>2200</v>
      </c>
      <c r="F1024" s="85" t="s">
        <v>1468</v>
      </c>
      <c r="G1024" s="17" t="s">
        <v>5</v>
      </c>
      <c r="H1024" s="17" t="s">
        <v>1930</v>
      </c>
      <c r="I1024" s="145"/>
      <c r="J1024" s="14" t="s">
        <v>194</v>
      </c>
      <c r="K1024" s="14" t="s">
        <v>1329</v>
      </c>
      <c r="L1024" s="17" t="s">
        <v>39</v>
      </c>
      <c r="M1024" s="38">
        <v>8180117813</v>
      </c>
      <c r="N1024" s="38">
        <v>868166053314977</v>
      </c>
      <c r="O1024" s="38"/>
      <c r="P1024" s="14" t="s">
        <v>192</v>
      </c>
      <c r="Q1024" s="39" t="s">
        <v>1538</v>
      </c>
      <c r="R1024" s="18">
        <v>0</v>
      </c>
      <c r="S1024" s="19" t="s">
        <v>2200</v>
      </c>
      <c r="T1024" s="17"/>
      <c r="U1024" s="66"/>
    </row>
    <row r="1025" spans="2:21" s="15" customFormat="1" ht="29" x14ac:dyDescent="0.35">
      <c r="B1025" s="64">
        <v>45535</v>
      </c>
      <c r="C1025" s="17">
        <v>920</v>
      </c>
      <c r="D1025" s="71" t="s">
        <v>2018</v>
      </c>
      <c r="E1025" s="85" t="s">
        <v>1929</v>
      </c>
      <c r="F1025" s="85" t="s">
        <v>1468</v>
      </c>
      <c r="G1025" s="17" t="s">
        <v>5</v>
      </c>
      <c r="H1025" s="17" t="s">
        <v>1930</v>
      </c>
      <c r="I1025" s="145"/>
      <c r="J1025" s="17" t="s">
        <v>2019</v>
      </c>
      <c r="K1025" s="17" t="s">
        <v>2020</v>
      </c>
      <c r="L1025" s="17" t="s">
        <v>39</v>
      </c>
      <c r="M1025" s="38">
        <v>8126212643</v>
      </c>
      <c r="N1025" s="38">
        <v>868166053314746</v>
      </c>
      <c r="O1025" s="38"/>
      <c r="P1025" s="14" t="s">
        <v>182</v>
      </c>
      <c r="Q1025" s="72" t="s">
        <v>2205</v>
      </c>
      <c r="R1025" s="18" t="s">
        <v>39</v>
      </c>
      <c r="S1025" s="41" t="s">
        <v>1931</v>
      </c>
      <c r="T1025" s="17"/>
      <c r="U1025" s="66"/>
    </row>
    <row r="1026" spans="2:21" s="15" customFormat="1" ht="29" x14ac:dyDescent="0.35">
      <c r="B1026" s="64">
        <v>45535</v>
      </c>
      <c r="C1026" s="17">
        <v>921</v>
      </c>
      <c r="D1026" s="71" t="s">
        <v>2021</v>
      </c>
      <c r="E1026" s="85" t="s">
        <v>1929</v>
      </c>
      <c r="F1026" s="85" t="s">
        <v>1468</v>
      </c>
      <c r="G1026" s="17" t="s">
        <v>5</v>
      </c>
      <c r="H1026" s="17" t="s">
        <v>1930</v>
      </c>
      <c r="I1026" s="145"/>
      <c r="J1026" s="17" t="s">
        <v>176</v>
      </c>
      <c r="K1026" s="17" t="s">
        <v>1337</v>
      </c>
      <c r="L1026" s="17" t="s">
        <v>39</v>
      </c>
      <c r="M1026" s="37">
        <v>8182532965</v>
      </c>
      <c r="N1026" s="38">
        <v>868166053315149</v>
      </c>
      <c r="O1026" s="38"/>
      <c r="P1026" s="14" t="s">
        <v>175</v>
      </c>
      <c r="Q1026" s="72" t="s">
        <v>2205</v>
      </c>
      <c r="R1026" s="40">
        <v>0</v>
      </c>
      <c r="S1026" s="41" t="s">
        <v>1931</v>
      </c>
      <c r="T1026" s="17"/>
      <c r="U1026" s="66"/>
    </row>
    <row r="1027" spans="2:21" s="15" customFormat="1" ht="29" x14ac:dyDescent="0.35">
      <c r="B1027" s="64">
        <v>45535</v>
      </c>
      <c r="C1027" s="17">
        <v>922</v>
      </c>
      <c r="D1027" s="71" t="s">
        <v>2022</v>
      </c>
      <c r="E1027" s="85" t="s">
        <v>1929</v>
      </c>
      <c r="F1027" s="85" t="s">
        <v>1468</v>
      </c>
      <c r="G1027" s="17" t="s">
        <v>5</v>
      </c>
      <c r="H1027" s="17" t="s">
        <v>1930</v>
      </c>
      <c r="I1027" s="145"/>
      <c r="J1027" s="17" t="s">
        <v>160</v>
      </c>
      <c r="K1027" s="17" t="s">
        <v>1343</v>
      </c>
      <c r="L1027" s="17" t="s">
        <v>39</v>
      </c>
      <c r="M1027" s="37">
        <v>8184661257</v>
      </c>
      <c r="N1027" s="38">
        <v>868166053312617</v>
      </c>
      <c r="O1027" s="38"/>
      <c r="P1027" s="14" t="s">
        <v>159</v>
      </c>
      <c r="Q1027" s="72" t="s">
        <v>2205</v>
      </c>
      <c r="R1027" s="40">
        <v>0</v>
      </c>
      <c r="S1027" s="41" t="s">
        <v>1931</v>
      </c>
      <c r="T1027" s="17"/>
      <c r="U1027" s="66"/>
    </row>
    <row r="1028" spans="2:21" s="15" customFormat="1" ht="29" x14ac:dyDescent="0.35">
      <c r="B1028" s="64">
        <v>45535</v>
      </c>
      <c r="C1028" s="17">
        <v>923</v>
      </c>
      <c r="D1028" s="36" t="s">
        <v>2261</v>
      </c>
      <c r="E1028" s="85" t="s">
        <v>2200</v>
      </c>
      <c r="F1028" s="85" t="s">
        <v>1468</v>
      </c>
      <c r="G1028" s="17" t="s">
        <v>5</v>
      </c>
      <c r="H1028" s="17" t="s">
        <v>1930</v>
      </c>
      <c r="I1028" s="145"/>
      <c r="J1028" s="14" t="s">
        <v>154</v>
      </c>
      <c r="K1028" s="14" t="s">
        <v>1344</v>
      </c>
      <c r="L1028" s="17" t="s">
        <v>39</v>
      </c>
      <c r="M1028" s="37">
        <v>8115778024</v>
      </c>
      <c r="N1028" s="38">
        <v>868166053312724</v>
      </c>
      <c r="O1028" s="38"/>
      <c r="P1028" s="14" t="s">
        <v>153</v>
      </c>
      <c r="Q1028" s="39" t="s">
        <v>1538</v>
      </c>
      <c r="R1028" s="18">
        <v>0</v>
      </c>
      <c r="S1028" s="19" t="s">
        <v>2200</v>
      </c>
      <c r="T1028" s="17"/>
      <c r="U1028" s="66"/>
    </row>
    <row r="1029" spans="2:21" s="15" customFormat="1" ht="29" x14ac:dyDescent="0.35">
      <c r="B1029" s="64">
        <v>45535</v>
      </c>
      <c r="C1029" s="17">
        <v>924</v>
      </c>
      <c r="D1029" s="36" t="s">
        <v>2262</v>
      </c>
      <c r="E1029" s="85" t="s">
        <v>2200</v>
      </c>
      <c r="F1029" s="85" t="s">
        <v>1468</v>
      </c>
      <c r="G1029" s="17" t="s">
        <v>5</v>
      </c>
      <c r="H1029" s="17" t="s">
        <v>1930</v>
      </c>
      <c r="I1029" s="145"/>
      <c r="J1029" s="14" t="s">
        <v>151</v>
      </c>
      <c r="K1029" s="14" t="s">
        <v>1345</v>
      </c>
      <c r="L1029" s="17" t="s">
        <v>39</v>
      </c>
      <c r="M1029" s="37">
        <v>8118003620</v>
      </c>
      <c r="N1029" s="38">
        <v>868166053311072</v>
      </c>
      <c r="O1029" s="38"/>
      <c r="P1029" s="14" t="s">
        <v>150</v>
      </c>
      <c r="Q1029" s="39" t="s">
        <v>1538</v>
      </c>
      <c r="R1029" s="18">
        <v>0</v>
      </c>
      <c r="S1029" s="19" t="s">
        <v>2200</v>
      </c>
      <c r="T1029" s="17"/>
      <c r="U1029" s="66"/>
    </row>
    <row r="1030" spans="2:21" s="15" customFormat="1" ht="29" x14ac:dyDescent="0.35">
      <c r="B1030" s="64">
        <v>45535</v>
      </c>
      <c r="C1030" s="17">
        <v>925</v>
      </c>
      <c r="D1030" s="71" t="s">
        <v>2023</v>
      </c>
      <c r="E1030" s="85" t="s">
        <v>1929</v>
      </c>
      <c r="F1030" s="85" t="s">
        <v>1468</v>
      </c>
      <c r="G1030" s="17" t="s">
        <v>5</v>
      </c>
      <c r="H1030" s="17" t="s">
        <v>1930</v>
      </c>
      <c r="I1030" s="145"/>
      <c r="J1030" s="17" t="s">
        <v>2024</v>
      </c>
      <c r="K1030" s="17" t="s">
        <v>2025</v>
      </c>
      <c r="L1030" s="17" t="s">
        <v>39</v>
      </c>
      <c r="M1030" s="37">
        <v>8110203222</v>
      </c>
      <c r="N1030" s="38">
        <v>868166053311585</v>
      </c>
      <c r="O1030" s="38"/>
      <c r="P1030" s="14" t="s">
        <v>136</v>
      </c>
      <c r="Q1030" s="72" t="s">
        <v>2205</v>
      </c>
      <c r="R1030" s="18">
        <v>0</v>
      </c>
      <c r="S1030" s="41" t="s">
        <v>1931</v>
      </c>
      <c r="T1030" s="17"/>
      <c r="U1030" s="66"/>
    </row>
    <row r="1031" spans="2:21" s="15" customFormat="1" ht="29" x14ac:dyDescent="0.35">
      <c r="B1031" s="64">
        <v>45535</v>
      </c>
      <c r="C1031" s="17">
        <v>926</v>
      </c>
      <c r="D1031" s="36" t="s">
        <v>2263</v>
      </c>
      <c r="E1031" s="85" t="s">
        <v>2200</v>
      </c>
      <c r="F1031" s="85" t="s">
        <v>1468</v>
      </c>
      <c r="G1031" s="17" t="s">
        <v>5</v>
      </c>
      <c r="H1031" s="17" t="s">
        <v>1930</v>
      </c>
      <c r="I1031" s="145"/>
      <c r="J1031" s="14" t="s">
        <v>106</v>
      </c>
      <c r="K1031" s="14" t="s">
        <v>1366</v>
      </c>
      <c r="L1031" s="17" t="s">
        <v>39</v>
      </c>
      <c r="M1031" s="37">
        <v>8134058862</v>
      </c>
      <c r="N1031" s="37">
        <v>869220040809240</v>
      </c>
      <c r="O1031" s="37"/>
      <c r="P1031" s="14" t="s">
        <v>105</v>
      </c>
      <c r="Q1031" s="39" t="s">
        <v>1538</v>
      </c>
      <c r="R1031" s="18">
        <v>0</v>
      </c>
      <c r="S1031" s="19" t="s">
        <v>2200</v>
      </c>
      <c r="T1031" s="17"/>
      <c r="U1031" s="66"/>
    </row>
    <row r="1032" spans="2:21" s="15" customFormat="1" ht="29" x14ac:dyDescent="0.35">
      <c r="B1032" s="64">
        <v>45535</v>
      </c>
      <c r="C1032" s="17">
        <v>927</v>
      </c>
      <c r="D1032" s="71" t="s">
        <v>2026</v>
      </c>
      <c r="E1032" s="85" t="s">
        <v>1929</v>
      </c>
      <c r="F1032" s="85" t="s">
        <v>1468</v>
      </c>
      <c r="G1032" s="17" t="s">
        <v>5</v>
      </c>
      <c r="H1032" s="17" t="s">
        <v>1930</v>
      </c>
      <c r="I1032" s="145"/>
      <c r="J1032" s="17" t="s">
        <v>94</v>
      </c>
      <c r="K1032" s="17" t="s">
        <v>1370</v>
      </c>
      <c r="L1032" s="17" t="s">
        <v>39</v>
      </c>
      <c r="M1032" s="37">
        <v>8119174177</v>
      </c>
      <c r="N1032" s="37">
        <v>865011031686075</v>
      </c>
      <c r="O1032" s="37"/>
      <c r="P1032" s="14" t="s">
        <v>92</v>
      </c>
      <c r="Q1032" s="72" t="s">
        <v>2205</v>
      </c>
      <c r="R1032" s="40">
        <v>0</v>
      </c>
      <c r="S1032" s="41" t="s">
        <v>1931</v>
      </c>
      <c r="T1032" s="17"/>
      <c r="U1032" s="66"/>
    </row>
    <row r="1033" spans="2:21" s="15" customFormat="1" ht="29" x14ac:dyDescent="0.35">
      <c r="B1033" s="64">
        <v>45535</v>
      </c>
      <c r="C1033" s="17">
        <v>928</v>
      </c>
      <c r="D1033" s="36" t="s">
        <v>2264</v>
      </c>
      <c r="E1033" s="85" t="s">
        <v>2200</v>
      </c>
      <c r="F1033" s="85" t="s">
        <v>1468</v>
      </c>
      <c r="G1033" s="17" t="s">
        <v>5</v>
      </c>
      <c r="H1033" s="17" t="s">
        <v>1930</v>
      </c>
      <c r="I1033" s="145"/>
      <c r="J1033" s="14" t="s">
        <v>2265</v>
      </c>
      <c r="K1033" s="14" t="s">
        <v>1400</v>
      </c>
      <c r="L1033" s="17" t="s">
        <v>39</v>
      </c>
      <c r="M1033" s="37">
        <v>8135518599</v>
      </c>
      <c r="N1033" s="37">
        <v>869220041115027</v>
      </c>
      <c r="O1033" s="37"/>
      <c r="P1033" s="14" t="s">
        <v>846</v>
      </c>
      <c r="Q1033" s="39" t="s">
        <v>1538</v>
      </c>
      <c r="R1033" s="18">
        <v>0</v>
      </c>
      <c r="S1033" s="19" t="s">
        <v>2200</v>
      </c>
      <c r="T1033" s="17"/>
      <c r="U1033" s="66"/>
    </row>
    <row r="1034" spans="2:21" s="15" customFormat="1" ht="29" x14ac:dyDescent="0.35">
      <c r="B1034" s="64">
        <v>45535</v>
      </c>
      <c r="C1034" s="17">
        <v>929</v>
      </c>
      <c r="D1034" s="36" t="s">
        <v>2266</v>
      </c>
      <c r="E1034" s="85" t="s">
        <v>2200</v>
      </c>
      <c r="F1034" s="85" t="s">
        <v>1468</v>
      </c>
      <c r="G1034" s="17" t="s">
        <v>5</v>
      </c>
      <c r="H1034" s="17" t="s">
        <v>1930</v>
      </c>
      <c r="I1034" s="145"/>
      <c r="J1034" s="14" t="s">
        <v>2267</v>
      </c>
      <c r="K1034" s="14" t="s">
        <v>975</v>
      </c>
      <c r="L1034" s="17" t="s">
        <v>39</v>
      </c>
      <c r="M1034" s="14">
        <v>8118240120</v>
      </c>
      <c r="N1034" s="38">
        <v>35054450690590</v>
      </c>
      <c r="O1034" s="38"/>
      <c r="P1034" s="14" t="s">
        <v>897</v>
      </c>
      <c r="Q1034" s="39" t="s">
        <v>1538</v>
      </c>
      <c r="R1034" s="18">
        <v>0</v>
      </c>
      <c r="S1034" s="19" t="s">
        <v>2200</v>
      </c>
      <c r="T1034" s="17"/>
      <c r="U1034" s="66"/>
    </row>
    <row r="1035" spans="2:21" s="15" customFormat="1" ht="29" x14ac:dyDescent="0.35">
      <c r="B1035" s="64">
        <v>45535</v>
      </c>
      <c r="C1035" s="17">
        <v>930</v>
      </c>
      <c r="D1035" s="101" t="s">
        <v>2268</v>
      </c>
      <c r="E1035" s="85" t="s">
        <v>2200</v>
      </c>
      <c r="F1035" s="85" t="s">
        <v>1468</v>
      </c>
      <c r="G1035" s="17" t="s">
        <v>5</v>
      </c>
      <c r="H1035" s="17" t="s">
        <v>1930</v>
      </c>
      <c r="I1035" s="144">
        <v>0.625</v>
      </c>
      <c r="J1035" s="14" t="s">
        <v>4243</v>
      </c>
      <c r="K1035" s="14" t="s">
        <v>1434</v>
      </c>
      <c r="L1035" s="17" t="s">
        <v>39</v>
      </c>
      <c r="M1035" s="14">
        <v>8119884513</v>
      </c>
      <c r="N1035" s="38">
        <v>860896051542033</v>
      </c>
      <c r="O1035" s="14" t="s">
        <v>913</v>
      </c>
      <c r="P1035" s="14" t="s">
        <v>39</v>
      </c>
      <c r="Q1035" s="132" t="s">
        <v>2228</v>
      </c>
      <c r="R1035" s="18">
        <v>0</v>
      </c>
      <c r="S1035" s="19" t="s">
        <v>3584</v>
      </c>
      <c r="T1035" s="17"/>
      <c r="U1035" s="66"/>
    </row>
    <row r="1036" spans="2:21" s="15" customFormat="1" ht="29" x14ac:dyDescent="0.35">
      <c r="B1036" s="64">
        <v>45535</v>
      </c>
      <c r="C1036" s="17">
        <v>931</v>
      </c>
      <c r="D1036" s="36" t="s">
        <v>2269</v>
      </c>
      <c r="E1036" s="85" t="s">
        <v>2200</v>
      </c>
      <c r="F1036" s="85" t="s">
        <v>1468</v>
      </c>
      <c r="G1036" s="17" t="s">
        <v>5</v>
      </c>
      <c r="H1036" s="17" t="s">
        <v>1930</v>
      </c>
      <c r="I1036" s="145"/>
      <c r="J1036" s="17" t="s">
        <v>2270</v>
      </c>
      <c r="K1036" s="17" t="s">
        <v>1444</v>
      </c>
      <c r="L1036" s="17" t="s">
        <v>39</v>
      </c>
      <c r="M1036" s="65">
        <v>8117785737</v>
      </c>
      <c r="N1036" s="16">
        <v>868166056884794</v>
      </c>
      <c r="O1036" s="16"/>
      <c r="P1036" s="17" t="s">
        <v>944</v>
      </c>
      <c r="Q1036" s="39" t="s">
        <v>1538</v>
      </c>
      <c r="R1036" s="18">
        <v>0</v>
      </c>
      <c r="S1036" s="19" t="s">
        <v>2200</v>
      </c>
      <c r="T1036" s="17"/>
      <c r="U1036" s="66"/>
    </row>
    <row r="1037" spans="2:21" s="15" customFormat="1" ht="29" x14ac:dyDescent="0.35">
      <c r="B1037" s="64">
        <v>45535</v>
      </c>
      <c r="C1037" s="17">
        <v>932</v>
      </c>
      <c r="D1037" s="71" t="s">
        <v>2027</v>
      </c>
      <c r="E1037" s="85" t="s">
        <v>1929</v>
      </c>
      <c r="F1037" s="85" t="s">
        <v>1468</v>
      </c>
      <c r="G1037" s="17" t="s">
        <v>5</v>
      </c>
      <c r="H1037" s="17" t="s">
        <v>1930</v>
      </c>
      <c r="I1037" s="145"/>
      <c r="J1037" s="17" t="s">
        <v>2043</v>
      </c>
      <c r="K1037" s="17" t="s">
        <v>1448</v>
      </c>
      <c r="L1037" s="17" t="s">
        <v>39</v>
      </c>
      <c r="M1037" s="14">
        <v>8112429599</v>
      </c>
      <c r="N1037" s="16">
        <v>869220041212386</v>
      </c>
      <c r="O1037" s="16"/>
      <c r="P1037" s="17" t="s">
        <v>956</v>
      </c>
      <c r="Q1037" s="72" t="s">
        <v>2205</v>
      </c>
      <c r="R1037" s="40">
        <v>0</v>
      </c>
      <c r="S1037" s="41" t="s">
        <v>1931</v>
      </c>
      <c r="T1037" s="17"/>
      <c r="U1037" s="66"/>
    </row>
    <row r="1038" spans="2:21" s="15" customFormat="1" ht="29" x14ac:dyDescent="0.35">
      <c r="B1038" s="64">
        <v>45535</v>
      </c>
      <c r="C1038" s="17">
        <v>933</v>
      </c>
      <c r="D1038" s="71" t="s">
        <v>2271</v>
      </c>
      <c r="E1038" s="85" t="s">
        <v>2141</v>
      </c>
      <c r="F1038" s="85" t="s">
        <v>1468</v>
      </c>
      <c r="G1038" s="17" t="s">
        <v>5</v>
      </c>
      <c r="H1038" s="17" t="s">
        <v>1930</v>
      </c>
      <c r="I1038" s="145"/>
      <c r="J1038" s="17" t="s">
        <v>2272</v>
      </c>
      <c r="K1038" s="17" t="s">
        <v>1456</v>
      </c>
      <c r="L1038" s="17" t="s">
        <v>39</v>
      </c>
      <c r="M1038" s="65">
        <v>8126211897</v>
      </c>
      <c r="N1038" s="16">
        <v>860896051699346</v>
      </c>
      <c r="O1038" s="16"/>
      <c r="P1038" s="17" t="s">
        <v>994</v>
      </c>
      <c r="Q1038" s="39" t="s">
        <v>1538</v>
      </c>
      <c r="R1038" s="18">
        <v>0</v>
      </c>
      <c r="S1038" s="19" t="s">
        <v>2200</v>
      </c>
      <c r="T1038" s="17"/>
      <c r="U1038" s="66"/>
    </row>
    <row r="1039" spans="2:21" s="15" customFormat="1" ht="29" x14ac:dyDescent="0.35">
      <c r="B1039" s="64">
        <v>45535</v>
      </c>
      <c r="C1039" s="17">
        <v>934</v>
      </c>
      <c r="D1039" s="36" t="s">
        <v>2273</v>
      </c>
      <c r="E1039" s="85" t="s">
        <v>2200</v>
      </c>
      <c r="F1039" s="85" t="s">
        <v>1468</v>
      </c>
      <c r="G1039" s="17" t="s">
        <v>5</v>
      </c>
      <c r="H1039" s="17" t="s">
        <v>1930</v>
      </c>
      <c r="I1039" s="145"/>
      <c r="J1039" s="17" t="s">
        <v>2274</v>
      </c>
      <c r="K1039" s="17" t="s">
        <v>1625</v>
      </c>
      <c r="L1039" s="17" t="s">
        <v>39</v>
      </c>
      <c r="M1039" s="65">
        <v>8110166988</v>
      </c>
      <c r="N1039" s="38">
        <v>868166057391245</v>
      </c>
      <c r="O1039" s="16"/>
      <c r="P1039" s="17" t="s">
        <v>1624</v>
      </c>
      <c r="Q1039" s="39" t="s">
        <v>1538</v>
      </c>
      <c r="R1039" s="18">
        <v>0</v>
      </c>
      <c r="S1039" s="19" t="s">
        <v>2200</v>
      </c>
      <c r="T1039" s="17"/>
      <c r="U1039" s="66"/>
    </row>
    <row r="1040" spans="2:21" s="15" customFormat="1" ht="29" x14ac:dyDescent="0.35">
      <c r="B1040" s="64">
        <v>45535</v>
      </c>
      <c r="C1040" s="17">
        <v>935</v>
      </c>
      <c r="D1040" s="71" t="s">
        <v>2028</v>
      </c>
      <c r="E1040" s="85" t="s">
        <v>1929</v>
      </c>
      <c r="F1040" s="85" t="s">
        <v>1468</v>
      </c>
      <c r="G1040" s="17" t="s">
        <v>5</v>
      </c>
      <c r="H1040" s="17" t="s">
        <v>1930</v>
      </c>
      <c r="I1040" s="145"/>
      <c r="J1040" s="17" t="s">
        <v>2029</v>
      </c>
      <c r="K1040" s="17" t="s">
        <v>2030</v>
      </c>
      <c r="L1040" s="17" t="s">
        <v>39</v>
      </c>
      <c r="M1040" s="65">
        <v>8115294135</v>
      </c>
      <c r="N1040" s="16">
        <v>868166057398695</v>
      </c>
      <c r="O1040" s="16"/>
      <c r="P1040" s="17" t="s">
        <v>1633</v>
      </c>
      <c r="Q1040" s="72" t="s">
        <v>2205</v>
      </c>
      <c r="R1040" s="18">
        <v>0</v>
      </c>
      <c r="S1040" s="41" t="s">
        <v>1931</v>
      </c>
      <c r="T1040" s="17"/>
      <c r="U1040" s="66"/>
    </row>
    <row r="1041" spans="2:22" s="15" customFormat="1" ht="29" x14ac:dyDescent="0.35">
      <c r="B1041" s="64">
        <v>45535</v>
      </c>
      <c r="C1041" s="17">
        <v>936</v>
      </c>
      <c r="D1041" s="36" t="s">
        <v>2276</v>
      </c>
      <c r="E1041" s="85" t="s">
        <v>2200</v>
      </c>
      <c r="F1041" s="85" t="s">
        <v>1468</v>
      </c>
      <c r="G1041" s="17" t="s">
        <v>5</v>
      </c>
      <c r="H1041" s="17" t="s">
        <v>1930</v>
      </c>
      <c r="I1041" s="145"/>
      <c r="J1041" s="17" t="s">
        <v>2280</v>
      </c>
      <c r="K1041" s="17" t="s">
        <v>1685</v>
      </c>
      <c r="L1041" s="17" t="s">
        <v>39</v>
      </c>
      <c r="M1041" s="65">
        <v>8118284607</v>
      </c>
      <c r="N1041" s="16">
        <v>869220041534714</v>
      </c>
      <c r="O1041" s="16"/>
      <c r="P1041" s="17" t="s">
        <v>1686</v>
      </c>
      <c r="Q1041" s="39" t="s">
        <v>1538</v>
      </c>
      <c r="R1041" s="18">
        <v>0</v>
      </c>
      <c r="S1041" s="41" t="s">
        <v>2200</v>
      </c>
      <c r="T1041" s="17"/>
      <c r="U1041" s="66"/>
    </row>
    <row r="1042" spans="2:22" s="15" customFormat="1" ht="29" x14ac:dyDescent="0.35">
      <c r="B1042" s="64">
        <v>45535</v>
      </c>
      <c r="C1042" s="17">
        <v>937</v>
      </c>
      <c r="D1042" s="36" t="s">
        <v>2277</v>
      </c>
      <c r="E1042" s="85" t="s">
        <v>2200</v>
      </c>
      <c r="F1042" s="85" t="s">
        <v>1468</v>
      </c>
      <c r="G1042" s="17" t="s">
        <v>5</v>
      </c>
      <c r="H1042" s="17" t="s">
        <v>1930</v>
      </c>
      <c r="I1042" s="145"/>
      <c r="J1042" s="17" t="s">
        <v>2281</v>
      </c>
      <c r="K1042" s="17" t="s">
        <v>2282</v>
      </c>
      <c r="L1042" s="17" t="s">
        <v>39</v>
      </c>
      <c r="M1042" s="65">
        <v>8119087596</v>
      </c>
      <c r="N1042" s="16">
        <v>869220041535810</v>
      </c>
      <c r="O1042" s="119"/>
      <c r="P1042" s="70" t="s">
        <v>1714</v>
      </c>
      <c r="Q1042" s="39" t="s">
        <v>1538</v>
      </c>
      <c r="R1042" s="18">
        <v>0</v>
      </c>
      <c r="S1042" s="19" t="s">
        <v>2200</v>
      </c>
      <c r="T1042" s="17"/>
      <c r="U1042" s="66"/>
    </row>
    <row r="1043" spans="2:22" s="15" customFormat="1" ht="29" x14ac:dyDescent="0.35">
      <c r="B1043" s="64">
        <v>45535</v>
      </c>
      <c r="C1043" s="17">
        <v>938</v>
      </c>
      <c r="D1043" s="36" t="s">
        <v>2278</v>
      </c>
      <c r="E1043" s="85" t="s">
        <v>2200</v>
      </c>
      <c r="F1043" s="85" t="s">
        <v>1468</v>
      </c>
      <c r="G1043" s="17" t="s">
        <v>5</v>
      </c>
      <c r="H1043" s="17" t="s">
        <v>1930</v>
      </c>
      <c r="I1043" s="145"/>
      <c r="J1043" s="17" t="s">
        <v>2285</v>
      </c>
      <c r="K1043" s="17" t="s">
        <v>1721</v>
      </c>
      <c r="L1043" s="17" t="s">
        <v>39</v>
      </c>
      <c r="M1043" s="65">
        <v>8180844156</v>
      </c>
      <c r="N1043" s="16">
        <v>869220041536123</v>
      </c>
      <c r="O1043" s="119"/>
      <c r="P1043" s="70" t="s">
        <v>1722</v>
      </c>
      <c r="Q1043" s="39" t="s">
        <v>1538</v>
      </c>
      <c r="R1043" s="18">
        <v>0</v>
      </c>
      <c r="S1043" s="41" t="s">
        <v>2200</v>
      </c>
      <c r="T1043" s="17"/>
      <c r="U1043" s="66"/>
    </row>
    <row r="1044" spans="2:22" s="15" customFormat="1" ht="29" x14ac:dyDescent="0.35">
      <c r="B1044" s="64">
        <v>45535</v>
      </c>
      <c r="C1044" s="17">
        <v>939</v>
      </c>
      <c r="D1044" s="36" t="s">
        <v>2279</v>
      </c>
      <c r="E1044" s="85" t="s">
        <v>2200</v>
      </c>
      <c r="F1044" s="85" t="s">
        <v>1468</v>
      </c>
      <c r="G1044" s="17" t="s">
        <v>5</v>
      </c>
      <c r="H1044" s="17" t="s">
        <v>1930</v>
      </c>
      <c r="I1044" s="145"/>
      <c r="J1044" s="17" t="s">
        <v>2287</v>
      </c>
      <c r="K1044" s="17" t="s">
        <v>2288</v>
      </c>
      <c r="L1044" s="17" t="s">
        <v>39</v>
      </c>
      <c r="M1044" s="16">
        <v>8110447213</v>
      </c>
      <c r="N1044" s="16">
        <v>868166057572695</v>
      </c>
      <c r="O1044" s="16"/>
      <c r="P1044" s="17" t="s">
        <v>2106</v>
      </c>
      <c r="Q1044" s="39" t="s">
        <v>1538</v>
      </c>
      <c r="R1044" s="18">
        <v>0</v>
      </c>
      <c r="S1044" s="19" t="s">
        <v>2200</v>
      </c>
      <c r="T1044" s="17"/>
      <c r="U1044" s="66"/>
    </row>
    <row r="1045" spans="2:22" s="15" customFormat="1" ht="29" x14ac:dyDescent="0.35">
      <c r="B1045" s="64">
        <v>45539</v>
      </c>
      <c r="C1045" s="17">
        <v>940</v>
      </c>
      <c r="D1045" s="85">
        <v>741</v>
      </c>
      <c r="E1045" s="85" t="s">
        <v>2291</v>
      </c>
      <c r="F1045" s="85" t="s">
        <v>13</v>
      </c>
      <c r="G1045" s="17" t="s">
        <v>5</v>
      </c>
      <c r="H1045" s="14" t="s">
        <v>1744</v>
      </c>
      <c r="I1045" s="145"/>
      <c r="J1045" s="17" t="s">
        <v>2292</v>
      </c>
      <c r="K1045" s="17" t="s">
        <v>2289</v>
      </c>
      <c r="L1045" s="17" t="s">
        <v>965</v>
      </c>
      <c r="M1045" s="16">
        <v>8116108089</v>
      </c>
      <c r="N1045" s="16">
        <v>869220041853718</v>
      </c>
      <c r="O1045" s="16"/>
      <c r="P1045" s="17" t="s">
        <v>2290</v>
      </c>
      <c r="Q1045" s="14" t="s">
        <v>8</v>
      </c>
      <c r="R1045" s="18">
        <v>1999.84</v>
      </c>
      <c r="S1045" s="19">
        <v>174</v>
      </c>
      <c r="T1045" s="17"/>
      <c r="U1045" s="66"/>
    </row>
    <row r="1046" spans="2:22" s="15" customFormat="1" ht="43.5" x14ac:dyDescent="0.35">
      <c r="B1046" s="64">
        <v>45540</v>
      </c>
      <c r="C1046" s="17">
        <v>941</v>
      </c>
      <c r="D1046" s="85" t="s">
        <v>3419</v>
      </c>
      <c r="E1046" s="85" t="s">
        <v>2291</v>
      </c>
      <c r="F1046" s="85" t="s">
        <v>13</v>
      </c>
      <c r="G1046" s="17" t="s">
        <v>5</v>
      </c>
      <c r="H1046" s="17" t="s">
        <v>2413</v>
      </c>
      <c r="I1046" s="145" t="s">
        <v>3253</v>
      </c>
      <c r="J1046" s="17" t="s">
        <v>3528</v>
      </c>
      <c r="K1046" s="17" t="s">
        <v>2293</v>
      </c>
      <c r="L1046" s="17" t="s">
        <v>965</v>
      </c>
      <c r="M1046" s="16">
        <v>8118003970</v>
      </c>
      <c r="N1046" s="16">
        <v>869220041855002</v>
      </c>
      <c r="O1046" s="16" t="s">
        <v>3478</v>
      </c>
      <c r="P1046" s="17" t="s">
        <v>3477</v>
      </c>
      <c r="Q1046" s="14" t="s">
        <v>8</v>
      </c>
      <c r="R1046" s="18">
        <v>1999.84</v>
      </c>
      <c r="S1046" s="19" t="s">
        <v>3329</v>
      </c>
      <c r="T1046" s="17"/>
      <c r="U1046" s="66"/>
    </row>
    <row r="1047" spans="2:22" s="15" customFormat="1" ht="58" x14ac:dyDescent="0.35">
      <c r="B1047" s="64">
        <v>45542</v>
      </c>
      <c r="C1047" s="17">
        <v>942</v>
      </c>
      <c r="D1047" s="85">
        <v>743</v>
      </c>
      <c r="E1047" s="85" t="s">
        <v>2294</v>
      </c>
      <c r="F1047" s="85" t="s">
        <v>13</v>
      </c>
      <c r="G1047" s="17" t="s">
        <v>5</v>
      </c>
      <c r="H1047" s="17" t="s">
        <v>2297</v>
      </c>
      <c r="I1047" s="145"/>
      <c r="J1047" s="17" t="s">
        <v>2298</v>
      </c>
      <c r="K1047" s="17" t="s">
        <v>2295</v>
      </c>
      <c r="L1047" s="17" t="s">
        <v>965</v>
      </c>
      <c r="M1047" s="16">
        <v>8122031262</v>
      </c>
      <c r="N1047" s="16">
        <v>869220041858105</v>
      </c>
      <c r="O1047" s="16"/>
      <c r="P1047" s="17" t="s">
        <v>2296</v>
      </c>
      <c r="Q1047" s="14" t="s">
        <v>8</v>
      </c>
      <c r="R1047" s="18">
        <v>1999.84</v>
      </c>
      <c r="S1047" s="19">
        <v>174</v>
      </c>
      <c r="T1047" s="17"/>
      <c r="U1047" s="66"/>
    </row>
    <row r="1048" spans="2:22" s="15" customFormat="1" ht="29" x14ac:dyDescent="0.35">
      <c r="B1048" s="64">
        <v>45544</v>
      </c>
      <c r="C1048" s="17">
        <v>943</v>
      </c>
      <c r="D1048" s="85" t="s">
        <v>4057</v>
      </c>
      <c r="E1048" s="85" t="s">
        <v>2299</v>
      </c>
      <c r="F1048" s="85" t="s">
        <v>13</v>
      </c>
      <c r="G1048" s="17" t="s">
        <v>5</v>
      </c>
      <c r="H1048" s="17" t="s">
        <v>2300</v>
      </c>
      <c r="I1048" s="145" t="s">
        <v>4333</v>
      </c>
      <c r="J1048" s="17" t="s">
        <v>4332</v>
      </c>
      <c r="K1048" s="17" t="s">
        <v>2301</v>
      </c>
      <c r="L1048" s="17" t="s">
        <v>2</v>
      </c>
      <c r="M1048" s="16">
        <v>8120010209</v>
      </c>
      <c r="N1048" s="16">
        <v>869220041854245</v>
      </c>
      <c r="O1048" s="16" t="s">
        <v>4059</v>
      </c>
      <c r="P1048" s="17" t="s">
        <v>4058</v>
      </c>
      <c r="Q1048" s="17" t="s">
        <v>4174</v>
      </c>
      <c r="R1048" s="18">
        <v>1999.84</v>
      </c>
      <c r="S1048" s="19" t="s">
        <v>3584</v>
      </c>
      <c r="T1048" s="17"/>
      <c r="U1048" s="66"/>
    </row>
    <row r="1049" spans="2:22" s="15" customFormat="1" ht="29" x14ac:dyDescent="0.35">
      <c r="B1049" s="64">
        <v>45546</v>
      </c>
      <c r="C1049" s="17">
        <v>944</v>
      </c>
      <c r="D1049" s="85">
        <v>745</v>
      </c>
      <c r="E1049" s="85" t="s">
        <v>2302</v>
      </c>
      <c r="F1049" s="85" t="s">
        <v>13</v>
      </c>
      <c r="G1049" s="17" t="s">
        <v>5</v>
      </c>
      <c r="H1049" s="17" t="s">
        <v>2304</v>
      </c>
      <c r="I1049" s="145"/>
      <c r="J1049" s="17" t="s">
        <v>2305</v>
      </c>
      <c r="K1049" s="17" t="s">
        <v>2303</v>
      </c>
      <c r="L1049" s="17" t="s">
        <v>965</v>
      </c>
      <c r="M1049" s="16">
        <v>8182526992</v>
      </c>
      <c r="N1049" s="16">
        <v>869220041854294</v>
      </c>
      <c r="O1049" s="16"/>
      <c r="P1049" s="17" t="s">
        <v>2306</v>
      </c>
      <c r="Q1049" s="14" t="s">
        <v>8</v>
      </c>
      <c r="R1049" s="18">
        <v>1999.84</v>
      </c>
      <c r="S1049" s="19">
        <v>174</v>
      </c>
      <c r="T1049" s="17"/>
      <c r="U1049" s="66"/>
    </row>
    <row r="1050" spans="2:22" s="15" customFormat="1" ht="29" x14ac:dyDescent="0.35">
      <c r="B1050" s="64">
        <v>45552</v>
      </c>
      <c r="C1050" s="17">
        <v>945</v>
      </c>
      <c r="D1050" s="85" t="s">
        <v>4788</v>
      </c>
      <c r="E1050" s="85" t="s">
        <v>2307</v>
      </c>
      <c r="F1050" s="85" t="s">
        <v>13</v>
      </c>
      <c r="G1050" s="17" t="s">
        <v>1805</v>
      </c>
      <c r="H1050" s="17" t="s">
        <v>1787</v>
      </c>
      <c r="I1050" s="145" t="s">
        <v>39</v>
      </c>
      <c r="J1050" s="17" t="s">
        <v>26</v>
      </c>
      <c r="K1050" s="17" t="s">
        <v>2308</v>
      </c>
      <c r="L1050" s="17" t="s">
        <v>965</v>
      </c>
      <c r="M1050" s="16">
        <v>8123521940</v>
      </c>
      <c r="N1050" s="16">
        <v>868166059892562</v>
      </c>
      <c r="O1050" s="16" t="s">
        <v>4806</v>
      </c>
      <c r="P1050" s="17" t="s">
        <v>4805</v>
      </c>
      <c r="Q1050" s="17" t="s">
        <v>2559</v>
      </c>
      <c r="R1050" s="18">
        <v>1999.84</v>
      </c>
      <c r="S1050" s="19" t="s">
        <v>4776</v>
      </c>
      <c r="T1050" s="17"/>
      <c r="U1050" s="66"/>
    </row>
    <row r="1051" spans="2:22" s="15" customFormat="1" ht="29" x14ac:dyDescent="0.35">
      <c r="B1051" s="64">
        <v>45553</v>
      </c>
      <c r="C1051" s="17">
        <v>946</v>
      </c>
      <c r="D1051" s="74" t="s">
        <v>5057</v>
      </c>
      <c r="E1051" s="85" t="s">
        <v>2309</v>
      </c>
      <c r="F1051" s="85" t="s">
        <v>13</v>
      </c>
      <c r="G1051" s="17" t="s">
        <v>2315</v>
      </c>
      <c r="H1051" s="17" t="s">
        <v>2316</v>
      </c>
      <c r="I1051" s="145" t="s">
        <v>39</v>
      </c>
      <c r="J1051" s="17" t="s">
        <v>5182</v>
      </c>
      <c r="K1051" s="17" t="s">
        <v>2310</v>
      </c>
      <c r="L1051" s="17" t="s">
        <v>965</v>
      </c>
      <c r="M1051" s="16">
        <v>8118249666</v>
      </c>
      <c r="N1051" s="16">
        <v>868166059893008</v>
      </c>
      <c r="O1051" s="17" t="s">
        <v>2319</v>
      </c>
      <c r="P1051" s="17" t="s">
        <v>39</v>
      </c>
      <c r="Q1051" s="14" t="s">
        <v>8</v>
      </c>
      <c r="R1051" s="18">
        <v>1999.84</v>
      </c>
      <c r="S1051" s="19" t="s">
        <v>5002</v>
      </c>
      <c r="T1051" s="17"/>
      <c r="U1051" s="66"/>
    </row>
    <row r="1052" spans="2:22" s="15" customFormat="1" ht="29" x14ac:dyDescent="0.35">
      <c r="B1052" s="64">
        <v>45556</v>
      </c>
      <c r="C1052" s="17">
        <v>947</v>
      </c>
      <c r="D1052" s="85" t="s">
        <v>3420</v>
      </c>
      <c r="E1052" s="85" t="s">
        <v>2311</v>
      </c>
      <c r="F1052" s="85" t="s">
        <v>13</v>
      </c>
      <c r="G1052" s="17" t="s">
        <v>5</v>
      </c>
      <c r="H1052" s="17" t="s">
        <v>2314</v>
      </c>
      <c r="I1052" s="145" t="s">
        <v>39</v>
      </c>
      <c r="J1052" s="17" t="s">
        <v>2313</v>
      </c>
      <c r="K1052" s="17" t="s">
        <v>2312</v>
      </c>
      <c r="L1052" s="17" t="s">
        <v>965</v>
      </c>
      <c r="M1052" s="16">
        <v>8116841485</v>
      </c>
      <c r="N1052" s="16">
        <v>868166059892794</v>
      </c>
      <c r="O1052" s="16" t="s">
        <v>3480</v>
      </c>
      <c r="P1052" s="17" t="s">
        <v>3479</v>
      </c>
      <c r="Q1052" s="17" t="s">
        <v>2559</v>
      </c>
      <c r="R1052" s="18">
        <v>1999.84</v>
      </c>
      <c r="S1052" s="19" t="s">
        <v>3329</v>
      </c>
      <c r="T1052" s="17"/>
      <c r="U1052" s="66"/>
    </row>
    <row r="1053" spans="2:22" s="15" customFormat="1" ht="29" x14ac:dyDescent="0.35">
      <c r="B1053" s="64">
        <v>45558</v>
      </c>
      <c r="C1053" s="17">
        <v>948</v>
      </c>
      <c r="D1053" s="74" t="s">
        <v>5058</v>
      </c>
      <c r="E1053" s="85" t="s">
        <v>2317</v>
      </c>
      <c r="F1053" s="85" t="s">
        <v>13</v>
      </c>
      <c r="G1053" s="17" t="s">
        <v>39</v>
      </c>
      <c r="H1053" s="17" t="s">
        <v>1787</v>
      </c>
      <c r="I1053" s="145" t="s">
        <v>39</v>
      </c>
      <c r="J1053" s="17" t="s">
        <v>26</v>
      </c>
      <c r="K1053" s="17" t="s">
        <v>2318</v>
      </c>
      <c r="L1053" s="17" t="s">
        <v>965</v>
      </c>
      <c r="M1053" s="16">
        <v>8110437006</v>
      </c>
      <c r="N1053" s="16">
        <v>864893039428134</v>
      </c>
      <c r="O1053" s="16" t="s">
        <v>39</v>
      </c>
      <c r="P1053" s="17" t="s">
        <v>2320</v>
      </c>
      <c r="Q1053" s="14" t="s">
        <v>8</v>
      </c>
      <c r="R1053" s="18">
        <v>1999.84</v>
      </c>
      <c r="S1053" s="19" t="s">
        <v>5002</v>
      </c>
      <c r="T1053" s="17"/>
      <c r="U1053" s="66"/>
    </row>
    <row r="1054" spans="2:22" s="15" customFormat="1" ht="29" x14ac:dyDescent="0.35">
      <c r="B1054" s="64">
        <v>45560</v>
      </c>
      <c r="C1054" s="17">
        <v>949</v>
      </c>
      <c r="D1054" s="85">
        <v>750</v>
      </c>
      <c r="E1054" s="85" t="s">
        <v>2321</v>
      </c>
      <c r="F1054" s="85" t="s">
        <v>13</v>
      </c>
      <c r="G1054" s="17" t="s">
        <v>5</v>
      </c>
      <c r="H1054" s="14" t="s">
        <v>1744</v>
      </c>
      <c r="I1054" s="145"/>
      <c r="J1054" s="17" t="s">
        <v>2322</v>
      </c>
      <c r="K1054" s="17" t="s">
        <v>2323</v>
      </c>
      <c r="L1054" s="17" t="s">
        <v>965</v>
      </c>
      <c r="M1054" s="16">
        <v>8182594878</v>
      </c>
      <c r="N1054" s="16">
        <v>868166057586992</v>
      </c>
      <c r="O1054" s="16"/>
      <c r="P1054" s="17" t="s">
        <v>2326</v>
      </c>
      <c r="Q1054" s="14" t="s">
        <v>8</v>
      </c>
      <c r="R1054" s="18">
        <v>1999.84</v>
      </c>
      <c r="S1054" s="19">
        <v>174</v>
      </c>
      <c r="T1054" s="17"/>
      <c r="U1054" s="66"/>
    </row>
    <row r="1055" spans="2:22" s="15" customFormat="1" ht="29" x14ac:dyDescent="0.35">
      <c r="B1055" s="64">
        <v>45560</v>
      </c>
      <c r="C1055" s="17">
        <v>950</v>
      </c>
      <c r="D1055" s="85">
        <v>751</v>
      </c>
      <c r="E1055" s="85" t="s">
        <v>2321</v>
      </c>
      <c r="F1055" s="85" t="s">
        <v>13</v>
      </c>
      <c r="G1055" s="17" t="s">
        <v>5</v>
      </c>
      <c r="H1055" s="14" t="s">
        <v>1744</v>
      </c>
      <c r="I1055" s="145"/>
      <c r="J1055" s="17" t="s">
        <v>2324</v>
      </c>
      <c r="K1055" s="17" t="s">
        <v>2325</v>
      </c>
      <c r="L1055" s="17" t="s">
        <v>965</v>
      </c>
      <c r="M1055" s="16">
        <v>8115034651</v>
      </c>
      <c r="N1055" s="16">
        <v>868166059892893</v>
      </c>
      <c r="O1055" s="16"/>
      <c r="P1055" s="17" t="s">
        <v>2327</v>
      </c>
      <c r="Q1055" s="14" t="s">
        <v>8</v>
      </c>
      <c r="R1055" s="18">
        <v>1999.84</v>
      </c>
      <c r="S1055" s="19">
        <v>174</v>
      </c>
      <c r="T1055" s="17"/>
      <c r="U1055" s="66"/>
    </row>
    <row r="1056" spans="2:22" s="15" customFormat="1" ht="29" x14ac:dyDescent="0.35">
      <c r="B1056" s="64">
        <v>45560</v>
      </c>
      <c r="C1056" s="17">
        <v>951</v>
      </c>
      <c r="D1056" s="124" t="s">
        <v>3603</v>
      </c>
      <c r="E1056" s="85" t="s">
        <v>2321</v>
      </c>
      <c r="F1056" s="85" t="s">
        <v>13</v>
      </c>
      <c r="G1056" s="17" t="s">
        <v>2195</v>
      </c>
      <c r="H1056" s="14" t="s">
        <v>1744</v>
      </c>
      <c r="I1056" s="145" t="s">
        <v>39</v>
      </c>
      <c r="J1056" s="17" t="s">
        <v>2333</v>
      </c>
      <c r="K1056" s="17" t="s">
        <v>2328</v>
      </c>
      <c r="L1056" s="17" t="s">
        <v>965</v>
      </c>
      <c r="M1056" s="16">
        <v>8114901191</v>
      </c>
      <c r="N1056" s="16">
        <v>868166057587289</v>
      </c>
      <c r="O1056" s="16" t="s">
        <v>3619</v>
      </c>
      <c r="P1056" s="17" t="s">
        <v>2329</v>
      </c>
      <c r="Q1056" s="17" t="s">
        <v>2559</v>
      </c>
      <c r="R1056" s="18">
        <v>1999.84</v>
      </c>
      <c r="S1056" s="19" t="s">
        <v>3584</v>
      </c>
      <c r="T1056" s="17"/>
      <c r="U1056" s="66"/>
      <c r="V1056" s="15" t="s">
        <v>2341</v>
      </c>
    </row>
    <row r="1057" spans="2:22" s="15" customFormat="1" ht="43.5" x14ac:dyDescent="0.35">
      <c r="B1057" s="64">
        <v>45563</v>
      </c>
      <c r="C1057" s="17">
        <v>952</v>
      </c>
      <c r="D1057" s="74" t="s">
        <v>5059</v>
      </c>
      <c r="E1057" s="85" t="s">
        <v>2330</v>
      </c>
      <c r="F1057" s="85" t="s">
        <v>13</v>
      </c>
      <c r="G1057" s="17" t="s">
        <v>5</v>
      </c>
      <c r="H1057" s="17" t="s">
        <v>2413</v>
      </c>
      <c r="I1057" s="145" t="s">
        <v>3253</v>
      </c>
      <c r="J1057" s="17" t="s">
        <v>5183</v>
      </c>
      <c r="K1057" s="17" t="s">
        <v>2331</v>
      </c>
      <c r="L1057" s="17" t="s">
        <v>965</v>
      </c>
      <c r="M1057" s="16">
        <v>8182594804</v>
      </c>
      <c r="N1057" s="16">
        <v>869706060012954</v>
      </c>
      <c r="O1057" s="16" t="s">
        <v>5185</v>
      </c>
      <c r="P1057" s="17" t="s">
        <v>5184</v>
      </c>
      <c r="Q1057" s="14" t="s">
        <v>8</v>
      </c>
      <c r="R1057" s="18">
        <v>1999.84</v>
      </c>
      <c r="S1057" s="19" t="s">
        <v>5002</v>
      </c>
      <c r="T1057" s="17"/>
      <c r="U1057" s="66"/>
    </row>
    <row r="1058" spans="2:22" s="15" customFormat="1" ht="29" x14ac:dyDescent="0.35">
      <c r="B1058" s="64">
        <v>45565</v>
      </c>
      <c r="C1058" s="17">
        <v>953</v>
      </c>
      <c r="D1058" s="138" t="s">
        <v>4436</v>
      </c>
      <c r="E1058" s="85" t="s">
        <v>2332</v>
      </c>
      <c r="F1058" s="85" t="s">
        <v>36</v>
      </c>
      <c r="G1058" s="17" t="s">
        <v>5</v>
      </c>
      <c r="H1058" s="14" t="s">
        <v>4453</v>
      </c>
      <c r="I1058" s="145" t="s">
        <v>4448</v>
      </c>
      <c r="J1058" s="17" t="s">
        <v>4447</v>
      </c>
      <c r="K1058" s="14" t="s">
        <v>1415</v>
      </c>
      <c r="L1058" s="17" t="s">
        <v>965</v>
      </c>
      <c r="M1058" s="16">
        <v>8118003620</v>
      </c>
      <c r="N1058" s="16">
        <v>868166057587487</v>
      </c>
      <c r="O1058" s="38" t="s">
        <v>4452</v>
      </c>
      <c r="P1058" s="14" t="s">
        <v>4451</v>
      </c>
      <c r="Q1058" s="94" t="s">
        <v>2338</v>
      </c>
      <c r="R1058" s="18">
        <v>1999.84</v>
      </c>
      <c r="S1058" s="19" t="s">
        <v>4438</v>
      </c>
      <c r="T1058" s="19" t="s">
        <v>4725</v>
      </c>
      <c r="U1058" s="66"/>
    </row>
    <row r="1059" spans="2:22" s="15" customFormat="1" ht="29" x14ac:dyDescent="0.35">
      <c r="B1059" s="64">
        <v>45565</v>
      </c>
      <c r="C1059" s="17">
        <v>954</v>
      </c>
      <c r="D1059" s="85" t="s">
        <v>3089</v>
      </c>
      <c r="E1059" s="85" t="s">
        <v>2332</v>
      </c>
      <c r="F1059" s="85" t="s">
        <v>13</v>
      </c>
      <c r="G1059" s="17" t="s">
        <v>5</v>
      </c>
      <c r="H1059" s="14" t="s">
        <v>1744</v>
      </c>
      <c r="I1059" s="145" t="s">
        <v>3253</v>
      </c>
      <c r="J1059" s="17" t="s">
        <v>3254</v>
      </c>
      <c r="K1059" s="17" t="s">
        <v>2342</v>
      </c>
      <c r="L1059" s="17" t="s">
        <v>965</v>
      </c>
      <c r="M1059" s="16">
        <v>8135518599</v>
      </c>
      <c r="N1059" s="16">
        <v>868166057587131</v>
      </c>
      <c r="O1059" s="16" t="s">
        <v>3256</v>
      </c>
      <c r="P1059" s="17" t="s">
        <v>3255</v>
      </c>
      <c r="Q1059" s="17" t="s">
        <v>2559</v>
      </c>
      <c r="R1059" s="18">
        <v>1999.84</v>
      </c>
      <c r="S1059" s="19" t="s">
        <v>2977</v>
      </c>
      <c r="T1059" s="17"/>
      <c r="U1059" s="66"/>
    </row>
    <row r="1060" spans="2:22" s="15" customFormat="1" ht="29" x14ac:dyDescent="0.35">
      <c r="B1060" s="64">
        <v>45567</v>
      </c>
      <c r="C1060" s="17">
        <v>955</v>
      </c>
      <c r="D1060" s="36" t="s">
        <v>2357</v>
      </c>
      <c r="E1060" s="85" t="s">
        <v>2358</v>
      </c>
      <c r="F1060" s="85" t="s">
        <v>13</v>
      </c>
      <c r="G1060" s="17" t="s">
        <v>5</v>
      </c>
      <c r="H1060" s="17" t="s">
        <v>2343</v>
      </c>
      <c r="I1060" s="145"/>
      <c r="J1060" s="17" t="s">
        <v>2344</v>
      </c>
      <c r="K1060" s="17" t="s">
        <v>2345</v>
      </c>
      <c r="L1060" s="17" t="s">
        <v>965</v>
      </c>
      <c r="M1060" s="16">
        <v>8134058862</v>
      </c>
      <c r="N1060" s="16">
        <v>868166057585168</v>
      </c>
      <c r="O1060" s="16"/>
      <c r="P1060" s="17" t="s">
        <v>2346</v>
      </c>
      <c r="Q1060" s="14" t="s">
        <v>8</v>
      </c>
      <c r="R1060" s="18">
        <v>1999.84</v>
      </c>
      <c r="S1060" s="19" t="s">
        <v>2612</v>
      </c>
      <c r="T1060" s="17"/>
      <c r="U1060" s="66"/>
    </row>
    <row r="1061" spans="2:22" s="15" customFormat="1" ht="29" x14ac:dyDescent="0.35">
      <c r="B1061" s="64">
        <v>45567</v>
      </c>
      <c r="C1061" s="17">
        <v>956</v>
      </c>
      <c r="D1061" s="85" t="s">
        <v>39</v>
      </c>
      <c r="E1061" s="85" t="s">
        <v>39</v>
      </c>
      <c r="F1061" s="85" t="s">
        <v>1648</v>
      </c>
      <c r="G1061" s="17" t="s">
        <v>5</v>
      </c>
      <c r="H1061" s="17" t="s">
        <v>2335</v>
      </c>
      <c r="I1061" s="145"/>
      <c r="J1061" s="17" t="s">
        <v>2334</v>
      </c>
      <c r="K1061" s="17" t="s">
        <v>2336</v>
      </c>
      <c r="L1061" s="17" t="s">
        <v>39</v>
      </c>
      <c r="M1061" s="16" t="s">
        <v>39</v>
      </c>
      <c r="N1061" s="16" t="s">
        <v>39</v>
      </c>
      <c r="O1061" s="16"/>
      <c r="P1061" s="17" t="s">
        <v>39</v>
      </c>
      <c r="Q1061" s="14" t="s">
        <v>39</v>
      </c>
      <c r="R1061" s="18">
        <v>0</v>
      </c>
      <c r="S1061" s="19">
        <v>0</v>
      </c>
      <c r="T1061" s="17"/>
      <c r="U1061" s="66"/>
    </row>
    <row r="1062" spans="2:22" s="15" customFormat="1" ht="29" x14ac:dyDescent="0.35">
      <c r="B1062" s="64">
        <v>45567</v>
      </c>
      <c r="C1062" s="17">
        <v>957</v>
      </c>
      <c r="D1062" s="85" t="s">
        <v>39</v>
      </c>
      <c r="E1062" s="85" t="s">
        <v>39</v>
      </c>
      <c r="F1062" s="85" t="s">
        <v>1648</v>
      </c>
      <c r="G1062" s="17" t="s">
        <v>5</v>
      </c>
      <c r="H1062" s="17" t="s">
        <v>2335</v>
      </c>
      <c r="I1062" s="145"/>
      <c r="J1062" s="17" t="s">
        <v>2334</v>
      </c>
      <c r="K1062" s="17" t="s">
        <v>2337</v>
      </c>
      <c r="L1062" s="17" t="s">
        <v>39</v>
      </c>
      <c r="M1062" s="16" t="s">
        <v>39</v>
      </c>
      <c r="N1062" s="16" t="s">
        <v>39</v>
      </c>
      <c r="O1062" s="16"/>
      <c r="P1062" s="17" t="s">
        <v>39</v>
      </c>
      <c r="Q1062" s="14" t="s">
        <v>39</v>
      </c>
      <c r="R1062" s="18">
        <v>0</v>
      </c>
      <c r="S1062" s="19">
        <v>0</v>
      </c>
      <c r="T1062" s="17"/>
      <c r="U1062" s="66"/>
    </row>
    <row r="1063" spans="2:22" s="15" customFormat="1" ht="29" x14ac:dyDescent="0.35">
      <c r="B1063" s="64">
        <v>45570</v>
      </c>
      <c r="C1063" s="17">
        <v>958</v>
      </c>
      <c r="D1063" s="85"/>
      <c r="E1063" s="85" t="s">
        <v>2347</v>
      </c>
      <c r="F1063" s="85"/>
      <c r="G1063" s="17" t="s">
        <v>1805</v>
      </c>
      <c r="H1063" s="17"/>
      <c r="I1063" s="145"/>
      <c r="J1063" s="17"/>
      <c r="K1063" s="17"/>
      <c r="L1063" s="17" t="s">
        <v>965</v>
      </c>
      <c r="M1063" s="16"/>
      <c r="N1063" s="16"/>
      <c r="O1063" s="16"/>
      <c r="P1063" s="17"/>
      <c r="Q1063" s="17" t="s">
        <v>2338</v>
      </c>
      <c r="R1063" s="18"/>
      <c r="S1063" s="19">
        <v>0</v>
      </c>
      <c r="T1063" s="17"/>
      <c r="U1063" s="66"/>
    </row>
    <row r="1064" spans="2:22" s="15" customFormat="1" ht="43.5" x14ac:dyDescent="0.35">
      <c r="B1064" s="64">
        <v>45573</v>
      </c>
      <c r="C1064" s="17">
        <v>959</v>
      </c>
      <c r="D1064" s="85">
        <v>756</v>
      </c>
      <c r="E1064" s="85" t="s">
        <v>2348</v>
      </c>
      <c r="F1064" s="85" t="s">
        <v>13</v>
      </c>
      <c r="G1064" s="17" t="s">
        <v>5</v>
      </c>
      <c r="H1064" s="14" t="s">
        <v>1744</v>
      </c>
      <c r="I1064" s="145"/>
      <c r="J1064" s="17" t="s">
        <v>2349</v>
      </c>
      <c r="K1064" s="17" t="s">
        <v>2351</v>
      </c>
      <c r="L1064" s="17" t="s">
        <v>965</v>
      </c>
      <c r="M1064" s="16">
        <v>8126311169</v>
      </c>
      <c r="N1064" s="16">
        <v>869220041852504</v>
      </c>
      <c r="O1064" s="16"/>
      <c r="P1064" s="17" t="s">
        <v>2352</v>
      </c>
      <c r="Q1064" s="14" t="s">
        <v>8</v>
      </c>
      <c r="R1064" s="18">
        <v>1999.84</v>
      </c>
      <c r="S1064" s="19">
        <v>174</v>
      </c>
      <c r="T1064" s="17"/>
      <c r="U1064" s="66"/>
    </row>
    <row r="1065" spans="2:22" s="15" customFormat="1" ht="29" x14ac:dyDescent="0.35">
      <c r="B1065" s="64">
        <v>45573</v>
      </c>
      <c r="C1065" s="17">
        <v>960</v>
      </c>
      <c r="D1065" s="85">
        <v>757</v>
      </c>
      <c r="E1065" s="85" t="s">
        <v>2348</v>
      </c>
      <c r="F1065" s="85" t="s">
        <v>13</v>
      </c>
      <c r="G1065" s="17" t="s">
        <v>5</v>
      </c>
      <c r="H1065" s="14" t="s">
        <v>1744</v>
      </c>
      <c r="I1065" s="145"/>
      <c r="J1065" s="17" t="s">
        <v>2350</v>
      </c>
      <c r="K1065" s="17" t="s">
        <v>2353</v>
      </c>
      <c r="L1065" s="17" t="s">
        <v>965</v>
      </c>
      <c r="M1065" s="16">
        <v>8184662855</v>
      </c>
      <c r="N1065" s="16">
        <v>868166059177469</v>
      </c>
      <c r="O1065" s="16"/>
      <c r="P1065" s="17"/>
      <c r="Q1065" s="14" t="s">
        <v>8</v>
      </c>
      <c r="R1065" s="18">
        <v>1999.84</v>
      </c>
      <c r="S1065" s="19">
        <v>174</v>
      </c>
      <c r="T1065" s="17"/>
      <c r="U1065" s="66"/>
    </row>
    <row r="1066" spans="2:22" s="15" customFormat="1" ht="29" x14ac:dyDescent="0.35">
      <c r="B1066" s="64">
        <v>45575</v>
      </c>
      <c r="C1066" s="17">
        <v>961</v>
      </c>
      <c r="D1066" s="74" t="s">
        <v>5060</v>
      </c>
      <c r="E1066" s="85" t="s">
        <v>2354</v>
      </c>
      <c r="F1066" s="85" t="s">
        <v>13</v>
      </c>
      <c r="G1066" s="17" t="s">
        <v>5</v>
      </c>
      <c r="H1066" s="14" t="s">
        <v>1744</v>
      </c>
      <c r="I1066" s="145" t="s">
        <v>4619</v>
      </c>
      <c r="J1066" s="17" t="s">
        <v>5186</v>
      </c>
      <c r="K1066" s="17" t="s">
        <v>2355</v>
      </c>
      <c r="L1066" s="17" t="s">
        <v>965</v>
      </c>
      <c r="M1066" s="16">
        <v>8135514822</v>
      </c>
      <c r="N1066" s="16">
        <v>869220041853874</v>
      </c>
      <c r="O1066" s="16" t="s">
        <v>39</v>
      </c>
      <c r="P1066" s="17" t="s">
        <v>2356</v>
      </c>
      <c r="Q1066" s="14" t="s">
        <v>8</v>
      </c>
      <c r="R1066" s="18">
        <v>1999.84</v>
      </c>
      <c r="S1066" s="19" t="s">
        <v>5002</v>
      </c>
      <c r="T1066" s="17"/>
      <c r="U1066" s="66"/>
    </row>
    <row r="1067" spans="2:22" s="15" customFormat="1" ht="29" x14ac:dyDescent="0.35">
      <c r="B1067" s="64">
        <v>45581</v>
      </c>
      <c r="C1067" s="17">
        <v>962</v>
      </c>
      <c r="D1067" s="36" t="s">
        <v>2359</v>
      </c>
      <c r="E1067" s="85" t="s">
        <v>2358</v>
      </c>
      <c r="F1067" s="85" t="s">
        <v>6</v>
      </c>
      <c r="G1067" s="17" t="s">
        <v>5</v>
      </c>
      <c r="H1067" s="17" t="s">
        <v>2360</v>
      </c>
      <c r="I1067" s="145">
        <v>0.70833333333333337</v>
      </c>
      <c r="J1067" s="17" t="s">
        <v>4253</v>
      </c>
      <c r="K1067" s="17" t="s">
        <v>2361</v>
      </c>
      <c r="L1067" s="17" t="s">
        <v>965</v>
      </c>
      <c r="M1067" s="16">
        <v>8134058862</v>
      </c>
      <c r="N1067" s="16">
        <v>868166057585168</v>
      </c>
      <c r="O1067" s="16"/>
      <c r="P1067" s="17" t="s">
        <v>2346</v>
      </c>
      <c r="Q1067" s="14" t="s">
        <v>8</v>
      </c>
      <c r="R1067" s="18">
        <v>754</v>
      </c>
      <c r="S1067" s="19" t="s">
        <v>2612</v>
      </c>
      <c r="T1067" s="17"/>
      <c r="U1067" s="66"/>
      <c r="V1067" s="15" t="s">
        <v>2362</v>
      </c>
    </row>
    <row r="1068" spans="2:22" s="15" customFormat="1" ht="29" x14ac:dyDescent="0.35">
      <c r="B1068" s="64">
        <v>45582</v>
      </c>
      <c r="C1068" s="17">
        <v>963</v>
      </c>
      <c r="D1068" s="85" t="s">
        <v>4919</v>
      </c>
      <c r="E1068" s="85" t="s">
        <v>2363</v>
      </c>
      <c r="F1068" s="85" t="s">
        <v>13</v>
      </c>
      <c r="G1068" s="17" t="s">
        <v>5</v>
      </c>
      <c r="H1068" s="17" t="s">
        <v>2364</v>
      </c>
      <c r="I1068" s="145">
        <v>0.375</v>
      </c>
      <c r="J1068" s="17" t="s">
        <v>4249</v>
      </c>
      <c r="K1068" s="17" t="s">
        <v>2365</v>
      </c>
      <c r="L1068" s="17" t="s">
        <v>965</v>
      </c>
      <c r="M1068" s="37">
        <v>8120013086</v>
      </c>
      <c r="N1068" s="38">
        <v>865011034398231</v>
      </c>
      <c r="O1068" s="16" t="s">
        <v>4939</v>
      </c>
      <c r="P1068" s="17" t="s">
        <v>4938</v>
      </c>
      <c r="Q1068" s="14" t="s">
        <v>8</v>
      </c>
      <c r="R1068" s="18">
        <v>1999.84</v>
      </c>
      <c r="S1068" s="19" t="s">
        <v>4912</v>
      </c>
      <c r="T1068" s="17"/>
      <c r="U1068" s="66"/>
    </row>
    <row r="1069" spans="2:22" s="15" customFormat="1" ht="29" x14ac:dyDescent="0.35">
      <c r="B1069" s="64">
        <v>45586</v>
      </c>
      <c r="C1069" s="17">
        <v>964</v>
      </c>
      <c r="D1069" s="85" t="s">
        <v>3091</v>
      </c>
      <c r="E1069" s="85" t="s">
        <v>2366</v>
      </c>
      <c r="F1069" s="85" t="s">
        <v>138</v>
      </c>
      <c r="G1069" s="17" t="s">
        <v>5</v>
      </c>
      <c r="H1069" s="14" t="s">
        <v>1744</v>
      </c>
      <c r="I1069" s="145">
        <v>0.625</v>
      </c>
      <c r="J1069" s="17" t="s">
        <v>3257</v>
      </c>
      <c r="K1069" s="17" t="s">
        <v>2934</v>
      </c>
      <c r="L1069" s="17" t="s">
        <v>965</v>
      </c>
      <c r="M1069" s="16">
        <v>8124185901</v>
      </c>
      <c r="N1069" s="16">
        <v>868166059177410</v>
      </c>
      <c r="O1069" s="16" t="s">
        <v>3259</v>
      </c>
      <c r="P1069" s="17" t="s">
        <v>3258</v>
      </c>
      <c r="Q1069" s="17" t="s">
        <v>2559</v>
      </c>
      <c r="R1069" s="18">
        <v>1999.84</v>
      </c>
      <c r="S1069" s="19" t="s">
        <v>2977</v>
      </c>
      <c r="T1069" s="17"/>
      <c r="U1069" s="66"/>
    </row>
    <row r="1070" spans="2:22" s="15" customFormat="1" ht="29" x14ac:dyDescent="0.35">
      <c r="B1070" s="64">
        <v>45586</v>
      </c>
      <c r="C1070" s="17">
        <v>965</v>
      </c>
      <c r="D1070" s="85">
        <v>761</v>
      </c>
      <c r="E1070" s="85" t="s">
        <v>2366</v>
      </c>
      <c r="F1070" s="85" t="s">
        <v>13</v>
      </c>
      <c r="G1070" s="17" t="s">
        <v>5</v>
      </c>
      <c r="H1070" s="17" t="s">
        <v>2367</v>
      </c>
      <c r="I1070" s="145">
        <v>0.70833333333333337</v>
      </c>
      <c r="J1070" s="17" t="s">
        <v>4250</v>
      </c>
      <c r="K1070" s="17" t="s">
        <v>2368</v>
      </c>
      <c r="L1070" s="17" t="s">
        <v>965</v>
      </c>
      <c r="M1070" s="16">
        <v>8331832347</v>
      </c>
      <c r="N1070" s="16">
        <v>869220041857255</v>
      </c>
      <c r="O1070" s="16"/>
      <c r="P1070" s="17" t="s">
        <v>2369</v>
      </c>
      <c r="Q1070" s="14" t="s">
        <v>8</v>
      </c>
      <c r="R1070" s="18">
        <v>1999.84</v>
      </c>
      <c r="S1070" s="19">
        <v>174</v>
      </c>
      <c r="T1070" s="17"/>
      <c r="U1070" s="66"/>
    </row>
    <row r="1071" spans="2:22" s="15" customFormat="1" ht="29" x14ac:dyDescent="0.35">
      <c r="B1071" s="64">
        <v>45590</v>
      </c>
      <c r="C1071" s="17">
        <v>966</v>
      </c>
      <c r="D1071" s="85" t="s">
        <v>4142</v>
      </c>
      <c r="E1071" s="85" t="s">
        <v>2370</v>
      </c>
      <c r="F1071" s="85" t="s">
        <v>13</v>
      </c>
      <c r="G1071" s="17" t="s">
        <v>5</v>
      </c>
      <c r="H1071" s="14" t="s">
        <v>1744</v>
      </c>
      <c r="I1071" s="145">
        <v>0.52083333333333337</v>
      </c>
      <c r="J1071" s="17" t="s">
        <v>4164</v>
      </c>
      <c r="K1071" s="17" t="s">
        <v>2371</v>
      </c>
      <c r="L1071" s="17" t="s">
        <v>2</v>
      </c>
      <c r="M1071" s="16">
        <v>8331830193</v>
      </c>
      <c r="N1071" s="16">
        <v>869220041854211</v>
      </c>
      <c r="O1071" s="16" t="s">
        <v>39</v>
      </c>
      <c r="P1071" s="17" t="s">
        <v>2372</v>
      </c>
      <c r="Q1071" s="17" t="s">
        <v>2559</v>
      </c>
      <c r="R1071" s="18">
        <v>1999.84</v>
      </c>
      <c r="S1071" s="19" t="s">
        <v>4147</v>
      </c>
      <c r="T1071" s="17"/>
      <c r="U1071" s="66"/>
    </row>
    <row r="1072" spans="2:22" s="15" customFormat="1" ht="29" x14ac:dyDescent="0.35">
      <c r="B1072" s="64">
        <v>45591</v>
      </c>
      <c r="C1072" s="17">
        <v>967</v>
      </c>
      <c r="D1072" s="85" t="s">
        <v>4789</v>
      </c>
      <c r="E1072" s="85" t="s">
        <v>3233</v>
      </c>
      <c r="F1072" s="85" t="s">
        <v>13</v>
      </c>
      <c r="G1072" s="17" t="s">
        <v>5</v>
      </c>
      <c r="H1072" s="14" t="s">
        <v>3234</v>
      </c>
      <c r="I1072" s="145">
        <v>0.375</v>
      </c>
      <c r="J1072" s="17" t="s">
        <v>3235</v>
      </c>
      <c r="K1072" s="17" t="s">
        <v>3236</v>
      </c>
      <c r="L1072" s="17" t="s">
        <v>965</v>
      </c>
      <c r="M1072" s="16">
        <v>8331543228</v>
      </c>
      <c r="N1072" s="16">
        <v>869220041856596</v>
      </c>
      <c r="O1072" s="16" t="s">
        <v>3237</v>
      </c>
      <c r="P1072" s="17" t="s">
        <v>3238</v>
      </c>
      <c r="Q1072" s="17" t="s">
        <v>2559</v>
      </c>
      <c r="R1072" s="18">
        <v>1999.84</v>
      </c>
      <c r="S1072" s="19" t="s">
        <v>4776</v>
      </c>
      <c r="T1072" s="17"/>
      <c r="U1072" s="66"/>
    </row>
    <row r="1073" spans="2:21" s="15" customFormat="1" ht="29" x14ac:dyDescent="0.35">
      <c r="B1073" s="64">
        <v>45601</v>
      </c>
      <c r="C1073" s="17">
        <v>967</v>
      </c>
      <c r="D1073" s="85" t="s">
        <v>4789</v>
      </c>
      <c r="E1073" s="85" t="s">
        <v>2373</v>
      </c>
      <c r="F1073" s="85" t="s">
        <v>13</v>
      </c>
      <c r="G1073" s="17" t="s">
        <v>1805</v>
      </c>
      <c r="H1073" s="17" t="s">
        <v>2374</v>
      </c>
      <c r="I1073" s="145">
        <v>0.5</v>
      </c>
      <c r="J1073" s="17" t="s">
        <v>26</v>
      </c>
      <c r="K1073" s="17" t="s">
        <v>2375</v>
      </c>
      <c r="L1073" s="17" t="s">
        <v>2</v>
      </c>
      <c r="M1073" s="16">
        <v>8331544294</v>
      </c>
      <c r="N1073" s="16">
        <v>869706060877182</v>
      </c>
      <c r="O1073" s="16" t="s">
        <v>4808</v>
      </c>
      <c r="P1073" s="17" t="s">
        <v>4807</v>
      </c>
      <c r="Q1073" s="17" t="s">
        <v>2559</v>
      </c>
      <c r="R1073" s="18">
        <v>1999.84</v>
      </c>
      <c r="S1073" s="19" t="s">
        <v>4776</v>
      </c>
      <c r="T1073" s="17"/>
      <c r="U1073" s="66"/>
    </row>
    <row r="1074" spans="2:21" s="15" customFormat="1" ht="29" x14ac:dyDescent="0.35">
      <c r="B1074" s="64">
        <v>45604</v>
      </c>
      <c r="C1074" s="17">
        <v>968</v>
      </c>
      <c r="D1074" s="74" t="s">
        <v>5061</v>
      </c>
      <c r="E1074" s="85" t="s">
        <v>2376</v>
      </c>
      <c r="F1074" s="85" t="s">
        <v>13</v>
      </c>
      <c r="G1074" s="17" t="s">
        <v>5</v>
      </c>
      <c r="H1074" s="17" t="s">
        <v>2377</v>
      </c>
      <c r="I1074" s="145" t="s">
        <v>4251</v>
      </c>
      <c r="J1074" s="17" t="s">
        <v>4252</v>
      </c>
      <c r="K1074" s="17" t="s">
        <v>2378</v>
      </c>
      <c r="L1074" s="17" t="s">
        <v>2</v>
      </c>
      <c r="M1074" s="16">
        <v>8331886463</v>
      </c>
      <c r="N1074" s="16">
        <v>869706060877232</v>
      </c>
      <c r="O1074" s="16" t="s">
        <v>5188</v>
      </c>
      <c r="P1074" s="17" t="s">
        <v>5187</v>
      </c>
      <c r="Q1074" s="14" t="s">
        <v>8</v>
      </c>
      <c r="R1074" s="18">
        <v>1999.84</v>
      </c>
      <c r="S1074" s="19" t="s">
        <v>5002</v>
      </c>
      <c r="T1074" s="17"/>
      <c r="U1074" s="66"/>
    </row>
    <row r="1075" spans="2:21" s="15" customFormat="1" ht="29" x14ac:dyDescent="0.35">
      <c r="B1075" s="64">
        <v>45604</v>
      </c>
      <c r="C1075" s="17">
        <v>969</v>
      </c>
      <c r="D1075" s="85" t="s">
        <v>3095</v>
      </c>
      <c r="E1075" s="85" t="s">
        <v>2376</v>
      </c>
      <c r="F1075" s="85" t="s">
        <v>13</v>
      </c>
      <c r="G1075" s="17" t="s">
        <v>5</v>
      </c>
      <c r="H1075" s="14" t="s">
        <v>1744</v>
      </c>
      <c r="I1075" s="145" t="s">
        <v>3253</v>
      </c>
      <c r="J1075" s="17" t="s">
        <v>3260</v>
      </c>
      <c r="K1075" s="17" t="s">
        <v>2379</v>
      </c>
      <c r="L1075" s="17" t="s">
        <v>2</v>
      </c>
      <c r="M1075" s="16">
        <v>8331891170</v>
      </c>
      <c r="N1075" s="16">
        <v>869706060881275</v>
      </c>
      <c r="O1075" s="16" t="s">
        <v>3262</v>
      </c>
      <c r="P1075" s="17" t="s">
        <v>3261</v>
      </c>
      <c r="Q1075" s="17" t="s">
        <v>2559</v>
      </c>
      <c r="R1075" s="18">
        <v>1999.84</v>
      </c>
      <c r="S1075" s="19" t="s">
        <v>2977</v>
      </c>
      <c r="T1075" s="17"/>
      <c r="U1075" s="66"/>
    </row>
    <row r="1076" spans="2:21" s="15" customFormat="1" ht="29" x14ac:dyDescent="0.35">
      <c r="B1076" s="64">
        <v>45608</v>
      </c>
      <c r="C1076" s="17">
        <v>970</v>
      </c>
      <c r="D1076" s="85" t="s">
        <v>3093</v>
      </c>
      <c r="E1076" s="85" t="s">
        <v>2380</v>
      </c>
      <c r="F1076" s="85" t="s">
        <v>13</v>
      </c>
      <c r="G1076" s="17" t="s">
        <v>5</v>
      </c>
      <c r="H1076" s="14" t="s">
        <v>1744</v>
      </c>
      <c r="I1076" s="145">
        <v>0.5</v>
      </c>
      <c r="J1076" s="17" t="s">
        <v>3263</v>
      </c>
      <c r="K1076" s="17" t="s">
        <v>2381</v>
      </c>
      <c r="L1076" s="17" t="s">
        <v>965</v>
      </c>
      <c r="M1076" s="16">
        <v>8331894968</v>
      </c>
      <c r="N1076" s="16">
        <v>869706060882810</v>
      </c>
      <c r="O1076" s="16" t="s">
        <v>39</v>
      </c>
      <c r="P1076" s="116" t="s">
        <v>2938</v>
      </c>
      <c r="Q1076" s="17" t="s">
        <v>2559</v>
      </c>
      <c r="R1076" s="18">
        <v>1999.84</v>
      </c>
      <c r="S1076" s="19" t="s">
        <v>2977</v>
      </c>
      <c r="T1076" s="17"/>
      <c r="U1076" s="66"/>
    </row>
    <row r="1077" spans="2:21" s="15" customFormat="1" ht="29" x14ac:dyDescent="0.35">
      <c r="B1077" s="64">
        <v>45608</v>
      </c>
      <c r="C1077" s="17">
        <v>971</v>
      </c>
      <c r="D1077" s="85" t="s">
        <v>4061</v>
      </c>
      <c r="E1077" s="85" t="s">
        <v>2380</v>
      </c>
      <c r="F1077" s="85" t="s">
        <v>13</v>
      </c>
      <c r="G1077" s="17" t="s">
        <v>5</v>
      </c>
      <c r="H1077" s="14" t="s">
        <v>1744</v>
      </c>
      <c r="I1077" s="145">
        <v>0.5625</v>
      </c>
      <c r="J1077" s="17" t="s">
        <v>4254</v>
      </c>
      <c r="K1077" s="17" t="s">
        <v>2382</v>
      </c>
      <c r="L1077" s="17" t="s">
        <v>965</v>
      </c>
      <c r="M1077" s="16">
        <v>8331894863</v>
      </c>
      <c r="N1077" s="16">
        <v>869706060882836</v>
      </c>
      <c r="O1077" s="16" t="s">
        <v>39</v>
      </c>
      <c r="P1077" s="17" t="s">
        <v>2383</v>
      </c>
      <c r="Q1077" s="17" t="s">
        <v>4174</v>
      </c>
      <c r="R1077" s="18">
        <v>1999.84</v>
      </c>
      <c r="S1077" s="19" t="s">
        <v>3584</v>
      </c>
      <c r="T1077" s="17"/>
      <c r="U1077" s="66"/>
    </row>
    <row r="1078" spans="2:21" s="15" customFormat="1" ht="29" x14ac:dyDescent="0.35">
      <c r="B1078" s="64">
        <v>45611</v>
      </c>
      <c r="C1078" s="17">
        <v>972</v>
      </c>
      <c r="D1078" s="85" t="s">
        <v>5243</v>
      </c>
      <c r="E1078" s="85" t="s">
        <v>2384</v>
      </c>
      <c r="F1078" s="85" t="s">
        <v>13</v>
      </c>
      <c r="G1078" s="17" t="s">
        <v>5</v>
      </c>
      <c r="H1078" s="14" t="s">
        <v>1744</v>
      </c>
      <c r="I1078" s="145" t="s">
        <v>4277</v>
      </c>
      <c r="J1078" s="17" t="s">
        <v>5250</v>
      </c>
      <c r="K1078" s="17" t="s">
        <v>2386</v>
      </c>
      <c r="L1078" s="17" t="s">
        <v>965</v>
      </c>
      <c r="M1078" s="16">
        <v>8331894441</v>
      </c>
      <c r="N1078" s="16">
        <v>869706060882802</v>
      </c>
      <c r="O1078" s="16" t="s">
        <v>39</v>
      </c>
      <c r="P1078" s="17" t="s">
        <v>2387</v>
      </c>
      <c r="Q1078" s="14" t="s">
        <v>8</v>
      </c>
      <c r="R1078" s="18">
        <v>1999.84</v>
      </c>
      <c r="S1078" s="19" t="s">
        <v>5240</v>
      </c>
      <c r="T1078" s="17"/>
      <c r="U1078" s="66"/>
    </row>
    <row r="1079" spans="2:21" s="15" customFormat="1" ht="43.5" x14ac:dyDescent="0.35">
      <c r="B1079" s="64">
        <v>45611</v>
      </c>
      <c r="C1079" s="17">
        <v>973</v>
      </c>
      <c r="D1079" s="36" t="s">
        <v>39</v>
      </c>
      <c r="E1079" s="36" t="s">
        <v>39</v>
      </c>
      <c r="F1079" s="85" t="s">
        <v>40</v>
      </c>
      <c r="G1079" s="17" t="s">
        <v>5</v>
      </c>
      <c r="H1079" s="14" t="s">
        <v>1744</v>
      </c>
      <c r="I1079" s="145"/>
      <c r="J1079" s="17" t="s">
        <v>2385</v>
      </c>
      <c r="K1079" s="17" t="s">
        <v>2388</v>
      </c>
      <c r="L1079" s="17" t="s">
        <v>965</v>
      </c>
      <c r="M1079" s="16" t="s">
        <v>39</v>
      </c>
      <c r="N1079" s="16" t="s">
        <v>39</v>
      </c>
      <c r="O1079" s="16"/>
      <c r="P1079" s="17" t="s">
        <v>39</v>
      </c>
      <c r="Q1079" s="17" t="s">
        <v>2389</v>
      </c>
      <c r="R1079" s="18">
        <f>250*0.16+250</f>
        <v>290</v>
      </c>
      <c r="S1079" s="19">
        <v>0</v>
      </c>
      <c r="T1079" s="17"/>
      <c r="U1079" s="66"/>
    </row>
    <row r="1080" spans="2:21" s="15" customFormat="1" ht="29" x14ac:dyDescent="0.35">
      <c r="B1080" s="64">
        <v>45612</v>
      </c>
      <c r="C1080" s="17">
        <v>974</v>
      </c>
      <c r="D1080" s="85">
        <v>769</v>
      </c>
      <c r="E1080" s="85" t="s">
        <v>2390</v>
      </c>
      <c r="F1080" s="85" t="s">
        <v>13</v>
      </c>
      <c r="G1080" s="17" t="s">
        <v>5</v>
      </c>
      <c r="H1080" s="17" t="s">
        <v>2391</v>
      </c>
      <c r="I1080" s="145"/>
      <c r="J1080" s="17" t="s">
        <v>2392</v>
      </c>
      <c r="K1080" s="17" t="s">
        <v>2394</v>
      </c>
      <c r="L1080" s="17" t="s">
        <v>965</v>
      </c>
      <c r="M1080" s="16">
        <v>8331894280</v>
      </c>
      <c r="N1080" s="16">
        <v>869706060882828</v>
      </c>
      <c r="O1080" s="16"/>
      <c r="P1080" s="17" t="s">
        <v>2393</v>
      </c>
      <c r="Q1080" s="14" t="s">
        <v>8</v>
      </c>
      <c r="R1080" s="18">
        <v>1999.84</v>
      </c>
      <c r="S1080" s="19">
        <v>174</v>
      </c>
      <c r="T1080" s="17"/>
      <c r="U1080" s="66"/>
    </row>
    <row r="1081" spans="2:21" s="15" customFormat="1" ht="29" x14ac:dyDescent="0.35">
      <c r="B1081" s="64">
        <v>45612</v>
      </c>
      <c r="C1081" s="17">
        <v>975</v>
      </c>
      <c r="D1081" s="85">
        <v>770</v>
      </c>
      <c r="E1081" s="85" t="s">
        <v>2390</v>
      </c>
      <c r="F1081" s="85" t="s">
        <v>13</v>
      </c>
      <c r="G1081" s="17" t="s">
        <v>5</v>
      </c>
      <c r="H1081" s="14" t="s">
        <v>1744</v>
      </c>
      <c r="I1081" s="145"/>
      <c r="J1081" s="17" t="s">
        <v>2395</v>
      </c>
      <c r="K1081" s="17" t="s">
        <v>2396</v>
      </c>
      <c r="L1081" s="17" t="s">
        <v>965</v>
      </c>
      <c r="M1081" s="16">
        <v>8331892629</v>
      </c>
      <c r="N1081" s="16">
        <v>869706060881523</v>
      </c>
      <c r="O1081" s="16"/>
      <c r="P1081" s="17"/>
      <c r="Q1081" s="14" t="s">
        <v>8</v>
      </c>
      <c r="R1081" s="18">
        <v>1999.84</v>
      </c>
      <c r="S1081" s="19">
        <v>174</v>
      </c>
      <c r="T1081" s="17"/>
      <c r="U1081" s="66"/>
    </row>
    <row r="1082" spans="2:21" s="15" customFormat="1" ht="29" x14ac:dyDescent="0.35">
      <c r="B1082" s="64">
        <v>45616</v>
      </c>
      <c r="C1082" s="17">
        <v>976</v>
      </c>
      <c r="D1082" s="74" t="s">
        <v>5062</v>
      </c>
      <c r="E1082" s="85" t="s">
        <v>2397</v>
      </c>
      <c r="F1082" s="85" t="s">
        <v>13</v>
      </c>
      <c r="G1082" s="17" t="s">
        <v>5</v>
      </c>
      <c r="H1082" s="17" t="s">
        <v>2398</v>
      </c>
      <c r="I1082" s="145" t="s">
        <v>39</v>
      </c>
      <c r="J1082" s="17" t="s">
        <v>5189</v>
      </c>
      <c r="K1082" s="17" t="s">
        <v>2399</v>
      </c>
      <c r="L1082" s="17" t="s">
        <v>965</v>
      </c>
      <c r="M1082" s="16">
        <v>8331853798</v>
      </c>
      <c r="N1082" s="16">
        <v>869706060881358</v>
      </c>
      <c r="O1082" s="16" t="s">
        <v>5190</v>
      </c>
      <c r="P1082" s="17" t="s">
        <v>5191</v>
      </c>
      <c r="Q1082" s="14" t="s">
        <v>8</v>
      </c>
      <c r="R1082" s="18">
        <v>1999.84</v>
      </c>
      <c r="S1082" s="19" t="s">
        <v>5002</v>
      </c>
      <c r="T1082" s="17"/>
      <c r="U1082" s="66"/>
    </row>
    <row r="1083" spans="2:21" s="15" customFormat="1" ht="43.5" x14ac:dyDescent="0.35">
      <c r="B1083" s="64">
        <v>45617</v>
      </c>
      <c r="C1083" s="17">
        <v>977</v>
      </c>
      <c r="D1083" s="85">
        <v>772</v>
      </c>
      <c r="E1083" s="85" t="s">
        <v>2400</v>
      </c>
      <c r="F1083" s="85" t="s">
        <v>13</v>
      </c>
      <c r="G1083" s="17" t="s">
        <v>5</v>
      </c>
      <c r="H1083" s="14" t="s">
        <v>1744</v>
      </c>
      <c r="I1083" s="145"/>
      <c r="J1083" s="17" t="s">
        <v>2401</v>
      </c>
      <c r="K1083" s="17" t="s">
        <v>2402</v>
      </c>
      <c r="L1083" s="17" t="s">
        <v>965</v>
      </c>
      <c r="M1083" s="16">
        <v>8331861222</v>
      </c>
      <c r="N1083" s="16">
        <v>869706060881366</v>
      </c>
      <c r="O1083" s="16"/>
      <c r="P1083" s="17" t="s">
        <v>2403</v>
      </c>
      <c r="Q1083" s="14" t="s">
        <v>8</v>
      </c>
      <c r="R1083" s="18">
        <v>1999.84</v>
      </c>
      <c r="S1083" s="19">
        <v>174</v>
      </c>
      <c r="T1083" s="17"/>
      <c r="U1083" s="66"/>
    </row>
    <row r="1084" spans="2:21" s="15" customFormat="1" ht="29" x14ac:dyDescent="0.35">
      <c r="B1084" s="64">
        <v>45619</v>
      </c>
      <c r="C1084" s="17">
        <v>978</v>
      </c>
      <c r="D1084" s="85" t="s">
        <v>3421</v>
      </c>
      <c r="E1084" s="85" t="s">
        <v>2404</v>
      </c>
      <c r="F1084" s="85" t="s">
        <v>13</v>
      </c>
      <c r="G1084" s="17" t="s">
        <v>5</v>
      </c>
      <c r="H1084" s="17" t="s">
        <v>2156</v>
      </c>
      <c r="I1084" s="145">
        <v>0.41666666666666669</v>
      </c>
      <c r="J1084" s="121" t="s">
        <v>3530</v>
      </c>
      <c r="K1084" s="17" t="s">
        <v>2405</v>
      </c>
      <c r="L1084" s="17" t="s">
        <v>2</v>
      </c>
      <c r="M1084" s="16">
        <v>8331861274</v>
      </c>
      <c r="N1084" s="16">
        <v>869706060881630</v>
      </c>
      <c r="O1084" s="16" t="s">
        <v>3482</v>
      </c>
      <c r="P1084" s="17" t="s">
        <v>3481</v>
      </c>
      <c r="Q1084" s="17" t="s">
        <v>2559</v>
      </c>
      <c r="R1084" s="18">
        <v>1999.84</v>
      </c>
      <c r="S1084" s="19" t="s">
        <v>3329</v>
      </c>
      <c r="T1084" s="17"/>
      <c r="U1084" s="66"/>
    </row>
    <row r="1085" spans="2:21" s="15" customFormat="1" ht="29" x14ac:dyDescent="0.35">
      <c r="B1085" s="64">
        <v>45622</v>
      </c>
      <c r="C1085" s="17">
        <v>979</v>
      </c>
      <c r="D1085" s="85">
        <v>774</v>
      </c>
      <c r="E1085" s="85" t="s">
        <v>2406</v>
      </c>
      <c r="F1085" s="85" t="s">
        <v>13</v>
      </c>
      <c r="G1085" s="17" t="s">
        <v>5</v>
      </c>
      <c r="H1085" s="17" t="s">
        <v>1802</v>
      </c>
      <c r="I1085" s="145"/>
      <c r="J1085" s="17" t="s">
        <v>2407</v>
      </c>
      <c r="K1085" s="17" t="s">
        <v>2408</v>
      </c>
      <c r="L1085" s="17" t="s">
        <v>2</v>
      </c>
      <c r="M1085" s="16">
        <v>8331861959</v>
      </c>
      <c r="N1085" s="16">
        <v>869706060882000</v>
      </c>
      <c r="O1085" s="16"/>
      <c r="P1085" s="17" t="s">
        <v>2409</v>
      </c>
      <c r="Q1085" s="14" t="s">
        <v>8</v>
      </c>
      <c r="R1085" s="18">
        <v>1999.84</v>
      </c>
      <c r="S1085" s="19">
        <v>174</v>
      </c>
      <c r="T1085" s="17"/>
      <c r="U1085" s="66"/>
    </row>
    <row r="1086" spans="2:21" s="15" customFormat="1" ht="29" x14ac:dyDescent="0.35">
      <c r="B1086" s="64">
        <v>45624</v>
      </c>
      <c r="C1086" s="17">
        <v>980</v>
      </c>
      <c r="D1086" s="85" t="s">
        <v>4920</v>
      </c>
      <c r="E1086" s="85" t="s">
        <v>2410</v>
      </c>
      <c r="F1086" s="85" t="s">
        <v>13</v>
      </c>
      <c r="G1086" s="17" t="s">
        <v>5</v>
      </c>
      <c r="H1086" s="17" t="s">
        <v>2411</v>
      </c>
      <c r="I1086" s="145" t="s">
        <v>4609</v>
      </c>
      <c r="J1086" s="17" t="s">
        <v>4940</v>
      </c>
      <c r="K1086" s="17" t="s">
        <v>2412</v>
      </c>
      <c r="L1086" s="17" t="s">
        <v>2</v>
      </c>
      <c r="M1086" s="17">
        <v>8119773919</v>
      </c>
      <c r="N1086" s="16">
        <v>869220041852082</v>
      </c>
      <c r="O1086" s="16" t="s">
        <v>4942</v>
      </c>
      <c r="P1086" s="17" t="s">
        <v>4941</v>
      </c>
      <c r="Q1086" s="14" t="s">
        <v>8</v>
      </c>
      <c r="R1086" s="18">
        <v>1999.84</v>
      </c>
      <c r="S1086" s="19" t="s">
        <v>4912</v>
      </c>
      <c r="T1086" s="17"/>
      <c r="U1086" s="66"/>
    </row>
    <row r="1087" spans="2:21" s="15" customFormat="1" ht="43.5" x14ac:dyDescent="0.35">
      <c r="B1087" s="64">
        <v>45626</v>
      </c>
      <c r="C1087" s="17">
        <v>981</v>
      </c>
      <c r="D1087" s="36" t="s">
        <v>39</v>
      </c>
      <c r="E1087" s="36" t="s">
        <v>39</v>
      </c>
      <c r="F1087" s="85" t="s">
        <v>40</v>
      </c>
      <c r="G1087" s="17" t="s">
        <v>5</v>
      </c>
      <c r="H1087" s="17" t="s">
        <v>2413</v>
      </c>
      <c r="I1087" s="145" t="s">
        <v>4107</v>
      </c>
      <c r="J1087" s="17" t="s">
        <v>4108</v>
      </c>
      <c r="K1087" s="17" t="s">
        <v>2419</v>
      </c>
      <c r="L1087" s="17" t="s">
        <v>2</v>
      </c>
      <c r="M1087" s="16"/>
      <c r="N1087" s="16"/>
      <c r="O1087" s="16"/>
      <c r="P1087" s="17"/>
      <c r="Q1087" s="14" t="s">
        <v>2416</v>
      </c>
      <c r="R1087" s="18">
        <f>250*0.16+250</f>
        <v>290</v>
      </c>
      <c r="S1087" s="19">
        <v>0</v>
      </c>
      <c r="T1087" s="17"/>
      <c r="U1087" s="66"/>
    </row>
    <row r="1088" spans="2:21" s="15" customFormat="1" ht="29" x14ac:dyDescent="0.35">
      <c r="B1088" s="64">
        <v>45629</v>
      </c>
      <c r="C1088" s="17">
        <v>982</v>
      </c>
      <c r="D1088" s="85" t="s">
        <v>5256</v>
      </c>
      <c r="E1088" s="85" t="s">
        <v>2414</v>
      </c>
      <c r="F1088" s="85" t="s">
        <v>13</v>
      </c>
      <c r="G1088" s="17" t="s">
        <v>1805</v>
      </c>
      <c r="H1088" s="17" t="s">
        <v>2415</v>
      </c>
      <c r="I1088" s="145" t="s">
        <v>5270</v>
      </c>
      <c r="J1088" s="17" t="s">
        <v>5271</v>
      </c>
      <c r="K1088" s="17" t="s">
        <v>2420</v>
      </c>
      <c r="L1088" s="17" t="s">
        <v>2</v>
      </c>
      <c r="M1088" s="16">
        <v>8128754868</v>
      </c>
      <c r="N1088" s="16">
        <v>869220041852272</v>
      </c>
      <c r="O1088" s="16" t="s">
        <v>5273</v>
      </c>
      <c r="P1088" s="17" t="s">
        <v>5272</v>
      </c>
      <c r="Q1088" s="14" t="s">
        <v>8</v>
      </c>
      <c r="R1088" s="18">
        <v>1999.84</v>
      </c>
      <c r="S1088" s="19" t="s">
        <v>5264</v>
      </c>
      <c r="T1088" s="17"/>
      <c r="U1088" s="66"/>
    </row>
    <row r="1089" spans="2:22" s="15" customFormat="1" ht="29" x14ac:dyDescent="0.35">
      <c r="B1089" s="64">
        <v>45630</v>
      </c>
      <c r="C1089" s="17">
        <v>983</v>
      </c>
      <c r="D1089" s="85">
        <v>777</v>
      </c>
      <c r="E1089" s="85" t="s">
        <v>2417</v>
      </c>
      <c r="F1089" s="85" t="s">
        <v>13</v>
      </c>
      <c r="G1089" s="17" t="s">
        <v>5</v>
      </c>
      <c r="H1089" s="14" t="s">
        <v>1744</v>
      </c>
      <c r="I1089" s="145"/>
      <c r="J1089" s="110" t="s">
        <v>2418</v>
      </c>
      <c r="K1089" s="17" t="s">
        <v>2421</v>
      </c>
      <c r="L1089" s="17" t="s">
        <v>965</v>
      </c>
      <c r="M1089" s="16">
        <v>8182800420</v>
      </c>
      <c r="N1089" s="16">
        <v>864180037542789</v>
      </c>
      <c r="O1089" s="16"/>
      <c r="P1089" s="17" t="s">
        <v>2422</v>
      </c>
      <c r="Q1089" s="14" t="s">
        <v>8</v>
      </c>
      <c r="R1089" s="18">
        <v>1999.84</v>
      </c>
      <c r="S1089" s="19">
        <v>174</v>
      </c>
      <c r="T1089" s="17"/>
      <c r="U1089" s="66"/>
    </row>
    <row r="1090" spans="2:22" s="15" customFormat="1" ht="29" x14ac:dyDescent="0.35">
      <c r="B1090" s="64">
        <v>45632</v>
      </c>
      <c r="C1090" s="17">
        <v>984</v>
      </c>
      <c r="D1090" s="85">
        <v>778</v>
      </c>
      <c r="E1090" s="85" t="s">
        <v>2423</v>
      </c>
      <c r="F1090" s="85" t="s">
        <v>13</v>
      </c>
      <c r="G1090" s="17" t="s">
        <v>5</v>
      </c>
      <c r="H1090" s="17" t="s">
        <v>2424</v>
      </c>
      <c r="I1090" s="145"/>
      <c r="J1090" s="17" t="s">
        <v>2428</v>
      </c>
      <c r="K1090" s="17" t="s">
        <v>2426</v>
      </c>
      <c r="L1090" s="17" t="s">
        <v>965</v>
      </c>
      <c r="M1090" s="16">
        <v>8331892521</v>
      </c>
      <c r="N1090" s="16">
        <v>869706060879956</v>
      </c>
      <c r="O1090" s="16"/>
      <c r="P1090" s="17" t="s">
        <v>2427</v>
      </c>
      <c r="Q1090" s="14" t="s">
        <v>8</v>
      </c>
      <c r="R1090" s="18">
        <v>1999.84</v>
      </c>
      <c r="S1090" s="19">
        <v>174</v>
      </c>
      <c r="T1090" s="17"/>
      <c r="U1090" s="66"/>
    </row>
    <row r="1091" spans="2:22" s="15" customFormat="1" ht="43.5" x14ac:dyDescent="0.35">
      <c r="B1091" s="64">
        <v>45633</v>
      </c>
      <c r="C1091" s="17">
        <v>985</v>
      </c>
      <c r="D1091" s="36" t="s">
        <v>2433</v>
      </c>
      <c r="E1091" s="85" t="s">
        <v>2425</v>
      </c>
      <c r="F1091" s="85" t="s">
        <v>6</v>
      </c>
      <c r="G1091" s="17" t="s">
        <v>5</v>
      </c>
      <c r="H1091" s="17" t="s">
        <v>2430</v>
      </c>
      <c r="I1091" s="145"/>
      <c r="J1091" s="17" t="s">
        <v>2429</v>
      </c>
      <c r="K1091" s="17" t="s">
        <v>1399</v>
      </c>
      <c r="L1091" s="17" t="s">
        <v>2</v>
      </c>
      <c r="M1091" s="16">
        <v>8182554777</v>
      </c>
      <c r="N1091" s="16">
        <v>868166053312070</v>
      </c>
      <c r="O1091" s="16"/>
      <c r="P1091" s="17" t="s">
        <v>2431</v>
      </c>
      <c r="Q1091" s="17" t="s">
        <v>2432</v>
      </c>
      <c r="R1091" s="18">
        <v>754</v>
      </c>
      <c r="S1091" s="19" t="s">
        <v>2434</v>
      </c>
      <c r="T1091" s="17"/>
      <c r="U1091" s="66"/>
      <c r="V1091" s="15" t="s">
        <v>2467</v>
      </c>
    </row>
    <row r="1092" spans="2:22" s="15" customFormat="1" ht="43.5" x14ac:dyDescent="0.35">
      <c r="B1092" s="64">
        <v>45635</v>
      </c>
      <c r="C1092" s="17">
        <v>986</v>
      </c>
      <c r="D1092" s="85">
        <v>779</v>
      </c>
      <c r="E1092" s="85" t="s">
        <v>2435</v>
      </c>
      <c r="F1092" s="85" t="s">
        <v>13</v>
      </c>
      <c r="G1092" s="17" t="s">
        <v>5</v>
      </c>
      <c r="H1092" s="14" t="s">
        <v>1744</v>
      </c>
      <c r="I1092" s="145"/>
      <c r="J1092" s="17" t="s">
        <v>2437</v>
      </c>
      <c r="K1092" s="17" t="s">
        <v>2436</v>
      </c>
      <c r="L1092" s="17" t="s">
        <v>2</v>
      </c>
      <c r="M1092" s="16">
        <v>8331892045</v>
      </c>
      <c r="N1092" s="16">
        <v>869706060879907</v>
      </c>
      <c r="O1092" s="16"/>
      <c r="P1092" s="17" t="s">
        <v>2438</v>
      </c>
      <c r="Q1092" s="14" t="s">
        <v>8</v>
      </c>
      <c r="R1092" s="18">
        <v>1999.84</v>
      </c>
      <c r="S1092" s="19">
        <v>174</v>
      </c>
      <c r="T1092" s="17"/>
      <c r="U1092" s="66"/>
    </row>
    <row r="1093" spans="2:22" s="15" customFormat="1" ht="43.5" x14ac:dyDescent="0.35">
      <c r="B1093" s="64">
        <v>45638</v>
      </c>
      <c r="C1093" s="17">
        <v>987</v>
      </c>
      <c r="D1093" s="85">
        <v>780</v>
      </c>
      <c r="E1093" s="85" t="s">
        <v>2439</v>
      </c>
      <c r="F1093" s="85" t="s">
        <v>13</v>
      </c>
      <c r="G1093" s="17" t="s">
        <v>5</v>
      </c>
      <c r="H1093" s="14" t="s">
        <v>2442</v>
      </c>
      <c r="I1093" s="145"/>
      <c r="J1093" s="17" t="s">
        <v>2440</v>
      </c>
      <c r="K1093" s="17" t="s">
        <v>2441</v>
      </c>
      <c r="L1093" s="17" t="s">
        <v>965</v>
      </c>
      <c r="M1093" s="16">
        <v>8110225521</v>
      </c>
      <c r="N1093" s="16">
        <v>869706060879931</v>
      </c>
      <c r="O1093" s="16"/>
      <c r="P1093" s="17" t="s">
        <v>2443</v>
      </c>
      <c r="Q1093" s="14" t="s">
        <v>8</v>
      </c>
      <c r="R1093" s="18">
        <v>1999.84</v>
      </c>
      <c r="S1093" s="19">
        <v>174</v>
      </c>
      <c r="T1093" s="17"/>
      <c r="U1093" s="66"/>
    </row>
    <row r="1094" spans="2:22" s="15" customFormat="1" ht="29" x14ac:dyDescent="0.35">
      <c r="B1094" s="64">
        <v>45638</v>
      </c>
      <c r="C1094" s="17">
        <v>988</v>
      </c>
      <c r="D1094" s="85">
        <v>781</v>
      </c>
      <c r="E1094" s="85" t="s">
        <v>2439</v>
      </c>
      <c r="F1094" s="85" t="s">
        <v>13</v>
      </c>
      <c r="G1094" s="17" t="s">
        <v>5</v>
      </c>
      <c r="H1094" s="17" t="s">
        <v>2445</v>
      </c>
      <c r="I1094" s="145"/>
      <c r="J1094" s="17" t="s">
        <v>2444</v>
      </c>
      <c r="K1094" s="17" t="s">
        <v>2446</v>
      </c>
      <c r="L1094" s="17" t="s">
        <v>2</v>
      </c>
      <c r="M1094" s="16">
        <v>8183963143</v>
      </c>
      <c r="N1094" s="16">
        <v>869706060879865</v>
      </c>
      <c r="O1094" s="16"/>
      <c r="P1094" s="17" t="s">
        <v>2447</v>
      </c>
      <c r="Q1094" s="14" t="s">
        <v>8</v>
      </c>
      <c r="R1094" s="18">
        <v>1999.84</v>
      </c>
      <c r="S1094" s="19">
        <v>174</v>
      </c>
      <c r="T1094" s="17"/>
      <c r="U1094" s="66"/>
    </row>
    <row r="1095" spans="2:22" s="15" customFormat="1" ht="29" x14ac:dyDescent="0.35">
      <c r="B1095" s="64">
        <v>45645</v>
      </c>
      <c r="C1095" s="17">
        <v>989</v>
      </c>
      <c r="D1095" s="74" t="s">
        <v>5063</v>
      </c>
      <c r="E1095" s="85" t="s">
        <v>2448</v>
      </c>
      <c r="F1095" s="85" t="s">
        <v>13</v>
      </c>
      <c r="G1095" s="17" t="s">
        <v>5</v>
      </c>
      <c r="H1095" s="17" t="s">
        <v>1530</v>
      </c>
      <c r="I1095" s="145" t="s">
        <v>4979</v>
      </c>
      <c r="J1095" s="17" t="s">
        <v>5192</v>
      </c>
      <c r="K1095" s="17" t="s">
        <v>2449</v>
      </c>
      <c r="L1095" s="17" t="s">
        <v>2</v>
      </c>
      <c r="M1095" s="16">
        <v>8123554947</v>
      </c>
      <c r="N1095" s="16">
        <v>869706060881317</v>
      </c>
      <c r="O1095" s="16" t="s">
        <v>5194</v>
      </c>
      <c r="P1095" s="17" t="s">
        <v>5193</v>
      </c>
      <c r="Q1095" s="14" t="s">
        <v>8</v>
      </c>
      <c r="R1095" s="18">
        <v>1999.84</v>
      </c>
      <c r="S1095" s="19" t="s">
        <v>5002</v>
      </c>
      <c r="T1095" s="17"/>
      <c r="U1095" s="66"/>
    </row>
    <row r="1096" spans="2:22" s="15" customFormat="1" ht="29" x14ac:dyDescent="0.35">
      <c r="B1096" s="64">
        <v>45646</v>
      </c>
      <c r="C1096" s="17">
        <v>990</v>
      </c>
      <c r="D1096" s="85" t="s">
        <v>5245</v>
      </c>
      <c r="E1096" s="85" t="s">
        <v>2450</v>
      </c>
      <c r="F1096" s="85" t="s">
        <v>13</v>
      </c>
      <c r="G1096" s="17" t="s">
        <v>5</v>
      </c>
      <c r="H1096" s="14" t="s">
        <v>1744</v>
      </c>
      <c r="I1096" s="145" t="s">
        <v>5251</v>
      </c>
      <c r="J1096" s="17" t="s">
        <v>5252</v>
      </c>
      <c r="K1096" s="17" t="s">
        <v>2451</v>
      </c>
      <c r="L1096" s="17" t="s">
        <v>965</v>
      </c>
      <c r="M1096" s="16">
        <v>8134058877</v>
      </c>
      <c r="N1096" s="16">
        <v>869706060882166</v>
      </c>
      <c r="O1096" s="16" t="s">
        <v>39</v>
      </c>
      <c r="P1096" s="17" t="s">
        <v>2452</v>
      </c>
      <c r="Q1096" s="14" t="s">
        <v>8</v>
      </c>
      <c r="R1096" s="18">
        <v>1999.84</v>
      </c>
      <c r="S1096" s="19" t="s">
        <v>5240</v>
      </c>
      <c r="T1096" s="17"/>
      <c r="U1096" s="66"/>
    </row>
    <row r="1097" spans="2:22" s="15" customFormat="1" ht="29" x14ac:dyDescent="0.35">
      <c r="B1097" s="64">
        <v>45649</v>
      </c>
      <c r="C1097" s="17">
        <v>991</v>
      </c>
      <c r="D1097" s="85">
        <v>784</v>
      </c>
      <c r="E1097" s="85" t="s">
        <v>2453</v>
      </c>
      <c r="F1097" s="85" t="s">
        <v>13</v>
      </c>
      <c r="G1097" s="17" t="s">
        <v>5</v>
      </c>
      <c r="H1097" s="14" t="s">
        <v>1744</v>
      </c>
      <c r="I1097" s="145"/>
      <c r="J1097" s="17" t="s">
        <v>2461</v>
      </c>
      <c r="K1097" s="17" t="s">
        <v>2459</v>
      </c>
      <c r="L1097" s="17" t="s">
        <v>2458</v>
      </c>
      <c r="M1097" s="16">
        <v>8332653901</v>
      </c>
      <c r="N1097" s="16">
        <v>869706060882224</v>
      </c>
      <c r="O1097" s="16"/>
      <c r="P1097" s="17" t="s">
        <v>2460</v>
      </c>
      <c r="Q1097" s="14" t="s">
        <v>8</v>
      </c>
      <c r="R1097" s="18">
        <v>1999.84</v>
      </c>
      <c r="S1097" s="19">
        <v>174</v>
      </c>
      <c r="T1097" s="17"/>
      <c r="U1097" s="66"/>
    </row>
    <row r="1098" spans="2:22" s="15" customFormat="1" ht="29" x14ac:dyDescent="0.35">
      <c r="B1098" s="64">
        <v>45650</v>
      </c>
      <c r="C1098" s="17">
        <v>992</v>
      </c>
      <c r="D1098" s="85">
        <v>785</v>
      </c>
      <c r="E1098" s="85" t="s">
        <v>2454</v>
      </c>
      <c r="F1098" s="85" t="s">
        <v>13</v>
      </c>
      <c r="G1098" s="17" t="s">
        <v>5</v>
      </c>
      <c r="H1098" s="14" t="s">
        <v>1744</v>
      </c>
      <c r="I1098" s="145"/>
      <c r="J1098" s="17" t="s">
        <v>2462</v>
      </c>
      <c r="K1098" s="17" t="s">
        <v>2464</v>
      </c>
      <c r="L1098" s="17" t="s">
        <v>965</v>
      </c>
      <c r="M1098" s="16">
        <v>8332630188</v>
      </c>
      <c r="N1098" s="16">
        <v>869706060881598</v>
      </c>
      <c r="O1098" s="16"/>
      <c r="P1098" s="17" t="s">
        <v>2463</v>
      </c>
      <c r="Q1098" s="14" t="s">
        <v>8</v>
      </c>
      <c r="R1098" s="18">
        <v>1999.84</v>
      </c>
      <c r="S1098" s="19">
        <v>174</v>
      </c>
      <c r="T1098" s="17"/>
      <c r="U1098" s="66"/>
    </row>
    <row r="1099" spans="2:22" s="15" customFormat="1" ht="29" x14ac:dyDescent="0.35">
      <c r="B1099" s="64">
        <v>45656</v>
      </c>
      <c r="C1099" s="17">
        <v>993</v>
      </c>
      <c r="D1099" s="74" t="s">
        <v>5064</v>
      </c>
      <c r="E1099" s="85" t="s">
        <v>2455</v>
      </c>
      <c r="F1099" s="85" t="s">
        <v>13</v>
      </c>
      <c r="G1099" s="17" t="s">
        <v>5</v>
      </c>
      <c r="H1099" s="14" t="s">
        <v>1744</v>
      </c>
      <c r="I1099" s="145" t="s">
        <v>4609</v>
      </c>
      <c r="J1099" s="17" t="s">
        <v>5195</v>
      </c>
      <c r="K1099" s="17" t="s">
        <v>2465</v>
      </c>
      <c r="L1099" s="17" t="s">
        <v>2</v>
      </c>
      <c r="M1099" s="16">
        <v>8332630702</v>
      </c>
      <c r="N1099" s="16">
        <v>868166059147678</v>
      </c>
      <c r="O1099" s="16" t="s">
        <v>39</v>
      </c>
      <c r="P1099" s="17" t="s">
        <v>2466</v>
      </c>
      <c r="Q1099" s="14" t="s">
        <v>8</v>
      </c>
      <c r="R1099" s="18">
        <v>1999.84</v>
      </c>
      <c r="S1099" s="19" t="s">
        <v>5002</v>
      </c>
      <c r="T1099" s="17"/>
      <c r="U1099" s="66"/>
    </row>
    <row r="1100" spans="2:22" s="15" customFormat="1" ht="29" x14ac:dyDescent="0.35">
      <c r="B1100" s="64">
        <v>45664</v>
      </c>
      <c r="C1100" s="17">
        <v>994</v>
      </c>
      <c r="D1100" s="74" t="s">
        <v>5065</v>
      </c>
      <c r="E1100" s="85" t="s">
        <v>2469</v>
      </c>
      <c r="F1100" s="85" t="s">
        <v>13</v>
      </c>
      <c r="G1100" s="17" t="s">
        <v>5</v>
      </c>
      <c r="H1100" s="17" t="s">
        <v>2456</v>
      </c>
      <c r="I1100" s="145" t="s">
        <v>4929</v>
      </c>
      <c r="J1100" s="17" t="s">
        <v>5196</v>
      </c>
      <c r="K1100" s="17" t="s">
        <v>2457</v>
      </c>
      <c r="L1100" s="17" t="s">
        <v>2</v>
      </c>
      <c r="M1100" s="16">
        <v>8128613326</v>
      </c>
      <c r="N1100" s="16">
        <v>868166059132555</v>
      </c>
      <c r="O1100" s="16" t="s">
        <v>5198</v>
      </c>
      <c r="P1100" s="17" t="s">
        <v>5197</v>
      </c>
      <c r="Q1100" s="14" t="s">
        <v>8</v>
      </c>
      <c r="R1100" s="18">
        <v>1999.84</v>
      </c>
      <c r="S1100" s="19" t="s">
        <v>5002</v>
      </c>
      <c r="T1100" s="17"/>
      <c r="U1100" s="66"/>
    </row>
    <row r="1101" spans="2:22" s="15" customFormat="1" ht="29" x14ac:dyDescent="0.35">
      <c r="B1101" s="64">
        <v>45666</v>
      </c>
      <c r="C1101" s="17">
        <v>995</v>
      </c>
      <c r="D1101" s="85">
        <v>788</v>
      </c>
      <c r="E1101" s="85" t="s">
        <v>2468</v>
      </c>
      <c r="F1101" s="85" t="s">
        <v>13</v>
      </c>
      <c r="G1101" s="17" t="s">
        <v>5</v>
      </c>
      <c r="H1101" s="14" t="s">
        <v>1744</v>
      </c>
      <c r="I1101" s="145"/>
      <c r="J1101" s="17" t="s">
        <v>2470</v>
      </c>
      <c r="K1101" s="17" t="s">
        <v>2471</v>
      </c>
      <c r="L1101" s="17" t="s">
        <v>965</v>
      </c>
      <c r="M1101" s="16">
        <v>8332636499</v>
      </c>
      <c r="N1101" s="16">
        <v>869706060881788</v>
      </c>
      <c r="O1101" s="16"/>
      <c r="P1101" s="17" t="s">
        <v>2472</v>
      </c>
      <c r="Q1101" s="14" t="s">
        <v>8</v>
      </c>
      <c r="R1101" s="18">
        <v>1999.84</v>
      </c>
      <c r="S1101" s="19">
        <v>174</v>
      </c>
      <c r="T1101" s="17"/>
      <c r="U1101" s="66"/>
    </row>
    <row r="1102" spans="2:22" s="15" customFormat="1" ht="29" x14ac:dyDescent="0.35">
      <c r="B1102" s="64">
        <v>45667</v>
      </c>
      <c r="C1102" s="17">
        <v>996</v>
      </c>
      <c r="D1102" s="85">
        <v>789</v>
      </c>
      <c r="E1102" s="85" t="s">
        <v>2473</v>
      </c>
      <c r="F1102" s="85" t="s">
        <v>13</v>
      </c>
      <c r="G1102" s="17" t="s">
        <v>5</v>
      </c>
      <c r="H1102" s="14" t="s">
        <v>1744</v>
      </c>
      <c r="I1102" s="145"/>
      <c r="J1102" s="17" t="s">
        <v>2474</v>
      </c>
      <c r="K1102" s="17" t="s">
        <v>2475</v>
      </c>
      <c r="L1102" s="17" t="s">
        <v>2</v>
      </c>
      <c r="M1102" s="16">
        <v>8331544707</v>
      </c>
      <c r="N1102" s="16">
        <v>869220040533352</v>
      </c>
      <c r="O1102" s="16"/>
      <c r="P1102" s="17" t="s">
        <v>2476</v>
      </c>
      <c r="Q1102" s="14" t="s">
        <v>8</v>
      </c>
      <c r="R1102" s="18">
        <v>1999.84</v>
      </c>
      <c r="S1102" s="19">
        <v>174</v>
      </c>
      <c r="T1102" s="17"/>
      <c r="U1102" s="66"/>
    </row>
    <row r="1103" spans="2:22" s="15" customFormat="1" ht="29" x14ac:dyDescent="0.35">
      <c r="B1103" s="64">
        <v>45667</v>
      </c>
      <c r="C1103" s="17">
        <v>997</v>
      </c>
      <c r="D1103" s="36" t="s">
        <v>2610</v>
      </c>
      <c r="E1103" s="85" t="s">
        <v>2477</v>
      </c>
      <c r="F1103" s="85" t="s">
        <v>6</v>
      </c>
      <c r="G1103" s="17" t="s">
        <v>5</v>
      </c>
      <c r="H1103" s="17" t="s">
        <v>4651</v>
      </c>
      <c r="I1103" s="145" t="s">
        <v>4647</v>
      </c>
      <c r="J1103" s="17" t="s">
        <v>4648</v>
      </c>
      <c r="K1103" s="14" t="s">
        <v>1100</v>
      </c>
      <c r="L1103" s="17" t="s">
        <v>965</v>
      </c>
      <c r="M1103" s="16">
        <v>345901012715811</v>
      </c>
      <c r="N1103" s="16">
        <v>865011031937122</v>
      </c>
      <c r="O1103" s="38" t="s">
        <v>4650</v>
      </c>
      <c r="P1103" s="17" t="s">
        <v>4649</v>
      </c>
      <c r="Q1103" s="17" t="s">
        <v>2525</v>
      </c>
      <c r="R1103" s="18">
        <v>754</v>
      </c>
      <c r="S1103" s="19" t="s">
        <v>2479</v>
      </c>
      <c r="T1103" s="17" t="s">
        <v>2713</v>
      </c>
      <c r="U1103" s="66"/>
    </row>
    <row r="1104" spans="2:22" s="15" customFormat="1" ht="29" x14ac:dyDescent="0.35">
      <c r="B1104" s="64">
        <v>45672</v>
      </c>
      <c r="C1104" s="17">
        <v>998</v>
      </c>
      <c r="D1104" s="85" t="s">
        <v>4791</v>
      </c>
      <c r="E1104" s="85" t="s">
        <v>2480</v>
      </c>
      <c r="F1104" s="85" t="s">
        <v>13</v>
      </c>
      <c r="G1104" s="17" t="s">
        <v>5</v>
      </c>
      <c r="H1104" s="17" t="s">
        <v>2481</v>
      </c>
      <c r="I1104" s="145" t="s">
        <v>4520</v>
      </c>
      <c r="J1104" s="17" t="s">
        <v>4811</v>
      </c>
      <c r="K1104" s="17" t="s">
        <v>2483</v>
      </c>
      <c r="L1104" s="17" t="s">
        <v>965</v>
      </c>
      <c r="M1104" s="16">
        <v>8332322161</v>
      </c>
      <c r="N1104" s="16">
        <v>869706060878495</v>
      </c>
      <c r="O1104" s="17" t="s">
        <v>2482</v>
      </c>
      <c r="P1104" s="17" t="s">
        <v>39</v>
      </c>
      <c r="Q1104" s="17" t="s">
        <v>2559</v>
      </c>
      <c r="R1104" s="18">
        <v>1999.84</v>
      </c>
      <c r="S1104" s="19" t="s">
        <v>4776</v>
      </c>
      <c r="T1104" s="17"/>
      <c r="U1104" s="66"/>
    </row>
    <row r="1105" spans="2:22" s="15" customFormat="1" ht="29" x14ac:dyDescent="0.35">
      <c r="B1105" s="64">
        <v>45672</v>
      </c>
      <c r="C1105" s="17">
        <v>999</v>
      </c>
      <c r="D1105" s="36" t="s">
        <v>2609</v>
      </c>
      <c r="E1105" s="85" t="s">
        <v>2484</v>
      </c>
      <c r="F1105" s="85" t="s">
        <v>6</v>
      </c>
      <c r="G1105" s="17" t="s">
        <v>5</v>
      </c>
      <c r="H1105" s="17" t="s">
        <v>2485</v>
      </c>
      <c r="I1105" s="145" t="s">
        <v>4652</v>
      </c>
      <c r="J1105" s="17" t="s">
        <v>4653</v>
      </c>
      <c r="K1105" s="14" t="s">
        <v>1179</v>
      </c>
      <c r="L1105" s="17" t="s">
        <v>965</v>
      </c>
      <c r="M1105" s="16">
        <v>8135518625</v>
      </c>
      <c r="N1105" s="16">
        <v>865011031932693</v>
      </c>
      <c r="O1105" s="16" t="s">
        <v>39</v>
      </c>
      <c r="P1105" s="17" t="s">
        <v>568</v>
      </c>
      <c r="Q1105" s="17" t="s">
        <v>2527</v>
      </c>
      <c r="R1105" s="18">
        <v>754</v>
      </c>
      <c r="S1105" s="19" t="s">
        <v>2479</v>
      </c>
      <c r="T1105" s="42" t="s">
        <v>2840</v>
      </c>
      <c r="U1105" s="66"/>
    </row>
    <row r="1106" spans="2:22" s="15" customFormat="1" ht="43.5" x14ac:dyDescent="0.35">
      <c r="B1106" s="64">
        <v>45675</v>
      </c>
      <c r="C1106" s="17">
        <v>1000</v>
      </c>
      <c r="D1106" s="85">
        <v>791</v>
      </c>
      <c r="E1106" s="85" t="s">
        <v>2486</v>
      </c>
      <c r="F1106" s="85" t="s">
        <v>13</v>
      </c>
      <c r="G1106" s="17" t="s">
        <v>5</v>
      </c>
      <c r="H1106" s="17" t="s">
        <v>2487</v>
      </c>
      <c r="I1106" s="145"/>
      <c r="J1106" s="17" t="s">
        <v>2488</v>
      </c>
      <c r="K1106" s="17" t="s">
        <v>2489</v>
      </c>
      <c r="L1106" s="17" t="s">
        <v>965</v>
      </c>
      <c r="M1106" s="16">
        <v>8118247486</v>
      </c>
      <c r="N1106" s="16" t="s">
        <v>2490</v>
      </c>
      <c r="O1106" s="16"/>
      <c r="P1106" s="17" t="s">
        <v>2491</v>
      </c>
      <c r="Q1106" s="14" t="s">
        <v>8</v>
      </c>
      <c r="R1106" s="18">
        <v>1999.84</v>
      </c>
      <c r="S1106" s="19">
        <v>174</v>
      </c>
      <c r="T1106" s="17"/>
      <c r="U1106" s="66"/>
    </row>
    <row r="1107" spans="2:22" s="15" customFormat="1" ht="29" x14ac:dyDescent="0.35">
      <c r="B1107" s="64">
        <v>45679</v>
      </c>
      <c r="C1107" s="17">
        <v>1001</v>
      </c>
      <c r="D1107" s="36" t="s">
        <v>2504</v>
      </c>
      <c r="E1107" s="85" t="s">
        <v>2492</v>
      </c>
      <c r="F1107" s="85" t="s">
        <v>13</v>
      </c>
      <c r="G1107" s="17" t="s">
        <v>5</v>
      </c>
      <c r="H1107" s="14" t="s">
        <v>1744</v>
      </c>
      <c r="I1107" s="145" t="s">
        <v>39</v>
      </c>
      <c r="J1107" s="14" t="s">
        <v>4654</v>
      </c>
      <c r="K1107" s="111" t="s">
        <v>2503</v>
      </c>
      <c r="L1107" s="17" t="s">
        <v>2</v>
      </c>
      <c r="M1107" s="16">
        <v>8112448334</v>
      </c>
      <c r="N1107" s="16">
        <v>869706060073279</v>
      </c>
      <c r="O1107" s="16"/>
      <c r="P1107" s="17" t="s">
        <v>39</v>
      </c>
      <c r="Q1107" s="14" t="s">
        <v>8</v>
      </c>
      <c r="R1107" s="18">
        <v>1999.84</v>
      </c>
      <c r="S1107" s="19" t="s">
        <v>2500</v>
      </c>
      <c r="T1107" s="17"/>
      <c r="U1107" s="66"/>
    </row>
    <row r="1108" spans="2:22" s="15" customFormat="1" ht="29" x14ac:dyDescent="0.35">
      <c r="B1108" s="64">
        <v>45680</v>
      </c>
      <c r="C1108" s="17">
        <v>1002</v>
      </c>
      <c r="D1108" s="85" t="s">
        <v>39</v>
      </c>
      <c r="E1108" s="85" t="s">
        <v>2493</v>
      </c>
      <c r="F1108" s="85" t="s">
        <v>36</v>
      </c>
      <c r="G1108" s="17" t="s">
        <v>5</v>
      </c>
      <c r="H1108" s="17" t="s">
        <v>1530</v>
      </c>
      <c r="I1108" s="145"/>
      <c r="J1108" s="17" t="s">
        <v>2494</v>
      </c>
      <c r="K1108" s="17" t="s">
        <v>2495</v>
      </c>
      <c r="L1108" s="17" t="s">
        <v>965</v>
      </c>
      <c r="M1108" s="16" t="s">
        <v>39</v>
      </c>
      <c r="N1108" s="16" t="s">
        <v>39</v>
      </c>
      <c r="O1108" s="16"/>
      <c r="P1108" s="17" t="s">
        <v>39</v>
      </c>
      <c r="Q1108" s="17" t="s">
        <v>2496</v>
      </c>
      <c r="R1108" s="18">
        <v>522</v>
      </c>
      <c r="S1108" s="19" t="s">
        <v>39</v>
      </c>
      <c r="T1108" s="17"/>
      <c r="U1108" s="66"/>
    </row>
    <row r="1109" spans="2:22" s="15" customFormat="1" ht="29" x14ac:dyDescent="0.35">
      <c r="B1109" s="64">
        <v>45681</v>
      </c>
      <c r="C1109" s="17">
        <v>1003</v>
      </c>
      <c r="D1109" s="36" t="s">
        <v>2501</v>
      </c>
      <c r="E1109" s="85" t="s">
        <v>2497</v>
      </c>
      <c r="F1109" s="85" t="s">
        <v>6</v>
      </c>
      <c r="G1109" s="17" t="s">
        <v>5</v>
      </c>
      <c r="H1109" s="17" t="s">
        <v>2498</v>
      </c>
      <c r="I1109" s="145">
        <v>0.375</v>
      </c>
      <c r="J1109" s="17" t="s">
        <v>3544</v>
      </c>
      <c r="K1109" s="17" t="s">
        <v>2499</v>
      </c>
      <c r="L1109" s="17" t="s">
        <v>2</v>
      </c>
      <c r="M1109" s="16">
        <v>8134058898</v>
      </c>
      <c r="N1109" s="16">
        <v>350317173605340</v>
      </c>
      <c r="O1109" s="16" t="s">
        <v>3546</v>
      </c>
      <c r="P1109" s="17" t="s">
        <v>3545</v>
      </c>
      <c r="Q1109" s="14" t="s">
        <v>2478</v>
      </c>
      <c r="R1109" s="18">
        <v>754</v>
      </c>
      <c r="S1109" s="19" t="s">
        <v>2500</v>
      </c>
      <c r="T1109" s="17"/>
      <c r="U1109" s="66"/>
      <c r="V1109" s="15" t="s">
        <v>2362</v>
      </c>
    </row>
    <row r="1110" spans="2:22" s="15" customFormat="1" ht="29" x14ac:dyDescent="0.35">
      <c r="B1110" s="64">
        <v>45681</v>
      </c>
      <c r="C1110" s="17">
        <v>1004</v>
      </c>
      <c r="D1110" s="85" t="s">
        <v>39</v>
      </c>
      <c r="E1110" s="85" t="s">
        <v>2497</v>
      </c>
      <c r="F1110" s="85" t="s">
        <v>40</v>
      </c>
      <c r="G1110" s="17" t="s">
        <v>5</v>
      </c>
      <c r="H1110" s="17" t="s">
        <v>2510</v>
      </c>
      <c r="I1110" s="145">
        <v>0.45833333333333331</v>
      </c>
      <c r="J1110" s="17" t="s">
        <v>3543</v>
      </c>
      <c r="K1110" s="17" t="s">
        <v>2508</v>
      </c>
      <c r="L1110" s="17" t="s">
        <v>965</v>
      </c>
      <c r="M1110" s="16" t="s">
        <v>39</v>
      </c>
      <c r="N1110" s="16" t="s">
        <v>39</v>
      </c>
      <c r="O1110" s="16" t="s">
        <v>39</v>
      </c>
      <c r="P1110" s="17" t="s">
        <v>39</v>
      </c>
      <c r="Q1110" s="14" t="s">
        <v>2509</v>
      </c>
      <c r="R1110" s="18">
        <v>290</v>
      </c>
      <c r="S1110" s="19">
        <v>0</v>
      </c>
      <c r="T1110" s="17"/>
      <c r="U1110" s="66"/>
    </row>
    <row r="1111" spans="2:22" s="15" customFormat="1" ht="29" x14ac:dyDescent="0.35">
      <c r="B1111" s="64">
        <v>45681</v>
      </c>
      <c r="C1111" s="17">
        <v>1005</v>
      </c>
      <c r="D1111" s="36" t="s">
        <v>2504</v>
      </c>
      <c r="E1111" s="85" t="s">
        <v>2497</v>
      </c>
      <c r="F1111" s="85" t="s">
        <v>6</v>
      </c>
      <c r="G1111" s="17" t="s">
        <v>5</v>
      </c>
      <c r="H1111" s="14" t="s">
        <v>1744</v>
      </c>
      <c r="I1111" s="144">
        <v>0.5</v>
      </c>
      <c r="J1111" s="14" t="s">
        <v>4654</v>
      </c>
      <c r="K1111" s="111" t="s">
        <v>2503</v>
      </c>
      <c r="L1111" s="17" t="s">
        <v>2</v>
      </c>
      <c r="M1111" s="16">
        <v>8112448334</v>
      </c>
      <c r="N1111" s="16">
        <v>869706060073279</v>
      </c>
      <c r="O1111" s="16" t="s">
        <v>39</v>
      </c>
      <c r="P1111" s="17" t="s">
        <v>39</v>
      </c>
      <c r="Q1111" s="17" t="s">
        <v>2505</v>
      </c>
      <c r="R1111" s="18">
        <v>754</v>
      </c>
      <c r="S1111" s="19" t="s">
        <v>2500</v>
      </c>
      <c r="T1111" s="17"/>
      <c r="U1111" s="66"/>
    </row>
    <row r="1112" spans="2:22" s="15" customFormat="1" ht="29" x14ac:dyDescent="0.35">
      <c r="B1112" s="64">
        <v>45681</v>
      </c>
      <c r="C1112" s="17">
        <v>1006</v>
      </c>
      <c r="D1112" s="85">
        <v>793</v>
      </c>
      <c r="E1112" s="85" t="s">
        <v>2502</v>
      </c>
      <c r="F1112" s="85" t="s">
        <v>138</v>
      </c>
      <c r="G1112" s="17" t="s">
        <v>5</v>
      </c>
      <c r="H1112" s="14" t="s">
        <v>1744</v>
      </c>
      <c r="I1112" s="144">
        <v>0.5</v>
      </c>
      <c r="J1112" s="14" t="s">
        <v>3542</v>
      </c>
      <c r="K1112" s="14" t="s">
        <v>2506</v>
      </c>
      <c r="L1112" s="17" t="s">
        <v>2</v>
      </c>
      <c r="M1112" s="16">
        <v>8112448334</v>
      </c>
      <c r="N1112" s="16">
        <v>869706060073279</v>
      </c>
      <c r="O1112" s="16" t="s">
        <v>39</v>
      </c>
      <c r="P1112" s="17" t="s">
        <v>2507</v>
      </c>
      <c r="Q1112" s="14" t="s">
        <v>2528</v>
      </c>
      <c r="R1112" s="18">
        <v>696</v>
      </c>
      <c r="S1112" s="19">
        <v>174</v>
      </c>
      <c r="T1112" s="17"/>
      <c r="U1112" s="66"/>
    </row>
    <row r="1113" spans="2:22" s="15" customFormat="1" ht="29" x14ac:dyDescent="0.35">
      <c r="B1113" s="64">
        <v>45681</v>
      </c>
      <c r="C1113" s="17">
        <v>1007</v>
      </c>
      <c r="D1113" s="85" t="s">
        <v>39</v>
      </c>
      <c r="E1113" s="85" t="s">
        <v>39</v>
      </c>
      <c r="F1113" s="85" t="s">
        <v>40</v>
      </c>
      <c r="G1113" s="17" t="s">
        <v>5</v>
      </c>
      <c r="H1113" s="17" t="s">
        <v>2511</v>
      </c>
      <c r="I1113" s="145" t="s">
        <v>3532</v>
      </c>
      <c r="J1113" s="17" t="s">
        <v>3540</v>
      </c>
      <c r="K1113" s="14" t="s">
        <v>2512</v>
      </c>
      <c r="L1113" s="17" t="s">
        <v>965</v>
      </c>
      <c r="M1113" s="16" t="s">
        <v>39</v>
      </c>
      <c r="N1113" s="16" t="s">
        <v>39</v>
      </c>
      <c r="O1113" s="16" t="s">
        <v>39</v>
      </c>
      <c r="P1113" s="17" t="s">
        <v>39</v>
      </c>
      <c r="Q1113" s="14" t="s">
        <v>2520</v>
      </c>
      <c r="R1113" s="18">
        <v>0</v>
      </c>
      <c r="S1113" s="19">
        <v>0</v>
      </c>
      <c r="T1113" s="17"/>
      <c r="U1113" s="66"/>
    </row>
    <row r="1114" spans="2:22" s="15" customFormat="1" ht="29" x14ac:dyDescent="0.35">
      <c r="B1114" s="64">
        <v>45682</v>
      </c>
      <c r="C1114" s="17">
        <v>1008</v>
      </c>
      <c r="D1114" s="36" t="s">
        <v>2515</v>
      </c>
      <c r="E1114" s="85" t="s">
        <v>2516</v>
      </c>
      <c r="F1114" s="85" t="s">
        <v>6</v>
      </c>
      <c r="G1114" s="17" t="s">
        <v>5</v>
      </c>
      <c r="H1114" s="17" t="s">
        <v>2514</v>
      </c>
      <c r="I1114" s="145">
        <v>0.5</v>
      </c>
      <c r="J1114" s="17" t="s">
        <v>3541</v>
      </c>
      <c r="K1114" s="17" t="s">
        <v>2513</v>
      </c>
      <c r="L1114" s="17" t="s">
        <v>965</v>
      </c>
      <c r="M1114" s="16">
        <v>8184663566</v>
      </c>
      <c r="N1114" s="16">
        <v>359857084616879</v>
      </c>
      <c r="O1114" s="16" t="s">
        <v>3548</v>
      </c>
      <c r="P1114" s="17" t="s">
        <v>3547</v>
      </c>
      <c r="Q1114" s="17" t="s">
        <v>2538</v>
      </c>
      <c r="R1114" s="18">
        <v>754</v>
      </c>
      <c r="S1114" s="19" t="s">
        <v>2517</v>
      </c>
      <c r="T1114" s="17"/>
      <c r="U1114" s="66"/>
    </row>
    <row r="1115" spans="2:22" s="15" customFormat="1" ht="29" x14ac:dyDescent="0.35">
      <c r="B1115" s="64">
        <v>45682</v>
      </c>
      <c r="C1115" s="17">
        <v>1009</v>
      </c>
      <c r="D1115" s="85">
        <v>794</v>
      </c>
      <c r="E1115" s="85" t="s">
        <v>2519</v>
      </c>
      <c r="F1115" s="85" t="s">
        <v>138</v>
      </c>
      <c r="G1115" s="17" t="s">
        <v>5</v>
      </c>
      <c r="H1115" s="17" t="s">
        <v>2511</v>
      </c>
      <c r="I1115" s="145" t="s">
        <v>3532</v>
      </c>
      <c r="J1115" s="17" t="s">
        <v>3540</v>
      </c>
      <c r="K1115" s="14" t="s">
        <v>2521</v>
      </c>
      <c r="L1115" s="17" t="s">
        <v>2</v>
      </c>
      <c r="M1115" s="16">
        <v>8110740396</v>
      </c>
      <c r="N1115" s="16">
        <v>865011031937122</v>
      </c>
      <c r="O1115" s="16" t="s">
        <v>3550</v>
      </c>
      <c r="P1115" s="17" t="s">
        <v>3549</v>
      </c>
      <c r="Q1115" s="17" t="s">
        <v>2526</v>
      </c>
      <c r="R1115" s="18">
        <v>696</v>
      </c>
      <c r="S1115" s="115">
        <v>174</v>
      </c>
      <c r="T1115" s="17"/>
      <c r="U1115" s="66"/>
    </row>
    <row r="1116" spans="2:22" s="15" customFormat="1" ht="29" x14ac:dyDescent="0.35">
      <c r="B1116" s="64">
        <v>45682</v>
      </c>
      <c r="C1116" s="17">
        <v>1010</v>
      </c>
      <c r="D1116" s="85">
        <v>795</v>
      </c>
      <c r="E1116" s="85" t="s">
        <v>2519</v>
      </c>
      <c r="F1116" s="85" t="s">
        <v>138</v>
      </c>
      <c r="G1116" s="17" t="s">
        <v>5</v>
      </c>
      <c r="H1116" s="17" t="s">
        <v>2522</v>
      </c>
      <c r="I1116" s="145">
        <v>0.5</v>
      </c>
      <c r="J1116" s="17" t="s">
        <v>3539</v>
      </c>
      <c r="K1116" s="17" t="s">
        <v>2523</v>
      </c>
      <c r="L1116" s="17" t="s">
        <v>965</v>
      </c>
      <c r="M1116" s="16">
        <v>8135518625</v>
      </c>
      <c r="N1116" s="16">
        <v>865011031932693</v>
      </c>
      <c r="O1116" s="16" t="s">
        <v>3552</v>
      </c>
      <c r="P1116" s="17" t="s">
        <v>3551</v>
      </c>
      <c r="Q1116" s="17" t="s">
        <v>2524</v>
      </c>
      <c r="R1116" s="18">
        <v>696</v>
      </c>
      <c r="S1116" s="19">
        <v>174</v>
      </c>
      <c r="T1116" s="17"/>
      <c r="U1116" s="66"/>
    </row>
    <row r="1117" spans="2:22" s="15" customFormat="1" ht="29" x14ac:dyDescent="0.35">
      <c r="B1117" s="64">
        <v>45684</v>
      </c>
      <c r="C1117" s="17">
        <v>1011</v>
      </c>
      <c r="D1117" s="85" t="s">
        <v>3419</v>
      </c>
      <c r="E1117" s="85" t="s">
        <v>2529</v>
      </c>
      <c r="F1117" s="85" t="s">
        <v>36</v>
      </c>
      <c r="G1117" s="17" t="s">
        <v>5</v>
      </c>
      <c r="H1117" s="17" t="s">
        <v>2530</v>
      </c>
      <c r="I1117" s="145">
        <v>0.5</v>
      </c>
      <c r="J1117" s="17" t="s">
        <v>3529</v>
      </c>
      <c r="K1117" s="17" t="s">
        <v>2531</v>
      </c>
      <c r="L1117" s="17" t="s">
        <v>965</v>
      </c>
      <c r="M1117" s="16">
        <v>8118003970</v>
      </c>
      <c r="N1117" s="16">
        <v>869220041855002</v>
      </c>
      <c r="O1117" s="16" t="s">
        <v>3478</v>
      </c>
      <c r="P1117" s="17" t="s">
        <v>3477</v>
      </c>
      <c r="Q1117" s="95" t="s">
        <v>2532</v>
      </c>
      <c r="R1117" s="18">
        <v>522</v>
      </c>
      <c r="S1117" s="19" t="s">
        <v>3329</v>
      </c>
      <c r="T1117" s="17"/>
      <c r="U1117" s="66"/>
    </row>
    <row r="1118" spans="2:22" s="15" customFormat="1" ht="29" x14ac:dyDescent="0.35">
      <c r="B1118" s="64">
        <v>45685</v>
      </c>
      <c r="C1118" s="17">
        <v>1012</v>
      </c>
      <c r="D1118" s="85" t="s">
        <v>4921</v>
      </c>
      <c r="E1118" s="85" t="s">
        <v>2533</v>
      </c>
      <c r="F1118" s="85" t="s">
        <v>138</v>
      </c>
      <c r="G1118" s="17" t="s">
        <v>1805</v>
      </c>
      <c r="H1118" s="17" t="s">
        <v>2534</v>
      </c>
      <c r="I1118" s="145">
        <v>0.58333333333333337</v>
      </c>
      <c r="J1118" s="17" t="s">
        <v>26</v>
      </c>
      <c r="K1118" s="17" t="s">
        <v>2535</v>
      </c>
      <c r="L1118" s="17" t="s">
        <v>965</v>
      </c>
      <c r="M1118" s="16">
        <v>8184663566</v>
      </c>
      <c r="N1118" s="16">
        <v>359857084616879</v>
      </c>
      <c r="O1118" s="16" t="s">
        <v>39</v>
      </c>
      <c r="P1118" s="17" t="s">
        <v>2537</v>
      </c>
      <c r="Q1118" s="17" t="s">
        <v>2536</v>
      </c>
      <c r="R1118" s="18">
        <v>696</v>
      </c>
      <c r="S1118" s="19" t="s">
        <v>4912</v>
      </c>
      <c r="T1118" s="17"/>
      <c r="U1118" s="66"/>
    </row>
    <row r="1119" spans="2:22" s="15" customFormat="1" ht="29" x14ac:dyDescent="0.35">
      <c r="B1119" s="64">
        <v>45686</v>
      </c>
      <c r="C1119" s="17">
        <v>1013</v>
      </c>
      <c r="D1119" s="85" t="s">
        <v>39</v>
      </c>
      <c r="E1119" s="85" t="s">
        <v>39</v>
      </c>
      <c r="F1119" s="85" t="s">
        <v>40</v>
      </c>
      <c r="G1119" s="17" t="s">
        <v>5</v>
      </c>
      <c r="H1119" s="17" t="s">
        <v>3536</v>
      </c>
      <c r="I1119" s="145">
        <v>0.41666666666666669</v>
      </c>
      <c r="J1119" s="17" t="s">
        <v>3538</v>
      </c>
      <c r="K1119" s="14" t="s">
        <v>2539</v>
      </c>
      <c r="L1119" s="17" t="s">
        <v>965</v>
      </c>
      <c r="M1119" s="16" t="s">
        <v>39</v>
      </c>
      <c r="N1119" s="16" t="s">
        <v>39</v>
      </c>
      <c r="O1119" s="16" t="s">
        <v>39</v>
      </c>
      <c r="P1119" s="17" t="s">
        <v>39</v>
      </c>
      <c r="Q1119" s="95" t="s">
        <v>2540</v>
      </c>
      <c r="R1119" s="18">
        <v>290</v>
      </c>
      <c r="S1119" s="19">
        <v>0</v>
      </c>
      <c r="T1119" s="17"/>
      <c r="U1119" s="66"/>
    </row>
    <row r="1120" spans="2:22" s="15" customFormat="1" ht="29" x14ac:dyDescent="0.35">
      <c r="B1120" s="64">
        <v>45688</v>
      </c>
      <c r="C1120" s="17">
        <v>1014</v>
      </c>
      <c r="D1120" s="85" t="s">
        <v>39</v>
      </c>
      <c r="E1120" s="85" t="s">
        <v>39</v>
      </c>
      <c r="F1120" s="85" t="s">
        <v>40</v>
      </c>
      <c r="G1120" s="17" t="s">
        <v>5</v>
      </c>
      <c r="H1120" s="17" t="s">
        <v>3536</v>
      </c>
      <c r="I1120" s="145">
        <v>0.41666666666666669</v>
      </c>
      <c r="J1120" s="17" t="s">
        <v>3538</v>
      </c>
      <c r="K1120" s="14" t="s">
        <v>2539</v>
      </c>
      <c r="L1120" s="17" t="s">
        <v>965</v>
      </c>
      <c r="M1120" s="16" t="s">
        <v>39</v>
      </c>
      <c r="N1120" s="16" t="s">
        <v>39</v>
      </c>
      <c r="O1120" s="16" t="s">
        <v>39</v>
      </c>
      <c r="P1120" s="17" t="s">
        <v>39</v>
      </c>
      <c r="Q1120" s="95" t="s">
        <v>2540</v>
      </c>
      <c r="R1120" s="18">
        <v>290</v>
      </c>
      <c r="S1120" s="19">
        <v>0</v>
      </c>
      <c r="T1120" s="17"/>
      <c r="U1120" s="66"/>
    </row>
    <row r="1121" spans="2:21" s="15" customFormat="1" ht="29" x14ac:dyDescent="0.35">
      <c r="B1121" s="64">
        <v>45688</v>
      </c>
      <c r="C1121" s="17">
        <v>1015</v>
      </c>
      <c r="D1121" s="85">
        <v>797</v>
      </c>
      <c r="E1121" s="85" t="s">
        <v>2541</v>
      </c>
      <c r="F1121" s="85" t="s">
        <v>13</v>
      </c>
      <c r="G1121" s="17" t="s">
        <v>5</v>
      </c>
      <c r="H1121" s="17" t="s">
        <v>2543</v>
      </c>
      <c r="I1121" s="145">
        <v>0.54166666666666663</v>
      </c>
      <c r="J1121" s="17" t="s">
        <v>3537</v>
      </c>
      <c r="K1121" s="17" t="s">
        <v>2542</v>
      </c>
      <c r="L1121" s="17" t="s">
        <v>2</v>
      </c>
      <c r="M1121" s="16">
        <v>8331894265</v>
      </c>
      <c r="N1121" s="16">
        <v>869706060876978</v>
      </c>
      <c r="O1121" s="16" t="s">
        <v>3534</v>
      </c>
      <c r="P1121" s="17" t="s">
        <v>3535</v>
      </c>
      <c r="Q1121" s="14" t="s">
        <v>8</v>
      </c>
      <c r="R1121" s="18">
        <v>1999.84</v>
      </c>
      <c r="S1121" s="19">
        <v>174</v>
      </c>
      <c r="T1121" s="17"/>
      <c r="U1121" s="66"/>
    </row>
    <row r="1122" spans="2:21" s="15" customFormat="1" ht="29" x14ac:dyDescent="0.35">
      <c r="B1122" s="64">
        <v>45688</v>
      </c>
      <c r="C1122" s="17">
        <v>1016</v>
      </c>
      <c r="D1122" s="85">
        <v>798</v>
      </c>
      <c r="E1122" s="85" t="s">
        <v>2541</v>
      </c>
      <c r="F1122" s="85" t="s">
        <v>13</v>
      </c>
      <c r="G1122" s="17" t="s">
        <v>5</v>
      </c>
      <c r="H1122" s="14" t="s">
        <v>1744</v>
      </c>
      <c r="I1122" s="145" t="s">
        <v>3532</v>
      </c>
      <c r="J1122" s="17" t="s">
        <v>3533</v>
      </c>
      <c r="K1122" s="17" t="s">
        <v>2544</v>
      </c>
      <c r="L1122" s="17" t="s">
        <v>2</v>
      </c>
      <c r="M1122" s="16">
        <v>8120392416</v>
      </c>
      <c r="N1122" s="16">
        <v>869220041861265</v>
      </c>
      <c r="O1122" s="16" t="s">
        <v>39</v>
      </c>
      <c r="P1122" s="17" t="s">
        <v>2545</v>
      </c>
      <c r="Q1122" s="14" t="s">
        <v>8</v>
      </c>
      <c r="R1122" s="18">
        <v>1999.84</v>
      </c>
      <c r="S1122" s="19">
        <v>174</v>
      </c>
      <c r="T1122" s="17"/>
      <c r="U1122" s="66"/>
    </row>
    <row r="1123" spans="2:21" s="15" customFormat="1" ht="29" x14ac:dyDescent="0.35">
      <c r="B1123" s="64">
        <v>45693</v>
      </c>
      <c r="C1123" s="17">
        <v>1017</v>
      </c>
      <c r="D1123" s="85" t="s">
        <v>3422</v>
      </c>
      <c r="E1123" s="85" t="s">
        <v>2546</v>
      </c>
      <c r="F1123" s="85" t="s">
        <v>13</v>
      </c>
      <c r="G1123" s="17" t="s">
        <v>5</v>
      </c>
      <c r="H1123" s="14" t="s">
        <v>1744</v>
      </c>
      <c r="I1123" s="145" t="s">
        <v>3232</v>
      </c>
      <c r="J1123" s="17" t="s">
        <v>3531</v>
      </c>
      <c r="K1123" s="17" t="s">
        <v>2547</v>
      </c>
      <c r="L1123" s="17" t="s">
        <v>2</v>
      </c>
      <c r="M1123" s="16">
        <v>8333013693</v>
      </c>
      <c r="N1123" s="16">
        <v>869706061065456</v>
      </c>
      <c r="O1123" s="16" t="s">
        <v>3484</v>
      </c>
      <c r="P1123" s="17" t="s">
        <v>3483</v>
      </c>
      <c r="Q1123" s="17" t="s">
        <v>2559</v>
      </c>
      <c r="R1123" s="18">
        <v>1999.84</v>
      </c>
      <c r="S1123" s="19" t="s">
        <v>3329</v>
      </c>
      <c r="T1123" s="17"/>
      <c r="U1123" s="66"/>
    </row>
    <row r="1124" spans="2:21" s="15" customFormat="1" ht="29" x14ac:dyDescent="0.35">
      <c r="B1124" s="64">
        <v>45698</v>
      </c>
      <c r="C1124" s="17">
        <v>1018</v>
      </c>
      <c r="D1124" s="85" t="s">
        <v>39</v>
      </c>
      <c r="E1124" s="85" t="s">
        <v>39</v>
      </c>
      <c r="F1124" s="85" t="s">
        <v>1648</v>
      </c>
      <c r="G1124" s="17" t="s">
        <v>5</v>
      </c>
      <c r="H1124" s="14" t="s">
        <v>1744</v>
      </c>
      <c r="I1124" s="145">
        <v>0.66666666666666663</v>
      </c>
      <c r="J1124" s="17" t="s">
        <v>3278</v>
      </c>
      <c r="K1124" s="17" t="s">
        <v>2549</v>
      </c>
      <c r="L1124" s="17" t="s">
        <v>2</v>
      </c>
      <c r="M1124" s="16" t="s">
        <v>39</v>
      </c>
      <c r="N1124" s="16" t="s">
        <v>39</v>
      </c>
      <c r="O1124" s="16" t="s">
        <v>39</v>
      </c>
      <c r="P1124" s="17" t="s">
        <v>39</v>
      </c>
      <c r="Q1124" s="17" t="s">
        <v>2550</v>
      </c>
      <c r="R1124" s="18">
        <v>0</v>
      </c>
      <c r="S1124" s="19">
        <v>0</v>
      </c>
      <c r="T1124" s="17"/>
      <c r="U1124" s="66"/>
    </row>
    <row r="1125" spans="2:21" s="15" customFormat="1" ht="29" x14ac:dyDescent="0.35">
      <c r="B1125" s="64">
        <v>45699</v>
      </c>
      <c r="C1125" s="17">
        <v>1019</v>
      </c>
      <c r="D1125" s="85">
        <v>800</v>
      </c>
      <c r="E1125" s="85" t="s">
        <v>2548</v>
      </c>
      <c r="F1125" s="85" t="s">
        <v>13</v>
      </c>
      <c r="G1125" s="17" t="s">
        <v>5</v>
      </c>
      <c r="H1125" s="14" t="s">
        <v>1744</v>
      </c>
      <c r="I1125" s="145">
        <v>0.5</v>
      </c>
      <c r="J1125" s="17" t="s">
        <v>3278</v>
      </c>
      <c r="K1125" s="17" t="s">
        <v>2551</v>
      </c>
      <c r="L1125" s="17" t="s">
        <v>2</v>
      </c>
      <c r="M1125" s="16">
        <v>8333015571</v>
      </c>
      <c r="N1125" s="16">
        <v>869706060073220</v>
      </c>
      <c r="O1125" s="16" t="s">
        <v>39</v>
      </c>
      <c r="P1125" s="17" t="s">
        <v>2555</v>
      </c>
      <c r="Q1125" s="14" t="s">
        <v>8</v>
      </c>
      <c r="R1125" s="18">
        <v>1999.84</v>
      </c>
      <c r="S1125" s="19" t="s">
        <v>4912</v>
      </c>
      <c r="T1125" s="17"/>
      <c r="U1125" s="66"/>
    </row>
    <row r="1126" spans="2:21" s="15" customFormat="1" ht="29" x14ac:dyDescent="0.35">
      <c r="B1126" s="64">
        <v>45702</v>
      </c>
      <c r="C1126" s="17">
        <v>1020</v>
      </c>
      <c r="D1126" s="85" t="s">
        <v>2796</v>
      </c>
      <c r="E1126" s="85" t="s">
        <v>2552</v>
      </c>
      <c r="F1126" s="85" t="s">
        <v>13</v>
      </c>
      <c r="G1126" s="17" t="s">
        <v>5</v>
      </c>
      <c r="H1126" s="14" t="s">
        <v>1744</v>
      </c>
      <c r="I1126" s="145" t="s">
        <v>3264</v>
      </c>
      <c r="J1126" s="17" t="s">
        <v>3265</v>
      </c>
      <c r="K1126" s="17" t="s">
        <v>2553</v>
      </c>
      <c r="L1126" s="17" t="s">
        <v>2</v>
      </c>
      <c r="M1126" s="16">
        <v>8333015361</v>
      </c>
      <c r="N1126" s="16">
        <v>869706060074020</v>
      </c>
      <c r="O1126" s="16" t="s">
        <v>3267</v>
      </c>
      <c r="P1126" s="17" t="s">
        <v>2554</v>
      </c>
      <c r="Q1126" s="14" t="s">
        <v>2623</v>
      </c>
      <c r="R1126" s="18">
        <v>1999.84</v>
      </c>
      <c r="S1126" s="19" t="s">
        <v>2803</v>
      </c>
      <c r="T1126" s="17" t="s">
        <v>2805</v>
      </c>
      <c r="U1126" s="66">
        <v>804</v>
      </c>
    </row>
    <row r="1127" spans="2:21" s="15" customFormat="1" ht="29" x14ac:dyDescent="0.35">
      <c r="B1127" s="64">
        <v>45702</v>
      </c>
      <c r="C1127" s="17">
        <v>1021</v>
      </c>
      <c r="D1127" s="85" t="s">
        <v>2556</v>
      </c>
      <c r="E1127" s="85" t="s">
        <v>2557</v>
      </c>
      <c r="F1127" s="85" t="s">
        <v>1468</v>
      </c>
      <c r="G1127" s="17" t="s">
        <v>5</v>
      </c>
      <c r="H1127" s="17" t="s">
        <v>1930</v>
      </c>
      <c r="I1127" s="145" t="s">
        <v>39</v>
      </c>
      <c r="J1127" s="17" t="s">
        <v>2558</v>
      </c>
      <c r="K1127" s="17" t="s">
        <v>1082</v>
      </c>
      <c r="L1127" s="17" t="s">
        <v>39</v>
      </c>
      <c r="M1127" s="16">
        <v>8115777419</v>
      </c>
      <c r="N1127" s="16">
        <v>865011033005613</v>
      </c>
      <c r="O1127" s="38" t="s">
        <v>3270</v>
      </c>
      <c r="P1127" s="17" t="s">
        <v>3271</v>
      </c>
      <c r="Q1127" s="17" t="s">
        <v>2559</v>
      </c>
      <c r="R1127" s="18">
        <v>0</v>
      </c>
      <c r="S1127" s="19" t="s">
        <v>2560</v>
      </c>
      <c r="T1127" s="17"/>
      <c r="U1127" s="66"/>
    </row>
    <row r="1128" spans="2:21" s="15" customFormat="1" ht="29" x14ac:dyDescent="0.35">
      <c r="B1128" s="64">
        <v>45702</v>
      </c>
      <c r="C1128" s="17">
        <v>1022</v>
      </c>
      <c r="D1128" s="85" t="s">
        <v>2561</v>
      </c>
      <c r="E1128" s="85" t="s">
        <v>2557</v>
      </c>
      <c r="F1128" s="85" t="s">
        <v>1468</v>
      </c>
      <c r="G1128" s="17" t="s">
        <v>5</v>
      </c>
      <c r="H1128" s="17" t="s">
        <v>1930</v>
      </c>
      <c r="I1128" s="145" t="s">
        <v>39</v>
      </c>
      <c r="J1128" s="17" t="s">
        <v>2562</v>
      </c>
      <c r="K1128" s="17" t="s">
        <v>2563</v>
      </c>
      <c r="L1128" s="17" t="s">
        <v>39</v>
      </c>
      <c r="M1128" s="16">
        <v>8119174218</v>
      </c>
      <c r="N1128" s="16">
        <v>863844052847537</v>
      </c>
      <c r="O1128" s="14" t="s">
        <v>704</v>
      </c>
      <c r="P1128" s="17" t="s">
        <v>39</v>
      </c>
      <c r="Q1128" s="17" t="s">
        <v>2559</v>
      </c>
      <c r="R1128" s="18">
        <v>0</v>
      </c>
      <c r="S1128" s="19" t="s">
        <v>2560</v>
      </c>
      <c r="T1128" s="17"/>
      <c r="U1128" s="66"/>
    </row>
    <row r="1129" spans="2:21" s="15" customFormat="1" ht="29" x14ac:dyDescent="0.35">
      <c r="B1129" s="64">
        <v>45702</v>
      </c>
      <c r="C1129" s="17">
        <v>1023</v>
      </c>
      <c r="D1129" s="85" t="s">
        <v>2564</v>
      </c>
      <c r="E1129" s="85" t="s">
        <v>2557</v>
      </c>
      <c r="F1129" s="85" t="s">
        <v>1468</v>
      </c>
      <c r="G1129" s="17" t="s">
        <v>5</v>
      </c>
      <c r="H1129" s="17" t="s">
        <v>1930</v>
      </c>
      <c r="I1129" s="145" t="s">
        <v>39</v>
      </c>
      <c r="J1129" s="14" t="s">
        <v>2565</v>
      </c>
      <c r="K1129" s="14" t="s">
        <v>1120</v>
      </c>
      <c r="L1129" s="17" t="s">
        <v>39</v>
      </c>
      <c r="M1129" s="16">
        <v>8118229192</v>
      </c>
      <c r="N1129" s="16">
        <v>359857084515931</v>
      </c>
      <c r="O1129" s="16" t="s">
        <v>3275</v>
      </c>
      <c r="P1129" s="17" t="s">
        <v>3274</v>
      </c>
      <c r="Q1129" s="17" t="s">
        <v>2559</v>
      </c>
      <c r="R1129" s="18">
        <v>0</v>
      </c>
      <c r="S1129" s="19" t="s">
        <v>2560</v>
      </c>
      <c r="T1129" s="17"/>
      <c r="U1129" s="66"/>
    </row>
    <row r="1130" spans="2:21" s="15" customFormat="1" ht="29" x14ac:dyDescent="0.35">
      <c r="B1130" s="64">
        <v>45702</v>
      </c>
      <c r="C1130" s="17">
        <v>1024</v>
      </c>
      <c r="D1130" s="85" t="s">
        <v>2566</v>
      </c>
      <c r="E1130" s="85" t="s">
        <v>2557</v>
      </c>
      <c r="F1130" s="85" t="s">
        <v>1468</v>
      </c>
      <c r="G1130" s="17" t="s">
        <v>5</v>
      </c>
      <c r="H1130" s="17" t="s">
        <v>1930</v>
      </c>
      <c r="I1130" s="145" t="s">
        <v>39</v>
      </c>
      <c r="J1130" s="55" t="s">
        <v>2567</v>
      </c>
      <c r="K1130" s="14" t="s">
        <v>2608</v>
      </c>
      <c r="L1130" s="14" t="s">
        <v>39</v>
      </c>
      <c r="M1130" s="38">
        <v>8118237888</v>
      </c>
      <c r="N1130" s="16">
        <v>359857084513514</v>
      </c>
      <c r="O1130" s="16" t="s">
        <v>3276</v>
      </c>
      <c r="P1130" s="17" t="s">
        <v>3277</v>
      </c>
      <c r="Q1130" s="17" t="s">
        <v>2559</v>
      </c>
      <c r="R1130" s="18">
        <v>0</v>
      </c>
      <c r="S1130" s="19" t="s">
        <v>2560</v>
      </c>
      <c r="T1130" s="17"/>
      <c r="U1130" s="66"/>
    </row>
    <row r="1131" spans="2:21" s="15" customFormat="1" ht="29" x14ac:dyDescent="0.35">
      <c r="B1131" s="64">
        <v>45702</v>
      </c>
      <c r="C1131" s="17">
        <v>1025</v>
      </c>
      <c r="D1131" s="85" t="s">
        <v>2568</v>
      </c>
      <c r="E1131" s="85" t="s">
        <v>2557</v>
      </c>
      <c r="F1131" s="85" t="s">
        <v>1468</v>
      </c>
      <c r="G1131" s="17" t="s">
        <v>5</v>
      </c>
      <c r="H1131" s="17" t="s">
        <v>1930</v>
      </c>
      <c r="I1131" s="145" t="s">
        <v>39</v>
      </c>
      <c r="J1131" s="14" t="s">
        <v>2571</v>
      </c>
      <c r="K1131" s="17" t="s">
        <v>2569</v>
      </c>
      <c r="L1131" s="17" t="s">
        <v>39</v>
      </c>
      <c r="M1131" s="16">
        <v>8118227422</v>
      </c>
      <c r="N1131" s="16">
        <v>359857084515360</v>
      </c>
      <c r="O1131" s="16" t="s">
        <v>39</v>
      </c>
      <c r="P1131" s="17" t="s">
        <v>2570</v>
      </c>
      <c r="Q1131" s="17" t="s">
        <v>2559</v>
      </c>
      <c r="R1131" s="18">
        <v>0</v>
      </c>
      <c r="S1131" s="19" t="s">
        <v>2560</v>
      </c>
      <c r="T1131" s="17"/>
      <c r="U1131" s="66"/>
    </row>
    <row r="1132" spans="2:21" s="15" customFormat="1" ht="29" x14ac:dyDescent="0.35">
      <c r="B1132" s="64">
        <v>45702</v>
      </c>
      <c r="C1132" s="17">
        <v>1026</v>
      </c>
      <c r="D1132" s="85" t="s">
        <v>2572</v>
      </c>
      <c r="E1132" s="85" t="s">
        <v>2557</v>
      </c>
      <c r="F1132" s="85" t="s">
        <v>1468</v>
      </c>
      <c r="G1132" s="17" t="s">
        <v>5</v>
      </c>
      <c r="H1132" s="17" t="s">
        <v>1930</v>
      </c>
      <c r="I1132" s="145" t="s">
        <v>39</v>
      </c>
      <c r="J1132" s="17" t="s">
        <v>2574</v>
      </c>
      <c r="K1132" s="17" t="s">
        <v>2573</v>
      </c>
      <c r="L1132" s="17" t="s">
        <v>39</v>
      </c>
      <c r="M1132" s="16">
        <v>8116007051</v>
      </c>
      <c r="N1132" s="16">
        <v>359857084510270</v>
      </c>
      <c r="O1132" s="16" t="s">
        <v>3280</v>
      </c>
      <c r="P1132" s="14" t="s">
        <v>3279</v>
      </c>
      <c r="Q1132" s="17" t="s">
        <v>2559</v>
      </c>
      <c r="R1132" s="18">
        <v>0</v>
      </c>
      <c r="S1132" s="19" t="s">
        <v>2560</v>
      </c>
      <c r="T1132" s="17"/>
      <c r="U1132" s="66"/>
    </row>
    <row r="1133" spans="2:21" s="15" customFormat="1" ht="29" x14ac:dyDescent="0.35">
      <c r="B1133" s="64">
        <v>45702</v>
      </c>
      <c r="C1133" s="17">
        <v>1027</v>
      </c>
      <c r="D1133" s="85" t="s">
        <v>2575</v>
      </c>
      <c r="E1133" s="85" t="s">
        <v>2557</v>
      </c>
      <c r="F1133" s="85" t="s">
        <v>1468</v>
      </c>
      <c r="G1133" s="17" t="s">
        <v>5</v>
      </c>
      <c r="H1133" s="17" t="s">
        <v>1930</v>
      </c>
      <c r="I1133" s="145" t="s">
        <v>39</v>
      </c>
      <c r="J1133" s="17" t="s">
        <v>2576</v>
      </c>
      <c r="K1133" s="14" t="s">
        <v>1134</v>
      </c>
      <c r="L1133" s="17" t="s">
        <v>39</v>
      </c>
      <c r="M1133" s="16">
        <v>8116007027</v>
      </c>
      <c r="N1133" s="16">
        <v>359857084509710</v>
      </c>
      <c r="O1133" s="16" t="s">
        <v>665</v>
      </c>
      <c r="P1133" s="14" t="s">
        <v>39</v>
      </c>
      <c r="Q1133" s="17" t="s">
        <v>2559</v>
      </c>
      <c r="R1133" s="18">
        <v>0</v>
      </c>
      <c r="S1133" s="19" t="s">
        <v>2560</v>
      </c>
      <c r="T1133" s="17"/>
      <c r="U1133" s="66"/>
    </row>
    <row r="1134" spans="2:21" s="15" customFormat="1" ht="29" x14ac:dyDescent="0.35">
      <c r="B1134" s="64">
        <v>45702</v>
      </c>
      <c r="C1134" s="17">
        <v>1028</v>
      </c>
      <c r="D1134" s="85" t="s">
        <v>2577</v>
      </c>
      <c r="E1134" s="85" t="s">
        <v>2557</v>
      </c>
      <c r="F1134" s="85" t="s">
        <v>1468</v>
      </c>
      <c r="G1134" s="17" t="s">
        <v>5</v>
      </c>
      <c r="H1134" s="17" t="s">
        <v>1930</v>
      </c>
      <c r="I1134" s="145" t="s">
        <v>39</v>
      </c>
      <c r="J1134" s="17" t="s">
        <v>2578</v>
      </c>
      <c r="K1134" s="17" t="s">
        <v>1176</v>
      </c>
      <c r="L1134" s="17" t="s">
        <v>39</v>
      </c>
      <c r="M1134" s="16">
        <v>8135518611</v>
      </c>
      <c r="N1134" s="16">
        <v>865011033829749</v>
      </c>
      <c r="O1134" s="16" t="s">
        <v>3281</v>
      </c>
      <c r="P1134" s="17" t="s">
        <v>3282</v>
      </c>
      <c r="Q1134" s="17" t="s">
        <v>2559</v>
      </c>
      <c r="R1134" s="18">
        <v>0</v>
      </c>
      <c r="S1134" s="19" t="s">
        <v>2560</v>
      </c>
      <c r="T1134" s="17"/>
      <c r="U1134" s="66"/>
    </row>
    <row r="1135" spans="2:21" s="15" customFormat="1" ht="29" x14ac:dyDescent="0.35">
      <c r="B1135" s="64">
        <v>45702</v>
      </c>
      <c r="C1135" s="17">
        <v>1029</v>
      </c>
      <c r="D1135" s="85" t="s">
        <v>2579</v>
      </c>
      <c r="E1135" s="85" t="s">
        <v>2557</v>
      </c>
      <c r="F1135" s="85" t="s">
        <v>1468</v>
      </c>
      <c r="G1135" s="17" t="s">
        <v>5</v>
      </c>
      <c r="H1135" s="17" t="s">
        <v>1930</v>
      </c>
      <c r="I1135" s="145" t="s">
        <v>39</v>
      </c>
      <c r="J1135" s="17" t="s">
        <v>2580</v>
      </c>
      <c r="K1135" s="14" t="s">
        <v>1189</v>
      </c>
      <c r="L1135" s="17" t="s">
        <v>39</v>
      </c>
      <c r="M1135" s="16">
        <v>8123554950</v>
      </c>
      <c r="N1135" s="16">
        <v>865011033831737</v>
      </c>
      <c r="O1135" s="14" t="s">
        <v>559</v>
      </c>
      <c r="P1135" s="17" t="s">
        <v>39</v>
      </c>
      <c r="Q1135" s="17" t="s">
        <v>2559</v>
      </c>
      <c r="R1135" s="18">
        <v>0</v>
      </c>
      <c r="S1135" s="19" t="s">
        <v>2560</v>
      </c>
      <c r="T1135" s="17"/>
      <c r="U1135" s="66"/>
    </row>
    <row r="1136" spans="2:21" s="15" customFormat="1" ht="29" x14ac:dyDescent="0.35">
      <c r="B1136" s="64">
        <v>45702</v>
      </c>
      <c r="C1136" s="17">
        <v>1030</v>
      </c>
      <c r="D1136" s="85" t="s">
        <v>2581</v>
      </c>
      <c r="E1136" s="85" t="s">
        <v>2557</v>
      </c>
      <c r="F1136" s="85" t="s">
        <v>1468</v>
      </c>
      <c r="G1136" s="17" t="s">
        <v>5</v>
      </c>
      <c r="H1136" s="17" t="s">
        <v>1930</v>
      </c>
      <c r="I1136" s="145" t="s">
        <v>39</v>
      </c>
      <c r="J1136" s="14" t="s">
        <v>2582</v>
      </c>
      <c r="K1136" s="14" t="s">
        <v>1191</v>
      </c>
      <c r="L1136" s="17" t="s">
        <v>39</v>
      </c>
      <c r="M1136" s="16">
        <v>8182597380</v>
      </c>
      <c r="N1136" s="16">
        <v>863844055230749</v>
      </c>
      <c r="O1136" s="16" t="s">
        <v>550</v>
      </c>
      <c r="P1136" s="17" t="s">
        <v>39</v>
      </c>
      <c r="Q1136" s="17" t="s">
        <v>2559</v>
      </c>
      <c r="R1136" s="18">
        <v>0</v>
      </c>
      <c r="S1136" s="19" t="s">
        <v>2560</v>
      </c>
      <c r="T1136" s="17"/>
      <c r="U1136" s="66"/>
    </row>
    <row r="1137" spans="2:21" s="15" customFormat="1" ht="29" x14ac:dyDescent="0.35">
      <c r="B1137" s="64">
        <v>45702</v>
      </c>
      <c r="C1137" s="17">
        <v>1031</v>
      </c>
      <c r="D1137" s="85" t="s">
        <v>2583</v>
      </c>
      <c r="E1137" s="85" t="s">
        <v>2557</v>
      </c>
      <c r="F1137" s="85" t="s">
        <v>1468</v>
      </c>
      <c r="G1137" s="17" t="s">
        <v>5</v>
      </c>
      <c r="H1137" s="17" t="s">
        <v>1930</v>
      </c>
      <c r="I1137" s="145" t="s">
        <v>39</v>
      </c>
      <c r="J1137" s="14" t="s">
        <v>3283</v>
      </c>
      <c r="K1137" s="14" t="s">
        <v>1208</v>
      </c>
      <c r="L1137" s="17" t="s">
        <v>39</v>
      </c>
      <c r="M1137" s="16">
        <v>8112123324</v>
      </c>
      <c r="N1137" s="16">
        <v>865011030368402</v>
      </c>
      <c r="O1137" s="16" t="s">
        <v>2584</v>
      </c>
      <c r="P1137" s="17" t="s">
        <v>39</v>
      </c>
      <c r="Q1137" s="17" t="s">
        <v>2559</v>
      </c>
      <c r="R1137" s="18">
        <v>0</v>
      </c>
      <c r="S1137" s="19" t="s">
        <v>2560</v>
      </c>
      <c r="T1137" s="17"/>
      <c r="U1137" s="66"/>
    </row>
    <row r="1138" spans="2:21" s="15" customFormat="1" ht="29" x14ac:dyDescent="0.35">
      <c r="B1138" s="64">
        <v>45702</v>
      </c>
      <c r="C1138" s="17">
        <v>1032</v>
      </c>
      <c r="D1138" s="85" t="s">
        <v>2585</v>
      </c>
      <c r="E1138" s="85" t="s">
        <v>2557</v>
      </c>
      <c r="F1138" s="85" t="s">
        <v>1468</v>
      </c>
      <c r="G1138" s="17" t="s">
        <v>5</v>
      </c>
      <c r="H1138" s="17" t="s">
        <v>1930</v>
      </c>
      <c r="I1138" s="144" t="s">
        <v>39</v>
      </c>
      <c r="J1138" s="14" t="s">
        <v>3285</v>
      </c>
      <c r="K1138" s="17" t="s">
        <v>1692</v>
      </c>
      <c r="L1138" s="17" t="s">
        <v>39</v>
      </c>
      <c r="M1138" s="16">
        <v>8120107525</v>
      </c>
      <c r="N1138" s="16">
        <v>865011034398975</v>
      </c>
      <c r="O1138" s="119" t="s">
        <v>3287</v>
      </c>
      <c r="P1138" s="63" t="s">
        <v>3286</v>
      </c>
      <c r="Q1138" s="17" t="s">
        <v>2559</v>
      </c>
      <c r="R1138" s="18">
        <v>0</v>
      </c>
      <c r="S1138" s="19" t="s">
        <v>2560</v>
      </c>
      <c r="T1138" s="17"/>
      <c r="U1138" s="66"/>
    </row>
    <row r="1139" spans="2:21" s="15" customFormat="1" ht="29" x14ac:dyDescent="0.35">
      <c r="B1139" s="64">
        <v>45702</v>
      </c>
      <c r="C1139" s="17">
        <v>1033</v>
      </c>
      <c r="D1139" s="85" t="s">
        <v>2586</v>
      </c>
      <c r="E1139" s="85" t="s">
        <v>2557</v>
      </c>
      <c r="F1139" s="85" t="s">
        <v>1468</v>
      </c>
      <c r="G1139" s="17" t="s">
        <v>5</v>
      </c>
      <c r="H1139" s="17" t="s">
        <v>1930</v>
      </c>
      <c r="I1139" s="145" t="s">
        <v>39</v>
      </c>
      <c r="J1139" s="14" t="s">
        <v>3289</v>
      </c>
      <c r="K1139" s="17" t="s">
        <v>1310</v>
      </c>
      <c r="L1139" s="17" t="s">
        <v>39</v>
      </c>
      <c r="M1139" s="16">
        <v>8110664520</v>
      </c>
      <c r="N1139" s="16">
        <v>864606048762909</v>
      </c>
      <c r="O1139" s="16" t="s">
        <v>3288</v>
      </c>
      <c r="P1139" s="17" t="s">
        <v>3290</v>
      </c>
      <c r="Q1139" s="17" t="s">
        <v>2559</v>
      </c>
      <c r="R1139" s="18">
        <v>0</v>
      </c>
      <c r="S1139" s="19" t="s">
        <v>2560</v>
      </c>
      <c r="T1139" s="17"/>
      <c r="U1139" s="66"/>
    </row>
    <row r="1140" spans="2:21" s="15" customFormat="1" ht="29" x14ac:dyDescent="0.35">
      <c r="B1140" s="64">
        <v>45702</v>
      </c>
      <c r="C1140" s="17">
        <v>1034</v>
      </c>
      <c r="D1140" s="85" t="s">
        <v>2587</v>
      </c>
      <c r="E1140" s="85" t="s">
        <v>2557</v>
      </c>
      <c r="F1140" s="85" t="s">
        <v>1468</v>
      </c>
      <c r="G1140" s="17" t="s">
        <v>5</v>
      </c>
      <c r="H1140" s="17" t="s">
        <v>1930</v>
      </c>
      <c r="I1140" s="145" t="s">
        <v>39</v>
      </c>
      <c r="J1140" s="17" t="s">
        <v>2589</v>
      </c>
      <c r="K1140" s="17" t="s">
        <v>2588</v>
      </c>
      <c r="L1140" s="17" t="s">
        <v>39</v>
      </c>
      <c r="M1140" s="16">
        <v>8112553324</v>
      </c>
      <c r="N1140" s="16">
        <v>868166053313953</v>
      </c>
      <c r="O1140" s="16" t="s">
        <v>3291</v>
      </c>
      <c r="P1140" s="17" t="s">
        <v>3292</v>
      </c>
      <c r="Q1140" s="17" t="s">
        <v>2559</v>
      </c>
      <c r="R1140" s="18">
        <v>0</v>
      </c>
      <c r="S1140" s="19" t="s">
        <v>2560</v>
      </c>
      <c r="T1140" s="17"/>
      <c r="U1140" s="66"/>
    </row>
    <row r="1141" spans="2:21" s="15" customFormat="1" ht="29" x14ac:dyDescent="0.35">
      <c r="B1141" s="64">
        <v>45702</v>
      </c>
      <c r="C1141" s="17">
        <v>1035</v>
      </c>
      <c r="D1141" s="85" t="s">
        <v>2590</v>
      </c>
      <c r="E1141" s="85" t="s">
        <v>2557</v>
      </c>
      <c r="F1141" s="85" t="s">
        <v>1468</v>
      </c>
      <c r="G1141" s="17" t="s">
        <v>5</v>
      </c>
      <c r="H1141" s="17" t="s">
        <v>1930</v>
      </c>
      <c r="I1141" s="145" t="s">
        <v>39</v>
      </c>
      <c r="J1141" s="14" t="s">
        <v>3293</v>
      </c>
      <c r="K1141" s="17" t="s">
        <v>2591</v>
      </c>
      <c r="L1141" s="17" t="s">
        <v>39</v>
      </c>
      <c r="M1141" s="16">
        <v>8114658663</v>
      </c>
      <c r="N1141" s="16">
        <v>869220040810404</v>
      </c>
      <c r="O1141" s="16" t="s">
        <v>3295</v>
      </c>
      <c r="P1141" s="17" t="s">
        <v>3296</v>
      </c>
      <c r="Q1141" s="17" t="s">
        <v>2559</v>
      </c>
      <c r="R1141" s="18">
        <v>0</v>
      </c>
      <c r="S1141" s="19" t="s">
        <v>2560</v>
      </c>
      <c r="T1141" s="17"/>
      <c r="U1141" s="66"/>
    </row>
    <row r="1142" spans="2:21" s="15" customFormat="1" ht="29" x14ac:dyDescent="0.35">
      <c r="B1142" s="64">
        <v>45702</v>
      </c>
      <c r="C1142" s="17">
        <v>1036</v>
      </c>
      <c r="D1142" s="85" t="s">
        <v>2592</v>
      </c>
      <c r="E1142" s="85" t="s">
        <v>2557</v>
      </c>
      <c r="F1142" s="85" t="s">
        <v>1468</v>
      </c>
      <c r="G1142" s="17" t="s">
        <v>5</v>
      </c>
      <c r="H1142" s="17" t="s">
        <v>1930</v>
      </c>
      <c r="I1142" s="144" t="s">
        <v>3300</v>
      </c>
      <c r="J1142" s="14" t="s">
        <v>3301</v>
      </c>
      <c r="K1142" s="17" t="s">
        <v>2593</v>
      </c>
      <c r="L1142" s="17" t="s">
        <v>39</v>
      </c>
      <c r="M1142" s="16">
        <v>8110449454</v>
      </c>
      <c r="N1142" s="16">
        <v>868166054447636</v>
      </c>
      <c r="O1142" s="16" t="s">
        <v>3298</v>
      </c>
      <c r="P1142" s="17" t="s">
        <v>3302</v>
      </c>
      <c r="Q1142" s="17" t="s">
        <v>2559</v>
      </c>
      <c r="R1142" s="18">
        <v>0</v>
      </c>
      <c r="S1142" s="19" t="s">
        <v>2560</v>
      </c>
      <c r="T1142" s="17"/>
      <c r="U1142" s="66"/>
    </row>
    <row r="1143" spans="2:21" s="15" customFormat="1" ht="29" x14ac:dyDescent="0.35">
      <c r="B1143" s="64">
        <v>45702</v>
      </c>
      <c r="C1143" s="17">
        <v>1037</v>
      </c>
      <c r="D1143" s="85" t="s">
        <v>2594</v>
      </c>
      <c r="E1143" s="85" t="s">
        <v>2557</v>
      </c>
      <c r="F1143" s="85" t="s">
        <v>1468</v>
      </c>
      <c r="G1143" s="17" t="s">
        <v>5</v>
      </c>
      <c r="H1143" s="17" t="s">
        <v>1930</v>
      </c>
      <c r="I1143" s="145" t="s">
        <v>39</v>
      </c>
      <c r="J1143" s="17" t="s">
        <v>3306</v>
      </c>
      <c r="K1143" s="17" t="s">
        <v>1622</v>
      </c>
      <c r="L1143" s="17" t="s">
        <v>39</v>
      </c>
      <c r="M1143" s="16">
        <v>8120298617</v>
      </c>
      <c r="N1143" s="16">
        <v>868166057391815</v>
      </c>
      <c r="O1143" s="16" t="s">
        <v>3303</v>
      </c>
      <c r="P1143" s="17" t="s">
        <v>3304</v>
      </c>
      <c r="Q1143" s="17" t="s">
        <v>2559</v>
      </c>
      <c r="R1143" s="18">
        <v>0</v>
      </c>
      <c r="S1143" s="19" t="s">
        <v>2560</v>
      </c>
      <c r="T1143" s="17"/>
      <c r="U1143" s="66"/>
    </row>
    <row r="1144" spans="2:21" s="15" customFormat="1" ht="29" x14ac:dyDescent="0.35">
      <c r="B1144" s="64">
        <v>45702</v>
      </c>
      <c r="C1144" s="17">
        <v>1038</v>
      </c>
      <c r="D1144" s="85" t="s">
        <v>2595</v>
      </c>
      <c r="E1144" s="85" t="s">
        <v>2557</v>
      </c>
      <c r="F1144" s="85" t="s">
        <v>1468</v>
      </c>
      <c r="G1144" s="17" t="s">
        <v>5</v>
      </c>
      <c r="H1144" s="17" t="s">
        <v>1930</v>
      </c>
      <c r="I1144" s="145" t="s">
        <v>39</v>
      </c>
      <c r="J1144" s="17" t="s">
        <v>2597</v>
      </c>
      <c r="K1144" s="17" t="s">
        <v>2596</v>
      </c>
      <c r="L1144" s="17" t="s">
        <v>39</v>
      </c>
      <c r="M1144" s="16">
        <v>8184024915</v>
      </c>
      <c r="N1144" s="16">
        <v>868166057391583</v>
      </c>
      <c r="O1144" s="16" t="s">
        <v>3307</v>
      </c>
      <c r="P1144" s="17" t="s">
        <v>3308</v>
      </c>
      <c r="Q1144" s="17" t="s">
        <v>2559</v>
      </c>
      <c r="R1144" s="18">
        <v>0</v>
      </c>
      <c r="S1144" s="19" t="s">
        <v>2560</v>
      </c>
      <c r="T1144" s="17"/>
      <c r="U1144" s="66"/>
    </row>
    <row r="1145" spans="2:21" s="15" customFormat="1" ht="29" x14ac:dyDescent="0.35">
      <c r="B1145" s="64">
        <v>45702</v>
      </c>
      <c r="C1145" s="17">
        <v>1039</v>
      </c>
      <c r="D1145" s="85" t="s">
        <v>2598</v>
      </c>
      <c r="E1145" s="85" t="s">
        <v>2557</v>
      </c>
      <c r="F1145" s="85" t="s">
        <v>1468</v>
      </c>
      <c r="G1145" s="17" t="s">
        <v>5</v>
      </c>
      <c r="H1145" s="17" t="s">
        <v>1930</v>
      </c>
      <c r="I1145" s="145" t="s">
        <v>39</v>
      </c>
      <c r="J1145" s="17" t="s">
        <v>2599</v>
      </c>
      <c r="K1145" s="17" t="s">
        <v>1910</v>
      </c>
      <c r="L1145" s="17" t="s">
        <v>39</v>
      </c>
      <c r="M1145" s="16">
        <v>8120013063</v>
      </c>
      <c r="N1145" s="16">
        <v>359857084514900</v>
      </c>
      <c r="O1145" s="16" t="s">
        <v>39</v>
      </c>
      <c r="P1145" s="17" t="s">
        <v>1783</v>
      </c>
      <c r="Q1145" s="17" t="s">
        <v>2559</v>
      </c>
      <c r="R1145" s="18">
        <v>0</v>
      </c>
      <c r="S1145" s="19" t="s">
        <v>2560</v>
      </c>
      <c r="T1145" s="17"/>
      <c r="U1145" s="66"/>
    </row>
    <row r="1146" spans="2:21" s="15" customFormat="1" ht="29" x14ac:dyDescent="0.35">
      <c r="B1146" s="64">
        <v>45702</v>
      </c>
      <c r="C1146" s="17">
        <v>1040</v>
      </c>
      <c r="D1146" s="85" t="s">
        <v>2600</v>
      </c>
      <c r="E1146" s="85" t="s">
        <v>2557</v>
      </c>
      <c r="F1146" s="85" t="s">
        <v>1468</v>
      </c>
      <c r="G1146" s="17" t="s">
        <v>5</v>
      </c>
      <c r="H1146" s="17" t="s">
        <v>1930</v>
      </c>
      <c r="I1146" s="145" t="s">
        <v>39</v>
      </c>
      <c r="J1146" s="17" t="s">
        <v>2602</v>
      </c>
      <c r="K1146" s="17" t="s">
        <v>2601</v>
      </c>
      <c r="L1146" s="17" t="s">
        <v>39</v>
      </c>
      <c r="M1146" s="16">
        <v>8121997838</v>
      </c>
      <c r="N1146" s="16">
        <v>863844050592846</v>
      </c>
      <c r="O1146" s="16" t="s">
        <v>39</v>
      </c>
      <c r="P1146" s="17" t="s">
        <v>87</v>
      </c>
      <c r="Q1146" s="17" t="s">
        <v>2559</v>
      </c>
      <c r="R1146" s="18">
        <v>0</v>
      </c>
      <c r="S1146" s="19" t="s">
        <v>2560</v>
      </c>
      <c r="T1146" s="17"/>
      <c r="U1146" s="66"/>
    </row>
    <row r="1147" spans="2:21" s="15" customFormat="1" ht="29" x14ac:dyDescent="0.35">
      <c r="B1147" s="64">
        <v>45702</v>
      </c>
      <c r="C1147" s="17">
        <v>1041</v>
      </c>
      <c r="D1147" s="85" t="s">
        <v>2603</v>
      </c>
      <c r="E1147" s="85" t="s">
        <v>2557</v>
      </c>
      <c r="F1147" s="85" t="s">
        <v>1468</v>
      </c>
      <c r="G1147" s="17" t="s">
        <v>5</v>
      </c>
      <c r="H1147" s="17" t="s">
        <v>1930</v>
      </c>
      <c r="I1147" s="145" t="s">
        <v>39</v>
      </c>
      <c r="J1147" s="17" t="s">
        <v>2604</v>
      </c>
      <c r="K1147" s="17" t="s">
        <v>1599</v>
      </c>
      <c r="L1147" s="17" t="s">
        <v>39</v>
      </c>
      <c r="M1147" s="16">
        <v>8135516717</v>
      </c>
      <c r="N1147" s="16">
        <v>865011034210337</v>
      </c>
      <c r="O1147" s="16" t="s">
        <v>39</v>
      </c>
      <c r="P1147" s="17" t="s">
        <v>1588</v>
      </c>
      <c r="Q1147" s="17" t="s">
        <v>2559</v>
      </c>
      <c r="R1147" s="18">
        <v>0</v>
      </c>
      <c r="S1147" s="19" t="s">
        <v>2560</v>
      </c>
      <c r="T1147" s="17"/>
      <c r="U1147" s="66"/>
    </row>
    <row r="1148" spans="2:21" s="15" customFormat="1" ht="29" x14ac:dyDescent="0.35">
      <c r="B1148" s="64">
        <v>45702</v>
      </c>
      <c r="C1148" s="17">
        <v>1042</v>
      </c>
      <c r="D1148" s="85" t="s">
        <v>2605</v>
      </c>
      <c r="E1148" s="85" t="s">
        <v>2557</v>
      </c>
      <c r="F1148" s="85" t="s">
        <v>1468</v>
      </c>
      <c r="G1148" s="17" t="s">
        <v>5</v>
      </c>
      <c r="H1148" s="17" t="s">
        <v>1930</v>
      </c>
      <c r="I1148" s="145" t="s">
        <v>39</v>
      </c>
      <c r="J1148" s="17" t="s">
        <v>2606</v>
      </c>
      <c r="K1148" s="17" t="s">
        <v>2607</v>
      </c>
      <c r="L1148" s="17" t="s">
        <v>39</v>
      </c>
      <c r="M1148" s="16">
        <v>8112128873</v>
      </c>
      <c r="N1148" s="16">
        <v>868166057387631</v>
      </c>
      <c r="O1148" s="16" t="s">
        <v>39</v>
      </c>
      <c r="P1148" s="17" t="s">
        <v>1656</v>
      </c>
      <c r="Q1148" s="17" t="s">
        <v>2559</v>
      </c>
      <c r="R1148" s="18">
        <v>0</v>
      </c>
      <c r="S1148" s="19" t="s">
        <v>2560</v>
      </c>
      <c r="T1148" s="17"/>
      <c r="U1148" s="66"/>
    </row>
    <row r="1149" spans="2:21" s="15" customFormat="1" ht="29" x14ac:dyDescent="0.35">
      <c r="B1149" s="64">
        <v>45705</v>
      </c>
      <c r="C1149" s="17">
        <v>1043</v>
      </c>
      <c r="D1149" s="74" t="s">
        <v>5066</v>
      </c>
      <c r="E1149" s="85" t="s">
        <v>2754</v>
      </c>
      <c r="F1149" s="85" t="s">
        <v>13</v>
      </c>
      <c r="G1149" s="17" t="s">
        <v>5</v>
      </c>
      <c r="H1149" s="17" t="s">
        <v>2755</v>
      </c>
      <c r="I1149" s="145">
        <v>0.5</v>
      </c>
      <c r="J1149" s="17" t="s">
        <v>3310</v>
      </c>
      <c r="K1149" s="14" t="s">
        <v>2756</v>
      </c>
      <c r="L1149" s="17" t="s">
        <v>2</v>
      </c>
      <c r="M1149" s="16">
        <v>8118249663</v>
      </c>
      <c r="N1149" s="16">
        <v>869706060073824</v>
      </c>
      <c r="O1149" s="16" t="s">
        <v>3311</v>
      </c>
      <c r="P1149" s="17" t="s">
        <v>3312</v>
      </c>
      <c r="Q1149" s="17" t="s">
        <v>8</v>
      </c>
      <c r="R1149" s="18">
        <v>1999.84</v>
      </c>
      <c r="S1149" s="19" t="s">
        <v>5002</v>
      </c>
      <c r="T1149" s="17"/>
      <c r="U1149" s="66"/>
    </row>
    <row r="1150" spans="2:21" s="15" customFormat="1" ht="29" x14ac:dyDescent="0.35">
      <c r="B1150" s="64">
        <v>45705</v>
      </c>
      <c r="C1150" s="17">
        <v>1044</v>
      </c>
      <c r="D1150" s="85">
        <v>803</v>
      </c>
      <c r="E1150" s="85" t="s">
        <v>2754</v>
      </c>
      <c r="F1150" s="85" t="s">
        <v>13</v>
      </c>
      <c r="G1150" s="17" t="s">
        <v>5</v>
      </c>
      <c r="H1150" s="17" t="s">
        <v>2765</v>
      </c>
      <c r="I1150" s="145">
        <v>0.58333333333333337</v>
      </c>
      <c r="J1150" s="17" t="s">
        <v>3313</v>
      </c>
      <c r="K1150" s="116" t="s">
        <v>2766</v>
      </c>
      <c r="L1150" s="17" t="s">
        <v>2</v>
      </c>
      <c r="M1150" s="16">
        <v>8110801261</v>
      </c>
      <c r="N1150" s="16">
        <v>869706060073832</v>
      </c>
      <c r="O1150" s="16" t="s">
        <v>3314</v>
      </c>
      <c r="P1150" s="17" t="s">
        <v>3315</v>
      </c>
      <c r="Q1150" s="17" t="s">
        <v>8</v>
      </c>
      <c r="R1150" s="18">
        <v>1999.84</v>
      </c>
      <c r="S1150" s="19">
        <v>174</v>
      </c>
      <c r="T1150" s="17"/>
      <c r="U1150" s="66"/>
    </row>
    <row r="1151" spans="2:21" s="15" customFormat="1" ht="29" x14ac:dyDescent="0.35">
      <c r="B1151" s="64">
        <v>45706</v>
      </c>
      <c r="C1151" s="17">
        <v>1045</v>
      </c>
      <c r="D1151" s="85" t="s">
        <v>2796</v>
      </c>
      <c r="E1151" s="85" t="s">
        <v>2797</v>
      </c>
      <c r="F1151" s="85" t="s">
        <v>6</v>
      </c>
      <c r="G1151" s="17" t="s">
        <v>5</v>
      </c>
      <c r="H1151" s="17" t="s">
        <v>2800</v>
      </c>
      <c r="I1151" s="145">
        <v>0.48958333333333331</v>
      </c>
      <c r="J1151" s="17" t="s">
        <v>3266</v>
      </c>
      <c r="K1151" s="17" t="s">
        <v>2804</v>
      </c>
      <c r="L1151" s="17" t="s">
        <v>2</v>
      </c>
      <c r="M1151" s="16">
        <v>8333015361</v>
      </c>
      <c r="N1151" s="16">
        <v>869706060074020</v>
      </c>
      <c r="O1151" s="16" t="s">
        <v>3267</v>
      </c>
      <c r="P1151" s="17" t="s">
        <v>2554</v>
      </c>
      <c r="Q1151" s="17" t="s">
        <v>2801</v>
      </c>
      <c r="R1151" s="18">
        <v>754</v>
      </c>
      <c r="S1151" s="19" t="s">
        <v>2803</v>
      </c>
      <c r="T1151" s="17" t="s">
        <v>2805</v>
      </c>
      <c r="U1151" s="66">
        <v>804</v>
      </c>
    </row>
    <row r="1152" spans="2:21" s="15" customFormat="1" ht="29" x14ac:dyDescent="0.35">
      <c r="B1152" s="64">
        <v>45706</v>
      </c>
      <c r="C1152" s="17">
        <v>1046</v>
      </c>
      <c r="D1152" s="85" t="s">
        <v>5257</v>
      </c>
      <c r="E1152" s="85" t="s">
        <v>2799</v>
      </c>
      <c r="F1152" s="85" t="s">
        <v>138</v>
      </c>
      <c r="G1152" s="17" t="s">
        <v>5</v>
      </c>
      <c r="H1152" s="17" t="s">
        <v>2800</v>
      </c>
      <c r="I1152" s="145">
        <v>0.47916666666666669</v>
      </c>
      <c r="J1152" s="17" t="s">
        <v>5274</v>
      </c>
      <c r="K1152" s="17" t="s">
        <v>2798</v>
      </c>
      <c r="L1152" s="17" t="s">
        <v>2</v>
      </c>
      <c r="M1152" s="16">
        <v>8333015361</v>
      </c>
      <c r="N1152" s="16">
        <v>869706060074020</v>
      </c>
      <c r="O1152" s="16" t="s">
        <v>3268</v>
      </c>
      <c r="P1152" s="17" t="s">
        <v>3269</v>
      </c>
      <c r="Q1152" s="17" t="s">
        <v>2802</v>
      </c>
      <c r="R1152" s="18">
        <v>696</v>
      </c>
      <c r="S1152" s="19" t="s">
        <v>5264</v>
      </c>
      <c r="T1152" s="17"/>
      <c r="U1152" s="66"/>
    </row>
    <row r="1153" spans="2:21" s="15" customFormat="1" ht="29" x14ac:dyDescent="0.35">
      <c r="B1153" s="64">
        <v>45706</v>
      </c>
      <c r="C1153" s="17">
        <v>1047</v>
      </c>
      <c r="D1153" s="74" t="s">
        <v>5067</v>
      </c>
      <c r="E1153" s="85" t="s">
        <v>2799</v>
      </c>
      <c r="F1153" s="85" t="s">
        <v>13</v>
      </c>
      <c r="G1153" s="17" t="s">
        <v>5</v>
      </c>
      <c r="H1153" s="14" t="s">
        <v>1744</v>
      </c>
      <c r="I1153" s="145" t="s">
        <v>3264</v>
      </c>
      <c r="J1153" s="17" t="s">
        <v>5199</v>
      </c>
      <c r="K1153" s="17" t="s">
        <v>2806</v>
      </c>
      <c r="L1153" s="17" t="s">
        <v>2</v>
      </c>
      <c r="M1153" s="16">
        <v>8332587516</v>
      </c>
      <c r="N1153" s="16">
        <v>869706060074707</v>
      </c>
      <c r="O1153" s="16" t="s">
        <v>39</v>
      </c>
      <c r="P1153" s="17" t="s">
        <v>2808</v>
      </c>
      <c r="Q1153" s="14" t="s">
        <v>8</v>
      </c>
      <c r="R1153" s="18">
        <v>1999.84</v>
      </c>
      <c r="S1153" s="19" t="s">
        <v>5002</v>
      </c>
      <c r="T1153" s="17"/>
      <c r="U1153" s="66"/>
    </row>
    <row r="1154" spans="2:21" s="15" customFormat="1" ht="29" x14ac:dyDescent="0.35">
      <c r="B1154" s="64">
        <v>45706</v>
      </c>
      <c r="C1154" s="17">
        <v>1048</v>
      </c>
      <c r="D1154" s="85" t="s">
        <v>39</v>
      </c>
      <c r="E1154" s="85" t="s">
        <v>39</v>
      </c>
      <c r="F1154" s="85" t="s">
        <v>1648</v>
      </c>
      <c r="G1154" s="17" t="s">
        <v>5</v>
      </c>
      <c r="H1154" s="14" t="s">
        <v>1744</v>
      </c>
      <c r="I1154" s="145" t="s">
        <v>3264</v>
      </c>
      <c r="J1154" s="17" t="s">
        <v>3316</v>
      </c>
      <c r="K1154" s="17" t="s">
        <v>2807</v>
      </c>
      <c r="L1154" s="17" t="s">
        <v>2</v>
      </c>
      <c r="M1154" s="16" t="s">
        <v>39</v>
      </c>
      <c r="N1154" s="16" t="s">
        <v>39</v>
      </c>
      <c r="O1154" s="16" t="s">
        <v>39</v>
      </c>
      <c r="P1154" s="17" t="s">
        <v>39</v>
      </c>
      <c r="Q1154" s="94" t="s">
        <v>2809</v>
      </c>
      <c r="R1154" s="18">
        <v>0</v>
      </c>
      <c r="S1154" s="19">
        <v>0</v>
      </c>
      <c r="T1154" s="17"/>
      <c r="U1154" s="66"/>
    </row>
    <row r="1155" spans="2:21" s="15" customFormat="1" ht="58" x14ac:dyDescent="0.35">
      <c r="B1155" s="64">
        <v>45708</v>
      </c>
      <c r="C1155" s="17">
        <v>1049</v>
      </c>
      <c r="D1155" s="85" t="s">
        <v>4063</v>
      </c>
      <c r="E1155" s="85" t="s">
        <v>2889</v>
      </c>
      <c r="F1155" s="85" t="s">
        <v>13</v>
      </c>
      <c r="G1155" s="17" t="s">
        <v>5</v>
      </c>
      <c r="H1155" s="14" t="s">
        <v>1744</v>
      </c>
      <c r="I1155" s="145" t="s">
        <v>3232</v>
      </c>
      <c r="J1155" s="17" t="s">
        <v>3317</v>
      </c>
      <c r="K1155" s="17" t="s">
        <v>4064</v>
      </c>
      <c r="L1155" s="17" t="s">
        <v>965</v>
      </c>
      <c r="M1155" s="16">
        <v>8333015671</v>
      </c>
      <c r="N1155" s="16">
        <v>869706060074806</v>
      </c>
      <c r="O1155" s="16" t="s">
        <v>39</v>
      </c>
      <c r="P1155" s="17" t="s">
        <v>2890</v>
      </c>
      <c r="Q1155" s="17" t="s">
        <v>4174</v>
      </c>
      <c r="R1155" s="18">
        <v>1999.84</v>
      </c>
      <c r="S1155" s="19" t="s">
        <v>3584</v>
      </c>
      <c r="T1155" s="17"/>
      <c r="U1155" s="66"/>
    </row>
    <row r="1156" spans="2:21" s="15" customFormat="1" ht="29" x14ac:dyDescent="0.35">
      <c r="B1156" s="64">
        <v>45710</v>
      </c>
      <c r="C1156" s="17">
        <v>1050</v>
      </c>
      <c r="D1156" s="85" t="s">
        <v>4067</v>
      </c>
      <c r="E1156" s="85" t="s">
        <v>2891</v>
      </c>
      <c r="F1156" s="85" t="s">
        <v>13</v>
      </c>
      <c r="G1156" s="17" t="s">
        <v>5</v>
      </c>
      <c r="H1156" s="17" t="s">
        <v>2892</v>
      </c>
      <c r="I1156" s="145" t="s">
        <v>3318</v>
      </c>
      <c r="J1156" s="17" t="s">
        <v>3319</v>
      </c>
      <c r="K1156" s="17" t="s">
        <v>4068</v>
      </c>
      <c r="L1156" s="17" t="s">
        <v>965</v>
      </c>
      <c r="M1156" s="16">
        <v>8110666078</v>
      </c>
      <c r="N1156" s="16">
        <v>869706060074756</v>
      </c>
      <c r="O1156" s="16" t="s">
        <v>3320</v>
      </c>
      <c r="P1156" s="17" t="s">
        <v>3321</v>
      </c>
      <c r="Q1156" s="17" t="s">
        <v>4174</v>
      </c>
      <c r="R1156" s="18">
        <v>1999.84</v>
      </c>
      <c r="S1156" s="19" t="s">
        <v>3584</v>
      </c>
      <c r="T1156" s="17"/>
      <c r="U1156" s="66"/>
    </row>
    <row r="1157" spans="2:21" s="15" customFormat="1" ht="29" x14ac:dyDescent="0.35">
      <c r="B1157" s="64">
        <v>45715</v>
      </c>
      <c r="C1157" s="17">
        <v>1051</v>
      </c>
      <c r="D1157" s="85" t="s">
        <v>4069</v>
      </c>
      <c r="E1157" s="85" t="s">
        <v>2893</v>
      </c>
      <c r="F1157" s="85" t="s">
        <v>13</v>
      </c>
      <c r="G1157" s="17" t="s">
        <v>5</v>
      </c>
      <c r="H1157" s="17" t="s">
        <v>2894</v>
      </c>
      <c r="I1157" s="145">
        <v>0.70833333333333337</v>
      </c>
      <c r="J1157" s="17" t="s">
        <v>3322</v>
      </c>
      <c r="K1157" s="17" t="s">
        <v>2895</v>
      </c>
      <c r="L1157" s="17" t="s">
        <v>965</v>
      </c>
      <c r="M1157" s="16">
        <v>8110409369</v>
      </c>
      <c r="N1157" s="16">
        <v>869706060074855</v>
      </c>
      <c r="O1157" s="16" t="s">
        <v>3323</v>
      </c>
      <c r="P1157" s="17" t="s">
        <v>3324</v>
      </c>
      <c r="Q1157" s="17" t="s">
        <v>4174</v>
      </c>
      <c r="R1157" s="18">
        <v>1999.84</v>
      </c>
      <c r="S1157" s="19" t="s">
        <v>3584</v>
      </c>
      <c r="T1157" s="17"/>
      <c r="U1157" s="66"/>
    </row>
    <row r="1158" spans="2:21" s="15" customFormat="1" ht="29" x14ac:dyDescent="0.35">
      <c r="B1158" s="64">
        <v>45727</v>
      </c>
      <c r="C1158" s="17">
        <v>1052</v>
      </c>
      <c r="D1158" s="85" t="s">
        <v>2982</v>
      </c>
      <c r="E1158" s="85" t="s">
        <v>3122</v>
      </c>
      <c r="F1158" s="85" t="s">
        <v>1468</v>
      </c>
      <c r="G1158" s="17" t="s">
        <v>1805</v>
      </c>
      <c r="H1158" s="17" t="s">
        <v>1930</v>
      </c>
      <c r="I1158" s="145" t="s">
        <v>39</v>
      </c>
      <c r="J1158" s="17" t="s">
        <v>2983</v>
      </c>
      <c r="K1158" s="17" t="s">
        <v>1129</v>
      </c>
      <c r="L1158" s="17" t="s">
        <v>39</v>
      </c>
      <c r="M1158" s="16">
        <v>8123554929</v>
      </c>
      <c r="N1158" s="16">
        <v>359857084510304</v>
      </c>
      <c r="O1158" s="16" t="s">
        <v>39</v>
      </c>
      <c r="P1158" s="14" t="s">
        <v>2931</v>
      </c>
      <c r="Q1158" s="17" t="s">
        <v>2559</v>
      </c>
      <c r="R1158" s="18">
        <v>0</v>
      </c>
      <c r="S1158" s="19" t="s">
        <v>2977</v>
      </c>
      <c r="T1158" s="17"/>
      <c r="U1158" s="66"/>
    </row>
    <row r="1159" spans="2:21" s="15" customFormat="1" ht="29" x14ac:dyDescent="0.35">
      <c r="B1159" s="64">
        <v>45727</v>
      </c>
      <c r="C1159" s="17">
        <v>1053</v>
      </c>
      <c r="D1159" s="85" t="s">
        <v>2984</v>
      </c>
      <c r="E1159" s="85" t="s">
        <v>3122</v>
      </c>
      <c r="F1159" s="85" t="s">
        <v>1468</v>
      </c>
      <c r="G1159" s="17" t="s">
        <v>1805</v>
      </c>
      <c r="H1159" s="17" t="s">
        <v>1930</v>
      </c>
      <c r="I1159" s="145" t="s">
        <v>39</v>
      </c>
      <c r="J1159" s="17" t="s">
        <v>2985</v>
      </c>
      <c r="K1159" s="17" t="s">
        <v>973</v>
      </c>
      <c r="L1159" s="17" t="s">
        <v>39</v>
      </c>
      <c r="M1159" s="16">
        <v>8183968460</v>
      </c>
      <c r="N1159" s="16">
        <v>865011034400565</v>
      </c>
      <c r="O1159" s="16" t="s">
        <v>3100</v>
      </c>
      <c r="P1159" s="17" t="s">
        <v>3101</v>
      </c>
      <c r="Q1159" s="17" t="s">
        <v>2559</v>
      </c>
      <c r="R1159" s="18">
        <v>0</v>
      </c>
      <c r="S1159" s="19" t="s">
        <v>2977</v>
      </c>
      <c r="T1159" s="17"/>
      <c r="U1159" s="66"/>
    </row>
    <row r="1160" spans="2:21" s="15" customFormat="1" ht="29" x14ac:dyDescent="0.35">
      <c r="B1160" s="64">
        <v>45727</v>
      </c>
      <c r="C1160" s="17">
        <v>1054</v>
      </c>
      <c r="D1160" s="85" t="s">
        <v>2986</v>
      </c>
      <c r="E1160" s="85" t="s">
        <v>3122</v>
      </c>
      <c r="F1160" s="85" t="s">
        <v>1468</v>
      </c>
      <c r="G1160" s="17" t="s">
        <v>1805</v>
      </c>
      <c r="H1160" s="17" t="s">
        <v>1930</v>
      </c>
      <c r="I1160" s="145" t="s">
        <v>39</v>
      </c>
      <c r="J1160" s="17" t="s">
        <v>2987</v>
      </c>
      <c r="K1160" s="17" t="s">
        <v>1204</v>
      </c>
      <c r="L1160" s="17" t="s">
        <v>39</v>
      </c>
      <c r="M1160" s="16">
        <v>8128601126</v>
      </c>
      <c r="N1160" s="16">
        <v>865011034399874</v>
      </c>
      <c r="O1160" s="16" t="s">
        <v>3104</v>
      </c>
      <c r="P1160" s="17" t="s">
        <v>3102</v>
      </c>
      <c r="Q1160" s="17" t="s">
        <v>2559</v>
      </c>
      <c r="R1160" s="18">
        <v>0</v>
      </c>
      <c r="S1160" s="19" t="s">
        <v>2977</v>
      </c>
      <c r="T1160" s="17"/>
      <c r="U1160" s="66"/>
    </row>
    <row r="1161" spans="2:21" s="15" customFormat="1" ht="29" x14ac:dyDescent="0.35">
      <c r="B1161" s="64">
        <v>45727</v>
      </c>
      <c r="C1161" s="17">
        <v>1055</v>
      </c>
      <c r="D1161" s="85" t="s">
        <v>2988</v>
      </c>
      <c r="E1161" s="85" t="s">
        <v>3122</v>
      </c>
      <c r="F1161" s="85" t="s">
        <v>1468</v>
      </c>
      <c r="G1161" s="17" t="s">
        <v>1805</v>
      </c>
      <c r="H1161" s="17" t="s">
        <v>1930</v>
      </c>
      <c r="I1161" s="145" t="s">
        <v>39</v>
      </c>
      <c r="J1161" s="17" t="s">
        <v>2989</v>
      </c>
      <c r="K1161" s="17" t="s">
        <v>2926</v>
      </c>
      <c r="L1161" s="17" t="s">
        <v>39</v>
      </c>
      <c r="M1161" s="16">
        <v>8112440443</v>
      </c>
      <c r="N1161" s="16">
        <v>865011034399296</v>
      </c>
      <c r="O1161" s="16" t="s">
        <v>3106</v>
      </c>
      <c r="P1161" s="17" t="s">
        <v>3105</v>
      </c>
      <c r="Q1161" s="17" t="s">
        <v>2559</v>
      </c>
      <c r="R1161" s="18">
        <v>0</v>
      </c>
      <c r="S1161" s="19" t="s">
        <v>2977</v>
      </c>
      <c r="T1161" s="17"/>
      <c r="U1161" s="66"/>
    </row>
    <row r="1162" spans="2:21" s="15" customFormat="1" ht="29" x14ac:dyDescent="0.35">
      <c r="B1162" s="64">
        <v>45727</v>
      </c>
      <c r="C1162" s="17">
        <v>1056</v>
      </c>
      <c r="D1162" s="85" t="s">
        <v>2990</v>
      </c>
      <c r="E1162" s="85" t="s">
        <v>3122</v>
      </c>
      <c r="F1162" s="85" t="s">
        <v>1468</v>
      </c>
      <c r="G1162" s="17" t="s">
        <v>1805</v>
      </c>
      <c r="H1162" s="17" t="s">
        <v>1930</v>
      </c>
      <c r="I1162" s="145" t="s">
        <v>39</v>
      </c>
      <c r="J1162" s="17" t="s">
        <v>2991</v>
      </c>
      <c r="K1162" s="17" t="s">
        <v>1213</v>
      </c>
      <c r="L1162" s="17" t="s">
        <v>39</v>
      </c>
      <c r="M1162" s="16">
        <v>8134058867</v>
      </c>
      <c r="N1162" s="16">
        <v>863844053081573</v>
      </c>
      <c r="O1162" s="16" t="s">
        <v>3108</v>
      </c>
      <c r="P1162" s="17" t="s">
        <v>3107</v>
      </c>
      <c r="Q1162" s="17" t="s">
        <v>2559</v>
      </c>
      <c r="R1162" s="18">
        <v>0</v>
      </c>
      <c r="S1162" s="19" t="s">
        <v>2977</v>
      </c>
      <c r="T1162" s="17"/>
      <c r="U1162" s="66"/>
    </row>
    <row r="1163" spans="2:21" s="15" customFormat="1" ht="29" x14ac:dyDescent="0.35">
      <c r="B1163" s="64">
        <v>45727</v>
      </c>
      <c r="C1163" s="17">
        <v>1057</v>
      </c>
      <c r="D1163" s="85" t="s">
        <v>2974</v>
      </c>
      <c r="E1163" s="85" t="s">
        <v>3122</v>
      </c>
      <c r="F1163" s="85" t="s">
        <v>1468</v>
      </c>
      <c r="G1163" s="17" t="s">
        <v>1805</v>
      </c>
      <c r="H1163" s="17" t="s">
        <v>1930</v>
      </c>
      <c r="I1163" s="145" t="s">
        <v>39</v>
      </c>
      <c r="J1163" s="17" t="s">
        <v>2976</v>
      </c>
      <c r="K1163" s="17" t="s">
        <v>2975</v>
      </c>
      <c r="L1163" s="17" t="s">
        <v>39</v>
      </c>
      <c r="M1163" s="16">
        <v>8184662883</v>
      </c>
      <c r="N1163" s="16">
        <v>865011031939177</v>
      </c>
      <c r="O1163" s="16" t="s">
        <v>3110</v>
      </c>
      <c r="P1163" s="17" t="s">
        <v>3109</v>
      </c>
      <c r="Q1163" s="17" t="s">
        <v>2559</v>
      </c>
      <c r="R1163" s="18">
        <v>0</v>
      </c>
      <c r="S1163" s="19" t="s">
        <v>2977</v>
      </c>
      <c r="T1163" s="17"/>
      <c r="U1163" s="66"/>
    </row>
    <row r="1164" spans="2:21" s="15" customFormat="1" ht="29" x14ac:dyDescent="0.35">
      <c r="B1164" s="64">
        <v>45727</v>
      </c>
      <c r="C1164" s="17">
        <v>1058</v>
      </c>
      <c r="D1164" s="85" t="s">
        <v>2992</v>
      </c>
      <c r="E1164" s="85" t="s">
        <v>3122</v>
      </c>
      <c r="F1164" s="85" t="s">
        <v>1468</v>
      </c>
      <c r="G1164" s="17" t="s">
        <v>1805</v>
      </c>
      <c r="H1164" s="17" t="s">
        <v>1930</v>
      </c>
      <c r="I1164" s="145" t="s">
        <v>39</v>
      </c>
      <c r="J1164" s="17" t="s">
        <v>2993</v>
      </c>
      <c r="K1164" s="14" t="s">
        <v>2904</v>
      </c>
      <c r="L1164" s="17" t="s">
        <v>39</v>
      </c>
      <c r="M1164" s="16">
        <v>8110468796</v>
      </c>
      <c r="N1164" s="16">
        <v>865011034399346</v>
      </c>
      <c r="O1164" s="16" t="s">
        <v>3113</v>
      </c>
      <c r="P1164" s="17" t="s">
        <v>3111</v>
      </c>
      <c r="Q1164" s="17" t="s">
        <v>2559</v>
      </c>
      <c r="R1164" s="18">
        <v>0</v>
      </c>
      <c r="S1164" s="19" t="s">
        <v>2977</v>
      </c>
      <c r="T1164" s="17"/>
      <c r="U1164" s="66"/>
    </row>
    <row r="1165" spans="2:21" s="15" customFormat="1" ht="29" x14ac:dyDescent="0.35">
      <c r="B1165" s="64">
        <v>45727</v>
      </c>
      <c r="C1165" s="17">
        <v>1059</v>
      </c>
      <c r="D1165" s="85" t="s">
        <v>2981</v>
      </c>
      <c r="E1165" s="85" t="s">
        <v>3122</v>
      </c>
      <c r="F1165" s="85" t="s">
        <v>1468</v>
      </c>
      <c r="G1165" s="17" t="s">
        <v>1805</v>
      </c>
      <c r="H1165" s="17" t="s">
        <v>1930</v>
      </c>
      <c r="I1165" s="145" t="s">
        <v>39</v>
      </c>
      <c r="J1165" s="17" t="s">
        <v>2902</v>
      </c>
      <c r="K1165" s="14" t="s">
        <v>2903</v>
      </c>
      <c r="L1165" s="17" t="s">
        <v>39</v>
      </c>
      <c r="M1165" s="16">
        <v>8134058860</v>
      </c>
      <c r="N1165" s="16">
        <v>359857084513142</v>
      </c>
      <c r="O1165" s="16" t="s">
        <v>3116</v>
      </c>
      <c r="P1165" s="17" t="s">
        <v>3114</v>
      </c>
      <c r="Q1165" s="17" t="s">
        <v>2559</v>
      </c>
      <c r="R1165" s="18">
        <v>0</v>
      </c>
      <c r="S1165" s="19" t="s">
        <v>2977</v>
      </c>
      <c r="T1165" s="17"/>
      <c r="U1165" s="66"/>
    </row>
    <row r="1166" spans="2:21" s="15" customFormat="1" ht="29" x14ac:dyDescent="0.35">
      <c r="B1166" s="64">
        <v>45727</v>
      </c>
      <c r="C1166" s="17">
        <v>1060</v>
      </c>
      <c r="D1166" s="85" t="s">
        <v>2978</v>
      </c>
      <c r="E1166" s="85" t="s">
        <v>3122</v>
      </c>
      <c r="F1166" s="85" t="s">
        <v>1468</v>
      </c>
      <c r="G1166" s="17" t="s">
        <v>1805</v>
      </c>
      <c r="H1166" s="17" t="s">
        <v>1930</v>
      </c>
      <c r="I1166" s="145" t="s">
        <v>39</v>
      </c>
      <c r="J1166" s="17" t="s">
        <v>2979</v>
      </c>
      <c r="K1166" s="17" t="s">
        <v>2980</v>
      </c>
      <c r="L1166" s="17" t="s">
        <v>39</v>
      </c>
      <c r="M1166" s="16">
        <v>8118003351</v>
      </c>
      <c r="N1166" s="16">
        <v>865011034234865</v>
      </c>
      <c r="O1166" s="16" t="s">
        <v>428</v>
      </c>
      <c r="P1166" s="17" t="s">
        <v>3118</v>
      </c>
      <c r="Q1166" s="17" t="s">
        <v>2559</v>
      </c>
      <c r="R1166" s="18">
        <v>0</v>
      </c>
      <c r="S1166" s="19" t="s">
        <v>2977</v>
      </c>
      <c r="T1166" s="17"/>
      <c r="U1166" s="66"/>
    </row>
    <row r="1167" spans="2:21" s="15" customFormat="1" ht="29" x14ac:dyDescent="0.35">
      <c r="B1167" s="64">
        <v>45727</v>
      </c>
      <c r="C1167" s="17">
        <v>1061</v>
      </c>
      <c r="D1167" s="85" t="s">
        <v>2994</v>
      </c>
      <c r="E1167" s="85" t="s">
        <v>3122</v>
      </c>
      <c r="F1167" s="85" t="s">
        <v>1468</v>
      </c>
      <c r="G1167" s="17" t="s">
        <v>1805</v>
      </c>
      <c r="H1167" s="17" t="s">
        <v>1930</v>
      </c>
      <c r="I1167" s="145" t="s">
        <v>39</v>
      </c>
      <c r="J1167" s="17" t="s">
        <v>2996</v>
      </c>
      <c r="K1167" s="14" t="s">
        <v>2959</v>
      </c>
      <c r="L1167" s="17" t="s">
        <v>39</v>
      </c>
      <c r="M1167" s="16">
        <v>8180209042</v>
      </c>
      <c r="N1167" s="16">
        <v>865011034400102</v>
      </c>
      <c r="O1167" s="38" t="s">
        <v>3120</v>
      </c>
      <c r="P1167" s="17" t="s">
        <v>2995</v>
      </c>
      <c r="Q1167" s="17" t="s">
        <v>2559</v>
      </c>
      <c r="R1167" s="18">
        <v>0</v>
      </c>
      <c r="S1167" s="19" t="s">
        <v>2977</v>
      </c>
      <c r="T1167" s="17"/>
      <c r="U1167" s="66"/>
    </row>
    <row r="1168" spans="2:21" s="15" customFormat="1" ht="29" x14ac:dyDescent="0.35">
      <c r="B1168" s="64">
        <v>45727</v>
      </c>
      <c r="C1168" s="17">
        <v>1062</v>
      </c>
      <c r="D1168" s="85" t="s">
        <v>2997</v>
      </c>
      <c r="E1168" s="85" t="s">
        <v>3122</v>
      </c>
      <c r="F1168" s="85" t="s">
        <v>1468</v>
      </c>
      <c r="G1168" s="17" t="s">
        <v>1805</v>
      </c>
      <c r="H1168" s="17" t="s">
        <v>1930</v>
      </c>
      <c r="I1168" s="145" t="s">
        <v>39</v>
      </c>
      <c r="J1168" s="17" t="s">
        <v>2999</v>
      </c>
      <c r="K1168" s="17" t="s">
        <v>2998</v>
      </c>
      <c r="L1168" s="17" t="s">
        <v>39</v>
      </c>
      <c r="M1168" s="16">
        <v>8126205192</v>
      </c>
      <c r="N1168" s="16">
        <v>865011034396706</v>
      </c>
      <c r="O1168" s="16" t="s">
        <v>3124</v>
      </c>
      <c r="P1168" s="17" t="s">
        <v>3123</v>
      </c>
      <c r="Q1168" s="17" t="s">
        <v>2559</v>
      </c>
      <c r="R1168" s="18">
        <v>0</v>
      </c>
      <c r="S1168" s="19" t="s">
        <v>2977</v>
      </c>
      <c r="T1168" s="17"/>
      <c r="U1168" s="66"/>
    </row>
    <row r="1169" spans="2:21" s="15" customFormat="1" ht="29" x14ac:dyDescent="0.35">
      <c r="B1169" s="64">
        <v>45727</v>
      </c>
      <c r="C1169" s="17">
        <v>1063</v>
      </c>
      <c r="D1169" s="85" t="s">
        <v>3001</v>
      </c>
      <c r="E1169" s="85" t="s">
        <v>3122</v>
      </c>
      <c r="F1169" s="85" t="s">
        <v>1468</v>
      </c>
      <c r="G1169" s="17" t="s">
        <v>1805</v>
      </c>
      <c r="H1169" s="17" t="s">
        <v>1930</v>
      </c>
      <c r="I1169" s="145" t="s">
        <v>39</v>
      </c>
      <c r="J1169" s="17" t="s">
        <v>3002</v>
      </c>
      <c r="K1169" s="14" t="s">
        <v>1242</v>
      </c>
      <c r="L1169" s="17" t="s">
        <v>39</v>
      </c>
      <c r="M1169" s="16">
        <v>8261715047</v>
      </c>
      <c r="N1169" s="16">
        <v>359857084511872</v>
      </c>
      <c r="O1169" s="16" t="s">
        <v>39</v>
      </c>
      <c r="P1169" s="17" t="s">
        <v>409</v>
      </c>
      <c r="Q1169" s="17" t="s">
        <v>2559</v>
      </c>
      <c r="R1169" s="18">
        <v>0</v>
      </c>
      <c r="S1169" s="19" t="s">
        <v>2977</v>
      </c>
      <c r="T1169" s="17"/>
      <c r="U1169" s="66"/>
    </row>
    <row r="1170" spans="2:21" s="15" customFormat="1" ht="29" x14ac:dyDescent="0.35">
      <c r="B1170" s="64">
        <v>45727</v>
      </c>
      <c r="C1170" s="17">
        <v>1064</v>
      </c>
      <c r="D1170" s="85" t="s">
        <v>3000</v>
      </c>
      <c r="E1170" s="85" t="s">
        <v>3122</v>
      </c>
      <c r="F1170" s="85" t="s">
        <v>1468</v>
      </c>
      <c r="G1170" s="17" t="s">
        <v>1805</v>
      </c>
      <c r="H1170" s="17" t="s">
        <v>1930</v>
      </c>
      <c r="I1170" s="145" t="s">
        <v>39</v>
      </c>
      <c r="J1170" s="17" t="s">
        <v>2907</v>
      </c>
      <c r="K1170" s="14" t="s">
        <v>2908</v>
      </c>
      <c r="L1170" s="17" t="s">
        <v>39</v>
      </c>
      <c r="M1170" s="16">
        <v>8182597155</v>
      </c>
      <c r="N1170" s="16">
        <v>865011034399304</v>
      </c>
      <c r="O1170" s="16" t="s">
        <v>3126</v>
      </c>
      <c r="P1170" s="17" t="s">
        <v>3125</v>
      </c>
      <c r="Q1170" s="17" t="s">
        <v>2559</v>
      </c>
      <c r="R1170" s="18">
        <v>0</v>
      </c>
      <c r="S1170" s="19" t="s">
        <v>2977</v>
      </c>
      <c r="T1170" s="17"/>
      <c r="U1170" s="66"/>
    </row>
    <row r="1171" spans="2:21" s="15" customFormat="1" ht="29" x14ac:dyDescent="0.35">
      <c r="B1171" s="64">
        <v>45727</v>
      </c>
      <c r="C1171" s="17">
        <v>1065</v>
      </c>
      <c r="D1171" s="85" t="s">
        <v>3003</v>
      </c>
      <c r="E1171" s="85" t="s">
        <v>3122</v>
      </c>
      <c r="F1171" s="85" t="s">
        <v>1468</v>
      </c>
      <c r="G1171" s="17" t="s">
        <v>1805</v>
      </c>
      <c r="H1171" s="17" t="s">
        <v>1930</v>
      </c>
      <c r="I1171" s="145" t="s">
        <v>39</v>
      </c>
      <c r="J1171" s="17" t="s">
        <v>3004</v>
      </c>
      <c r="K1171" s="14" t="s">
        <v>1245</v>
      </c>
      <c r="L1171" s="17" t="s">
        <v>39</v>
      </c>
      <c r="M1171" s="16">
        <v>8119800986</v>
      </c>
      <c r="N1171" s="16">
        <v>865011034353319</v>
      </c>
      <c r="O1171" s="16" t="s">
        <v>3128</v>
      </c>
      <c r="P1171" s="17" t="s">
        <v>3127</v>
      </c>
      <c r="Q1171" s="17" t="s">
        <v>2559</v>
      </c>
      <c r="R1171" s="18">
        <v>0</v>
      </c>
      <c r="S1171" s="19" t="s">
        <v>2977</v>
      </c>
      <c r="T1171" s="17"/>
      <c r="U1171" s="66"/>
    </row>
    <row r="1172" spans="2:21" s="15" customFormat="1" ht="29" x14ac:dyDescent="0.35">
      <c r="B1172" s="64">
        <v>45727</v>
      </c>
      <c r="C1172" s="17">
        <v>1066</v>
      </c>
      <c r="D1172" s="85" t="s">
        <v>3005</v>
      </c>
      <c r="E1172" s="85" t="s">
        <v>3122</v>
      </c>
      <c r="F1172" s="85" t="s">
        <v>1468</v>
      </c>
      <c r="G1172" s="17" t="s">
        <v>1805</v>
      </c>
      <c r="H1172" s="17" t="s">
        <v>1930</v>
      </c>
      <c r="I1172" s="145" t="s">
        <v>39</v>
      </c>
      <c r="J1172" s="17" t="s">
        <v>2960</v>
      </c>
      <c r="K1172" s="17" t="s">
        <v>3006</v>
      </c>
      <c r="L1172" s="17" t="s">
        <v>39</v>
      </c>
      <c r="M1172" s="16">
        <v>8118247518</v>
      </c>
      <c r="N1172" s="16">
        <v>865011034742594</v>
      </c>
      <c r="O1172" s="16" t="s">
        <v>3130</v>
      </c>
      <c r="P1172" s="17" t="s">
        <v>3131</v>
      </c>
      <c r="Q1172" s="17" t="s">
        <v>2559</v>
      </c>
      <c r="R1172" s="18">
        <v>0</v>
      </c>
      <c r="S1172" s="19" t="s">
        <v>2977</v>
      </c>
      <c r="T1172" s="17"/>
      <c r="U1172" s="66"/>
    </row>
    <row r="1173" spans="2:21" s="15" customFormat="1" ht="29" x14ac:dyDescent="0.35">
      <c r="B1173" s="64">
        <v>45727</v>
      </c>
      <c r="C1173" s="17">
        <v>1067</v>
      </c>
      <c r="D1173" s="85" t="s">
        <v>3007</v>
      </c>
      <c r="E1173" s="85" t="s">
        <v>3122</v>
      </c>
      <c r="F1173" s="85" t="s">
        <v>1468</v>
      </c>
      <c r="G1173" s="17" t="s">
        <v>1805</v>
      </c>
      <c r="H1173" s="17" t="s">
        <v>1930</v>
      </c>
      <c r="I1173" s="145" t="s">
        <v>39</v>
      </c>
      <c r="J1173" s="17" t="s">
        <v>203</v>
      </c>
      <c r="K1173" s="17" t="s">
        <v>1259</v>
      </c>
      <c r="L1173" s="17" t="s">
        <v>39</v>
      </c>
      <c r="M1173" s="16">
        <v>81818059170</v>
      </c>
      <c r="N1173" s="16">
        <v>863756050069635</v>
      </c>
      <c r="O1173" s="16" t="s">
        <v>3136</v>
      </c>
      <c r="P1173" s="17" t="s">
        <v>3135</v>
      </c>
      <c r="Q1173" s="17" t="s">
        <v>2559</v>
      </c>
      <c r="R1173" s="18">
        <v>0</v>
      </c>
      <c r="S1173" s="19" t="s">
        <v>2977</v>
      </c>
      <c r="T1173" s="17"/>
      <c r="U1173" s="66"/>
    </row>
    <row r="1174" spans="2:21" s="15" customFormat="1" ht="29" x14ac:dyDescent="0.35">
      <c r="B1174" s="64">
        <v>45727</v>
      </c>
      <c r="C1174" s="17">
        <v>1068</v>
      </c>
      <c r="D1174" s="85" t="s">
        <v>3008</v>
      </c>
      <c r="E1174" s="85" t="s">
        <v>3122</v>
      </c>
      <c r="F1174" s="85" t="s">
        <v>1468</v>
      </c>
      <c r="G1174" s="17" t="s">
        <v>1805</v>
      </c>
      <c r="H1174" s="17" t="s">
        <v>1930</v>
      </c>
      <c r="I1174" s="145" t="s">
        <v>39</v>
      </c>
      <c r="J1174" s="17" t="s">
        <v>3009</v>
      </c>
      <c r="K1174" s="17" t="s">
        <v>3139</v>
      </c>
      <c r="L1174" s="17" t="s">
        <v>39</v>
      </c>
      <c r="M1174" s="16">
        <v>8128601975</v>
      </c>
      <c r="N1174" s="16">
        <v>865011034741174</v>
      </c>
      <c r="O1174" s="16" t="s">
        <v>3138</v>
      </c>
      <c r="P1174" s="17" t="s">
        <v>3137</v>
      </c>
      <c r="Q1174" s="17" t="s">
        <v>2559</v>
      </c>
      <c r="R1174" s="18">
        <v>0</v>
      </c>
      <c r="S1174" s="19" t="s">
        <v>2977</v>
      </c>
      <c r="T1174" s="17"/>
      <c r="U1174" s="66"/>
    </row>
    <row r="1175" spans="2:21" s="15" customFormat="1" ht="29" x14ac:dyDescent="0.35">
      <c r="B1175" s="64">
        <v>45727</v>
      </c>
      <c r="C1175" s="17">
        <v>1069</v>
      </c>
      <c r="D1175" s="85" t="s">
        <v>3010</v>
      </c>
      <c r="E1175" s="85" t="s">
        <v>3122</v>
      </c>
      <c r="F1175" s="85" t="s">
        <v>1468</v>
      </c>
      <c r="G1175" s="17" t="s">
        <v>1805</v>
      </c>
      <c r="H1175" s="17" t="s">
        <v>1930</v>
      </c>
      <c r="I1175" s="145" t="s">
        <v>39</v>
      </c>
      <c r="J1175" s="17" t="s">
        <v>3011</v>
      </c>
      <c r="K1175" s="17" t="s">
        <v>1261</v>
      </c>
      <c r="L1175" s="17" t="s">
        <v>39</v>
      </c>
      <c r="M1175" s="16">
        <v>8128601962</v>
      </c>
      <c r="N1175" s="16">
        <v>865011034740788</v>
      </c>
      <c r="O1175" s="16" t="s">
        <v>39</v>
      </c>
      <c r="P1175" s="17" t="s">
        <v>367</v>
      </c>
      <c r="Q1175" s="17" t="s">
        <v>2559</v>
      </c>
      <c r="R1175" s="18">
        <v>0</v>
      </c>
      <c r="S1175" s="19" t="s">
        <v>2977</v>
      </c>
      <c r="T1175" s="17"/>
      <c r="U1175" s="66"/>
    </row>
    <row r="1176" spans="2:21" s="15" customFormat="1" ht="29" x14ac:dyDescent="0.35">
      <c r="B1176" s="64">
        <v>45727</v>
      </c>
      <c r="C1176" s="17">
        <v>1070</v>
      </c>
      <c r="D1176" s="85" t="s">
        <v>3012</v>
      </c>
      <c r="E1176" s="85" t="s">
        <v>3122</v>
      </c>
      <c r="F1176" s="85" t="s">
        <v>1468</v>
      </c>
      <c r="G1176" s="17" t="s">
        <v>1805</v>
      </c>
      <c r="H1176" s="17" t="s">
        <v>1930</v>
      </c>
      <c r="I1176" s="145" t="s">
        <v>39</v>
      </c>
      <c r="J1176" s="17" t="s">
        <v>3144</v>
      </c>
      <c r="K1176" s="14" t="s">
        <v>2918</v>
      </c>
      <c r="L1176" s="17" t="s">
        <v>39</v>
      </c>
      <c r="M1176" s="16">
        <v>8182597326</v>
      </c>
      <c r="N1176" s="16">
        <v>865011034751132</v>
      </c>
      <c r="O1176" s="17" t="s">
        <v>357</v>
      </c>
      <c r="P1176" s="17" t="s">
        <v>39</v>
      </c>
      <c r="Q1176" s="17" t="s">
        <v>2559</v>
      </c>
      <c r="R1176" s="18">
        <v>0</v>
      </c>
      <c r="S1176" s="19" t="s">
        <v>2977</v>
      </c>
      <c r="T1176" s="17"/>
      <c r="U1176" s="66"/>
    </row>
    <row r="1177" spans="2:21" s="15" customFormat="1" ht="29" x14ac:dyDescent="0.35">
      <c r="B1177" s="64">
        <v>45727</v>
      </c>
      <c r="C1177" s="17">
        <v>1071</v>
      </c>
      <c r="D1177" s="85" t="s">
        <v>3013</v>
      </c>
      <c r="E1177" s="85" t="s">
        <v>3122</v>
      </c>
      <c r="F1177" s="85" t="s">
        <v>1468</v>
      </c>
      <c r="G1177" s="17" t="s">
        <v>1805</v>
      </c>
      <c r="H1177" s="17" t="s">
        <v>1930</v>
      </c>
      <c r="I1177" s="145" t="s">
        <v>39</v>
      </c>
      <c r="J1177" s="14" t="s">
        <v>356</v>
      </c>
      <c r="K1177" s="17" t="s">
        <v>1266</v>
      </c>
      <c r="L1177" s="17" t="s">
        <v>39</v>
      </c>
      <c r="M1177" s="16">
        <v>8135516708</v>
      </c>
      <c r="N1177" s="16">
        <v>865011034751256</v>
      </c>
      <c r="O1177" s="17" t="s">
        <v>3146</v>
      </c>
      <c r="P1177" s="17" t="s">
        <v>3145</v>
      </c>
      <c r="Q1177" s="17" t="s">
        <v>2559</v>
      </c>
      <c r="R1177" s="18">
        <v>0</v>
      </c>
      <c r="S1177" s="19" t="s">
        <v>2977</v>
      </c>
      <c r="T1177" s="17"/>
      <c r="U1177" s="66"/>
    </row>
    <row r="1178" spans="2:21" s="15" customFormat="1" ht="29" x14ac:dyDescent="0.35">
      <c r="B1178" s="64">
        <v>45727</v>
      </c>
      <c r="C1178" s="17">
        <v>1072</v>
      </c>
      <c r="D1178" s="85" t="s">
        <v>3014</v>
      </c>
      <c r="E1178" s="85" t="s">
        <v>3122</v>
      </c>
      <c r="F1178" s="85" t="s">
        <v>1468</v>
      </c>
      <c r="G1178" s="17" t="s">
        <v>1805</v>
      </c>
      <c r="H1178" s="17" t="s">
        <v>1930</v>
      </c>
      <c r="I1178" s="145" t="s">
        <v>39</v>
      </c>
      <c r="J1178" s="17" t="s">
        <v>3016</v>
      </c>
      <c r="K1178" s="17" t="s">
        <v>3015</v>
      </c>
      <c r="L1178" s="17" t="s">
        <v>39</v>
      </c>
      <c r="M1178" s="16">
        <v>8110448979</v>
      </c>
      <c r="N1178" s="16">
        <v>865011034752213</v>
      </c>
      <c r="O1178" s="16" t="s">
        <v>3148</v>
      </c>
      <c r="P1178" s="17" t="s">
        <v>3147</v>
      </c>
      <c r="Q1178" s="17" t="s">
        <v>2559</v>
      </c>
      <c r="R1178" s="18">
        <v>0</v>
      </c>
      <c r="S1178" s="19" t="s">
        <v>2977</v>
      </c>
      <c r="T1178" s="17"/>
      <c r="U1178" s="66"/>
    </row>
    <row r="1179" spans="2:21" s="15" customFormat="1" ht="29" x14ac:dyDescent="0.35">
      <c r="B1179" s="64">
        <v>45727</v>
      </c>
      <c r="C1179" s="17">
        <v>1073</v>
      </c>
      <c r="D1179" s="85" t="s">
        <v>3017</v>
      </c>
      <c r="E1179" s="85" t="s">
        <v>3122</v>
      </c>
      <c r="F1179" s="85" t="s">
        <v>1468</v>
      </c>
      <c r="G1179" s="17" t="s">
        <v>1805</v>
      </c>
      <c r="H1179" s="17" t="s">
        <v>1930</v>
      </c>
      <c r="I1179" s="145" t="s">
        <v>39</v>
      </c>
      <c r="J1179" s="17" t="s">
        <v>347</v>
      </c>
      <c r="K1179" s="14" t="s">
        <v>1271</v>
      </c>
      <c r="L1179" s="17" t="s">
        <v>39</v>
      </c>
      <c r="M1179" s="16">
        <v>8261715042</v>
      </c>
      <c r="N1179" s="16">
        <v>863257067853426</v>
      </c>
      <c r="O1179" s="16" t="s">
        <v>39</v>
      </c>
      <c r="P1179" s="17" t="s">
        <v>346</v>
      </c>
      <c r="Q1179" s="17" t="s">
        <v>2559</v>
      </c>
      <c r="R1179" s="18">
        <v>0</v>
      </c>
      <c r="S1179" s="19" t="s">
        <v>2977</v>
      </c>
      <c r="T1179" s="17"/>
      <c r="U1179" s="66"/>
    </row>
    <row r="1180" spans="2:21" s="15" customFormat="1" ht="29" x14ac:dyDescent="0.35">
      <c r="B1180" s="64">
        <v>45727</v>
      </c>
      <c r="C1180" s="17">
        <v>1074</v>
      </c>
      <c r="D1180" s="85" t="s">
        <v>3018</v>
      </c>
      <c r="E1180" s="85" t="s">
        <v>3122</v>
      </c>
      <c r="F1180" s="85" t="s">
        <v>1468</v>
      </c>
      <c r="G1180" s="17" t="s">
        <v>1805</v>
      </c>
      <c r="H1180" s="17" t="s">
        <v>1930</v>
      </c>
      <c r="I1180" s="145" t="s">
        <v>39</v>
      </c>
      <c r="J1180" s="17" t="s">
        <v>3021</v>
      </c>
      <c r="K1180" s="17" t="s">
        <v>3019</v>
      </c>
      <c r="L1180" s="17" t="s">
        <v>39</v>
      </c>
      <c r="M1180" s="16">
        <v>8119174201</v>
      </c>
      <c r="N1180" s="16">
        <v>350544502824033</v>
      </c>
      <c r="O1180" s="16" t="s">
        <v>39</v>
      </c>
      <c r="P1180" s="17" t="s">
        <v>3020</v>
      </c>
      <c r="Q1180" s="17" t="s">
        <v>2559</v>
      </c>
      <c r="R1180" s="18">
        <v>0</v>
      </c>
      <c r="S1180" s="19" t="s">
        <v>2977</v>
      </c>
      <c r="T1180" s="17"/>
      <c r="U1180" s="66"/>
    </row>
    <row r="1181" spans="2:21" s="15" customFormat="1" ht="29" x14ac:dyDescent="0.35">
      <c r="B1181" s="64">
        <v>45727</v>
      </c>
      <c r="C1181" s="17">
        <v>1075</v>
      </c>
      <c r="D1181" s="85" t="s">
        <v>3022</v>
      </c>
      <c r="E1181" s="85" t="s">
        <v>3122</v>
      </c>
      <c r="F1181" s="85" t="s">
        <v>1468</v>
      </c>
      <c r="G1181" s="17" t="s">
        <v>1805</v>
      </c>
      <c r="H1181" s="17" t="s">
        <v>1930</v>
      </c>
      <c r="I1181" s="145" t="s">
        <v>39</v>
      </c>
      <c r="J1181" s="17" t="s">
        <v>3023</v>
      </c>
      <c r="K1181" s="17" t="s">
        <v>1274</v>
      </c>
      <c r="L1181" s="17" t="s">
        <v>39</v>
      </c>
      <c r="M1181" s="16">
        <v>8183963084</v>
      </c>
      <c r="N1181" s="16">
        <v>863844050552089</v>
      </c>
      <c r="O1181" s="16" t="s">
        <v>39</v>
      </c>
      <c r="P1181" s="17" t="s">
        <v>340</v>
      </c>
      <c r="Q1181" s="17" t="s">
        <v>2559</v>
      </c>
      <c r="R1181" s="18">
        <v>0</v>
      </c>
      <c r="S1181" s="19" t="s">
        <v>2977</v>
      </c>
      <c r="T1181" s="17"/>
      <c r="U1181" s="66"/>
    </row>
    <row r="1182" spans="2:21" s="15" customFormat="1" ht="29" x14ac:dyDescent="0.35">
      <c r="B1182" s="64">
        <v>45727</v>
      </c>
      <c r="C1182" s="17">
        <v>1076</v>
      </c>
      <c r="D1182" s="85" t="s">
        <v>3024</v>
      </c>
      <c r="E1182" s="85" t="s">
        <v>3122</v>
      </c>
      <c r="F1182" s="85" t="s">
        <v>1468</v>
      </c>
      <c r="G1182" s="17" t="s">
        <v>1805</v>
      </c>
      <c r="H1182" s="17" t="s">
        <v>1930</v>
      </c>
      <c r="I1182" s="145" t="s">
        <v>39</v>
      </c>
      <c r="J1182" s="14" t="s">
        <v>2928</v>
      </c>
      <c r="K1182" s="17" t="s">
        <v>1278</v>
      </c>
      <c r="L1182" s="17" t="s">
        <v>39</v>
      </c>
      <c r="M1182" s="16">
        <v>8123557033</v>
      </c>
      <c r="N1182" s="16">
        <v>863830030950436</v>
      </c>
      <c r="O1182" s="16" t="s">
        <v>3153</v>
      </c>
      <c r="P1182" s="17" t="s">
        <v>3152</v>
      </c>
      <c r="Q1182" s="17" t="s">
        <v>2559</v>
      </c>
      <c r="R1182" s="18">
        <v>0</v>
      </c>
      <c r="S1182" s="19" t="s">
        <v>2977</v>
      </c>
      <c r="T1182" s="17"/>
      <c r="U1182" s="66"/>
    </row>
    <row r="1183" spans="2:21" s="15" customFormat="1" ht="29" x14ac:dyDescent="0.35">
      <c r="B1183" s="64">
        <v>45727</v>
      </c>
      <c r="C1183" s="17">
        <v>1077</v>
      </c>
      <c r="D1183" s="85" t="s">
        <v>3025</v>
      </c>
      <c r="E1183" s="85" t="s">
        <v>3122</v>
      </c>
      <c r="F1183" s="85" t="s">
        <v>1468</v>
      </c>
      <c r="G1183" s="17" t="s">
        <v>1805</v>
      </c>
      <c r="H1183" s="17" t="s">
        <v>1930</v>
      </c>
      <c r="I1183" s="145" t="s">
        <v>39</v>
      </c>
      <c r="J1183" s="17" t="s">
        <v>3026</v>
      </c>
      <c r="K1183" s="17" t="s">
        <v>2925</v>
      </c>
      <c r="L1183" s="17" t="s">
        <v>39</v>
      </c>
      <c r="M1183" s="16">
        <v>8261715039</v>
      </c>
      <c r="N1183" s="16">
        <v>359857084508191</v>
      </c>
      <c r="O1183" s="16" t="s">
        <v>3155</v>
      </c>
      <c r="P1183" s="17" t="s">
        <v>3154</v>
      </c>
      <c r="Q1183" s="17" t="s">
        <v>2559</v>
      </c>
      <c r="R1183" s="18">
        <v>0</v>
      </c>
      <c r="S1183" s="19" t="s">
        <v>2977</v>
      </c>
      <c r="T1183" s="17"/>
      <c r="U1183" s="66"/>
    </row>
    <row r="1184" spans="2:21" s="15" customFormat="1" ht="29" x14ac:dyDescent="0.35">
      <c r="B1184" s="64">
        <v>45727</v>
      </c>
      <c r="C1184" s="17">
        <v>1078</v>
      </c>
      <c r="D1184" s="85" t="s">
        <v>3027</v>
      </c>
      <c r="E1184" s="85" t="s">
        <v>3122</v>
      </c>
      <c r="F1184" s="85" t="s">
        <v>1468</v>
      </c>
      <c r="G1184" s="17" t="s">
        <v>1805</v>
      </c>
      <c r="H1184" s="17" t="s">
        <v>1930</v>
      </c>
      <c r="I1184" s="145" t="s">
        <v>39</v>
      </c>
      <c r="J1184" s="17" t="s">
        <v>3156</v>
      </c>
      <c r="K1184" s="17" t="s">
        <v>2064</v>
      </c>
      <c r="L1184" s="17" t="s">
        <v>39</v>
      </c>
      <c r="M1184" s="16">
        <v>8112528118</v>
      </c>
      <c r="N1184" s="16">
        <v>868998039483314</v>
      </c>
      <c r="O1184" s="16" t="s">
        <v>3158</v>
      </c>
      <c r="P1184" s="17" t="s">
        <v>324</v>
      </c>
      <c r="Q1184" s="17" t="s">
        <v>2559</v>
      </c>
      <c r="R1184" s="18">
        <v>0</v>
      </c>
      <c r="S1184" s="19" t="s">
        <v>2977</v>
      </c>
      <c r="T1184" s="17"/>
      <c r="U1184" s="66"/>
    </row>
    <row r="1185" spans="2:21" s="15" customFormat="1" ht="29" x14ac:dyDescent="0.35">
      <c r="B1185" s="64">
        <v>45727</v>
      </c>
      <c r="C1185" s="17">
        <v>1079</v>
      </c>
      <c r="D1185" s="85" t="s">
        <v>3028</v>
      </c>
      <c r="E1185" s="85" t="s">
        <v>3122</v>
      </c>
      <c r="F1185" s="85" t="s">
        <v>1468</v>
      </c>
      <c r="G1185" s="17" t="s">
        <v>1805</v>
      </c>
      <c r="H1185" s="17" t="s">
        <v>1930</v>
      </c>
      <c r="I1185" s="145" t="s">
        <v>39</v>
      </c>
      <c r="J1185" s="14" t="s">
        <v>322</v>
      </c>
      <c r="K1185" s="17" t="s">
        <v>1282</v>
      </c>
      <c r="L1185" s="17" t="s">
        <v>39</v>
      </c>
      <c r="M1185" s="16">
        <v>8118205369</v>
      </c>
      <c r="N1185" s="16">
        <v>863756050046310</v>
      </c>
      <c r="O1185" s="16" t="s">
        <v>3161</v>
      </c>
      <c r="P1185" s="14" t="s">
        <v>3159</v>
      </c>
      <c r="Q1185" s="17" t="s">
        <v>2559</v>
      </c>
      <c r="R1185" s="18">
        <v>0</v>
      </c>
      <c r="S1185" s="19" t="s">
        <v>2977</v>
      </c>
      <c r="T1185" s="17"/>
      <c r="U1185" s="66"/>
    </row>
    <row r="1186" spans="2:21" s="15" customFormat="1" ht="29" x14ac:dyDescent="0.35">
      <c r="B1186" s="64">
        <v>45727</v>
      </c>
      <c r="C1186" s="17">
        <v>1080</v>
      </c>
      <c r="D1186" s="85" t="s">
        <v>3029</v>
      </c>
      <c r="E1186" s="85" t="s">
        <v>3122</v>
      </c>
      <c r="F1186" s="85" t="s">
        <v>1468</v>
      </c>
      <c r="G1186" s="17" t="s">
        <v>1805</v>
      </c>
      <c r="H1186" s="17" t="s">
        <v>1930</v>
      </c>
      <c r="I1186" s="145" t="s">
        <v>39</v>
      </c>
      <c r="J1186" s="14" t="s">
        <v>321</v>
      </c>
      <c r="K1186" s="17" t="s">
        <v>3030</v>
      </c>
      <c r="L1186" s="17" t="s">
        <v>39</v>
      </c>
      <c r="M1186" s="16">
        <v>8119088985</v>
      </c>
      <c r="N1186" s="16">
        <v>863940059314628</v>
      </c>
      <c r="O1186" s="16" t="s">
        <v>3163</v>
      </c>
      <c r="P1186" s="17" t="s">
        <v>3162</v>
      </c>
      <c r="Q1186" s="17" t="s">
        <v>2559</v>
      </c>
      <c r="R1186" s="18">
        <v>0</v>
      </c>
      <c r="S1186" s="19" t="s">
        <v>2977</v>
      </c>
      <c r="T1186" s="17"/>
      <c r="U1186" s="66"/>
    </row>
    <row r="1187" spans="2:21" s="15" customFormat="1" ht="29" x14ac:dyDescent="0.35">
      <c r="B1187" s="64">
        <v>45727</v>
      </c>
      <c r="C1187" s="17">
        <v>1081</v>
      </c>
      <c r="D1187" s="85" t="s">
        <v>3031</v>
      </c>
      <c r="E1187" s="85" t="s">
        <v>3122</v>
      </c>
      <c r="F1187" s="85" t="s">
        <v>1468</v>
      </c>
      <c r="G1187" s="17" t="s">
        <v>1805</v>
      </c>
      <c r="H1187" s="17" t="s">
        <v>1930</v>
      </c>
      <c r="I1187" s="145" t="s">
        <v>39</v>
      </c>
      <c r="J1187" s="17" t="s">
        <v>3032</v>
      </c>
      <c r="K1187" s="17" t="s">
        <v>2933</v>
      </c>
      <c r="L1187" s="17" t="s">
        <v>39</v>
      </c>
      <c r="M1187" s="16">
        <v>8118003443</v>
      </c>
      <c r="N1187" s="16">
        <v>863257067777393</v>
      </c>
      <c r="O1187" s="16" t="s">
        <v>39</v>
      </c>
      <c r="P1187" s="17" t="s">
        <v>3033</v>
      </c>
      <c r="Q1187" s="17" t="s">
        <v>2559</v>
      </c>
      <c r="R1187" s="18">
        <v>0</v>
      </c>
      <c r="S1187" s="19" t="s">
        <v>2977</v>
      </c>
      <c r="T1187" s="17"/>
      <c r="U1187" s="66"/>
    </row>
    <row r="1188" spans="2:21" s="15" customFormat="1" ht="29" x14ac:dyDescent="0.35">
      <c r="B1188" s="64">
        <v>45727</v>
      </c>
      <c r="C1188" s="17">
        <v>1082</v>
      </c>
      <c r="D1188" s="85" t="s">
        <v>3034</v>
      </c>
      <c r="E1188" s="85" t="s">
        <v>3122</v>
      </c>
      <c r="F1188" s="85" t="s">
        <v>1468</v>
      </c>
      <c r="G1188" s="17" t="s">
        <v>1805</v>
      </c>
      <c r="H1188" s="17" t="s">
        <v>1930</v>
      </c>
      <c r="I1188" s="145" t="s">
        <v>39</v>
      </c>
      <c r="J1188" s="17" t="s">
        <v>3164</v>
      </c>
      <c r="K1188" s="17" t="s">
        <v>3035</v>
      </c>
      <c r="L1188" s="17" t="s">
        <v>39</v>
      </c>
      <c r="M1188" s="16">
        <v>8112096871</v>
      </c>
      <c r="N1188" s="16">
        <v>863756050074650</v>
      </c>
      <c r="O1188" s="16" t="s">
        <v>3166</v>
      </c>
      <c r="P1188" s="17" t="s">
        <v>3165</v>
      </c>
      <c r="Q1188" s="17" t="s">
        <v>2559</v>
      </c>
      <c r="R1188" s="18">
        <v>0</v>
      </c>
      <c r="S1188" s="19" t="s">
        <v>2977</v>
      </c>
      <c r="T1188" s="17"/>
      <c r="U1188" s="66"/>
    </row>
    <row r="1189" spans="2:21" s="15" customFormat="1" ht="29" x14ac:dyDescent="0.35">
      <c r="B1189" s="64">
        <v>45727</v>
      </c>
      <c r="C1189" s="17">
        <v>1083</v>
      </c>
      <c r="D1189" s="85" t="s">
        <v>3036</v>
      </c>
      <c r="E1189" s="85" t="s">
        <v>3122</v>
      </c>
      <c r="F1189" s="85" t="s">
        <v>1468</v>
      </c>
      <c r="G1189" s="17" t="s">
        <v>1805</v>
      </c>
      <c r="H1189" s="17" t="s">
        <v>1930</v>
      </c>
      <c r="I1189" s="145" t="s">
        <v>39</v>
      </c>
      <c r="J1189" s="17" t="s">
        <v>3037</v>
      </c>
      <c r="K1189" s="17" t="s">
        <v>3038</v>
      </c>
      <c r="L1189" s="17" t="s">
        <v>39</v>
      </c>
      <c r="M1189" s="16">
        <v>8116006531</v>
      </c>
      <c r="N1189" s="16">
        <v>863756050069536</v>
      </c>
      <c r="O1189" s="16" t="s">
        <v>3168</v>
      </c>
      <c r="P1189" s="17" t="s">
        <v>3167</v>
      </c>
      <c r="Q1189" s="17" t="s">
        <v>2559</v>
      </c>
      <c r="R1189" s="18">
        <v>0</v>
      </c>
      <c r="S1189" s="19" t="s">
        <v>2977</v>
      </c>
      <c r="T1189" s="17"/>
      <c r="U1189" s="66"/>
    </row>
    <row r="1190" spans="2:21" s="15" customFormat="1" ht="29" x14ac:dyDescent="0.35">
      <c r="B1190" s="64">
        <v>45727</v>
      </c>
      <c r="C1190" s="17">
        <v>1084</v>
      </c>
      <c r="D1190" s="85" t="s">
        <v>3039</v>
      </c>
      <c r="E1190" s="85" t="s">
        <v>3122</v>
      </c>
      <c r="F1190" s="85" t="s">
        <v>1468</v>
      </c>
      <c r="G1190" s="17" t="s">
        <v>1805</v>
      </c>
      <c r="H1190" s="17" t="s">
        <v>1930</v>
      </c>
      <c r="I1190" s="145" t="s">
        <v>39</v>
      </c>
      <c r="J1190" s="17" t="s">
        <v>2936</v>
      </c>
      <c r="K1190" s="17" t="s">
        <v>2935</v>
      </c>
      <c r="L1190" s="17" t="s">
        <v>39</v>
      </c>
      <c r="M1190" s="16">
        <v>8119096190</v>
      </c>
      <c r="N1190" s="16">
        <v>869220040531240</v>
      </c>
      <c r="O1190" s="16" t="s">
        <v>3169</v>
      </c>
      <c r="P1190" s="17" t="s">
        <v>3170</v>
      </c>
      <c r="Q1190" s="17" t="s">
        <v>2559</v>
      </c>
      <c r="R1190" s="18">
        <v>0</v>
      </c>
      <c r="S1190" s="19" t="s">
        <v>2977</v>
      </c>
      <c r="T1190" s="17"/>
      <c r="U1190" s="66"/>
    </row>
    <row r="1191" spans="2:21" s="15" customFormat="1" ht="29" x14ac:dyDescent="0.35">
      <c r="B1191" s="64">
        <v>45727</v>
      </c>
      <c r="C1191" s="17">
        <v>1085</v>
      </c>
      <c r="D1191" s="85" t="s">
        <v>3040</v>
      </c>
      <c r="E1191" s="85" t="s">
        <v>3122</v>
      </c>
      <c r="F1191" s="85" t="s">
        <v>1468</v>
      </c>
      <c r="G1191" s="17" t="s">
        <v>1805</v>
      </c>
      <c r="H1191" s="17" t="s">
        <v>1930</v>
      </c>
      <c r="I1191" s="145" t="s">
        <v>39</v>
      </c>
      <c r="J1191" s="17" t="s">
        <v>2966</v>
      </c>
      <c r="K1191" s="17" t="s">
        <v>2965</v>
      </c>
      <c r="L1191" s="17" t="s">
        <v>39</v>
      </c>
      <c r="M1191" s="16">
        <v>8119774738</v>
      </c>
      <c r="N1191" s="16">
        <v>863756050122673</v>
      </c>
      <c r="O1191" s="16" t="s">
        <v>3173</v>
      </c>
      <c r="P1191" s="14" t="s">
        <v>3171</v>
      </c>
      <c r="Q1191" s="17" t="s">
        <v>2559</v>
      </c>
      <c r="R1191" s="18">
        <v>0</v>
      </c>
      <c r="S1191" s="19" t="s">
        <v>2977</v>
      </c>
      <c r="T1191" s="17"/>
      <c r="U1191" s="66"/>
    </row>
    <row r="1192" spans="2:21" s="15" customFormat="1" ht="29" x14ac:dyDescent="0.35">
      <c r="B1192" s="64">
        <v>45727</v>
      </c>
      <c r="C1192" s="17">
        <v>1086</v>
      </c>
      <c r="D1192" s="85" t="s">
        <v>3041</v>
      </c>
      <c r="E1192" s="85" t="s">
        <v>3122</v>
      </c>
      <c r="F1192" s="85" t="s">
        <v>1468</v>
      </c>
      <c r="G1192" s="17" t="s">
        <v>1805</v>
      </c>
      <c r="H1192" s="17" t="s">
        <v>1930</v>
      </c>
      <c r="I1192" s="145" t="s">
        <v>39</v>
      </c>
      <c r="J1192" s="17" t="s">
        <v>1562</v>
      </c>
      <c r="K1192" s="17" t="s">
        <v>2967</v>
      </c>
      <c r="L1192" s="17" t="s">
        <v>39</v>
      </c>
      <c r="M1192" s="16">
        <v>8134058859</v>
      </c>
      <c r="N1192" s="16">
        <v>863756050115784</v>
      </c>
      <c r="O1192" s="16" t="s">
        <v>39</v>
      </c>
      <c r="P1192" s="17" t="s">
        <v>243</v>
      </c>
      <c r="Q1192" s="17" t="s">
        <v>2559</v>
      </c>
      <c r="R1192" s="18">
        <v>0</v>
      </c>
      <c r="S1192" s="19" t="s">
        <v>2977</v>
      </c>
      <c r="T1192" s="17"/>
      <c r="U1192" s="66"/>
    </row>
    <row r="1193" spans="2:21" s="15" customFormat="1" ht="29" x14ac:dyDescent="0.35">
      <c r="B1193" s="64">
        <v>45727</v>
      </c>
      <c r="C1193" s="17">
        <v>1087</v>
      </c>
      <c r="D1193" s="85" t="s">
        <v>3042</v>
      </c>
      <c r="E1193" s="85" t="s">
        <v>3122</v>
      </c>
      <c r="F1193" s="85" t="s">
        <v>1468</v>
      </c>
      <c r="G1193" s="17" t="s">
        <v>1805</v>
      </c>
      <c r="H1193" s="17" t="s">
        <v>1930</v>
      </c>
      <c r="I1193" s="145" t="s">
        <v>39</v>
      </c>
      <c r="J1193" s="14" t="s">
        <v>251</v>
      </c>
      <c r="K1193" s="17" t="s">
        <v>1306</v>
      </c>
      <c r="L1193" s="17" t="s">
        <v>39</v>
      </c>
      <c r="M1193" s="16">
        <v>8180927463</v>
      </c>
      <c r="N1193" s="16">
        <v>357073296076025</v>
      </c>
      <c r="O1193" s="16" t="s">
        <v>3180</v>
      </c>
      <c r="P1193" s="17" t="s">
        <v>3181</v>
      </c>
      <c r="Q1193" s="17" t="s">
        <v>2559</v>
      </c>
      <c r="R1193" s="18">
        <v>0</v>
      </c>
      <c r="S1193" s="19" t="s">
        <v>2977</v>
      </c>
      <c r="T1193" s="17"/>
      <c r="U1193" s="66"/>
    </row>
    <row r="1194" spans="2:21" s="15" customFormat="1" ht="29" x14ac:dyDescent="0.35">
      <c r="B1194" s="64">
        <v>45727</v>
      </c>
      <c r="C1194" s="17">
        <v>1088</v>
      </c>
      <c r="D1194" s="85" t="s">
        <v>3043</v>
      </c>
      <c r="E1194" s="85" t="s">
        <v>3122</v>
      </c>
      <c r="F1194" s="85" t="s">
        <v>1468</v>
      </c>
      <c r="G1194" s="17" t="s">
        <v>1805</v>
      </c>
      <c r="H1194" s="17" t="s">
        <v>1930</v>
      </c>
      <c r="I1194" s="145" t="s">
        <v>39</v>
      </c>
      <c r="J1194" s="17" t="s">
        <v>3044</v>
      </c>
      <c r="K1194" s="17" t="s">
        <v>1312</v>
      </c>
      <c r="L1194" s="17" t="s">
        <v>39</v>
      </c>
      <c r="M1194" s="16">
        <v>8126203016</v>
      </c>
      <c r="N1194" s="16">
        <v>357073296076108</v>
      </c>
      <c r="O1194" s="16" t="s">
        <v>3184</v>
      </c>
      <c r="P1194" s="17" t="s">
        <v>3185</v>
      </c>
      <c r="Q1194" s="17" t="s">
        <v>2559</v>
      </c>
      <c r="R1194" s="18">
        <v>0</v>
      </c>
      <c r="S1194" s="19" t="s">
        <v>2977</v>
      </c>
      <c r="T1194" s="17"/>
      <c r="U1194" s="66"/>
    </row>
    <row r="1195" spans="2:21" s="15" customFormat="1" ht="29" x14ac:dyDescent="0.35">
      <c r="B1195" s="64">
        <v>45727</v>
      </c>
      <c r="C1195" s="17">
        <v>1089</v>
      </c>
      <c r="D1195" s="85" t="s">
        <v>3045</v>
      </c>
      <c r="E1195" s="85" t="s">
        <v>3122</v>
      </c>
      <c r="F1195" s="85" t="s">
        <v>1468</v>
      </c>
      <c r="G1195" s="17" t="s">
        <v>1805</v>
      </c>
      <c r="H1195" s="17" t="s">
        <v>1930</v>
      </c>
      <c r="I1195" s="145" t="s">
        <v>39</v>
      </c>
      <c r="J1195" s="14" t="s">
        <v>216</v>
      </c>
      <c r="K1195" s="58" t="s">
        <v>2968</v>
      </c>
      <c r="L1195" s="17" t="s">
        <v>39</v>
      </c>
      <c r="M1195" s="16">
        <v>8120398838</v>
      </c>
      <c r="N1195" s="16">
        <v>869220040531828</v>
      </c>
      <c r="O1195" s="38" t="s">
        <v>3187</v>
      </c>
      <c r="P1195" s="17" t="s">
        <v>3046</v>
      </c>
      <c r="Q1195" s="17" t="s">
        <v>2559</v>
      </c>
      <c r="R1195" s="18">
        <v>0</v>
      </c>
      <c r="S1195" s="19" t="s">
        <v>2977</v>
      </c>
      <c r="T1195" s="17"/>
      <c r="U1195" s="66"/>
    </row>
    <row r="1196" spans="2:21" s="15" customFormat="1" ht="29" x14ac:dyDescent="0.35">
      <c r="B1196" s="64">
        <v>45727</v>
      </c>
      <c r="C1196" s="17">
        <v>1090</v>
      </c>
      <c r="D1196" s="85" t="s">
        <v>3047</v>
      </c>
      <c r="E1196" s="85" t="s">
        <v>3122</v>
      </c>
      <c r="F1196" s="85" t="s">
        <v>1468</v>
      </c>
      <c r="G1196" s="17" t="s">
        <v>1805</v>
      </c>
      <c r="H1196" s="17" t="s">
        <v>1930</v>
      </c>
      <c r="I1196" s="145" t="s">
        <v>39</v>
      </c>
      <c r="J1196" s="14" t="s">
        <v>214</v>
      </c>
      <c r="K1196" s="17" t="s">
        <v>1324</v>
      </c>
      <c r="L1196" s="17" t="s">
        <v>39</v>
      </c>
      <c r="M1196" s="16">
        <v>8121997902</v>
      </c>
      <c r="N1196" s="16">
        <v>869220040533105</v>
      </c>
      <c r="O1196" s="16" t="s">
        <v>3189</v>
      </c>
      <c r="P1196" s="17" t="s">
        <v>3048</v>
      </c>
      <c r="Q1196" s="17" t="s">
        <v>2559</v>
      </c>
      <c r="R1196" s="18">
        <v>0</v>
      </c>
      <c r="S1196" s="19" t="s">
        <v>2977</v>
      </c>
      <c r="T1196" s="17"/>
      <c r="U1196" s="66"/>
    </row>
    <row r="1197" spans="2:21" s="15" customFormat="1" ht="29" x14ac:dyDescent="0.35">
      <c r="B1197" s="64">
        <v>45727</v>
      </c>
      <c r="C1197" s="17">
        <v>1091</v>
      </c>
      <c r="D1197" s="85" t="s">
        <v>3049</v>
      </c>
      <c r="E1197" s="85" t="s">
        <v>3122</v>
      </c>
      <c r="F1197" s="85" t="s">
        <v>1468</v>
      </c>
      <c r="G1197" s="17" t="s">
        <v>1805</v>
      </c>
      <c r="H1197" s="17" t="s">
        <v>1930</v>
      </c>
      <c r="I1197" s="145" t="s">
        <v>39</v>
      </c>
      <c r="J1197" s="17" t="s">
        <v>2944</v>
      </c>
      <c r="K1197" s="17" t="s">
        <v>3050</v>
      </c>
      <c r="L1197" s="17" t="s">
        <v>39</v>
      </c>
      <c r="M1197" s="16">
        <v>8116006908</v>
      </c>
      <c r="N1197" s="16">
        <v>865011034397720</v>
      </c>
      <c r="O1197" s="16" t="s">
        <v>39</v>
      </c>
      <c r="P1197" s="17" t="s">
        <v>201</v>
      </c>
      <c r="Q1197" s="17" t="s">
        <v>2559</v>
      </c>
      <c r="R1197" s="18">
        <v>0</v>
      </c>
      <c r="S1197" s="19" t="s">
        <v>2977</v>
      </c>
      <c r="T1197" s="17"/>
      <c r="U1197" s="66"/>
    </row>
    <row r="1198" spans="2:21" s="15" customFormat="1" ht="29" x14ac:dyDescent="0.35">
      <c r="B1198" s="64">
        <v>45727</v>
      </c>
      <c r="C1198" s="17">
        <v>1092</v>
      </c>
      <c r="D1198" s="85" t="s">
        <v>3051</v>
      </c>
      <c r="E1198" s="85" t="s">
        <v>3122</v>
      </c>
      <c r="F1198" s="85" t="s">
        <v>1468</v>
      </c>
      <c r="G1198" s="17" t="s">
        <v>1805</v>
      </c>
      <c r="H1198" s="17" t="s">
        <v>1930</v>
      </c>
      <c r="I1198" s="145" t="s">
        <v>39</v>
      </c>
      <c r="J1198" s="17" t="s">
        <v>189</v>
      </c>
      <c r="K1198" s="17" t="s">
        <v>3052</v>
      </c>
      <c r="L1198" s="17" t="s">
        <v>39</v>
      </c>
      <c r="M1198" s="16">
        <v>8128601122</v>
      </c>
      <c r="N1198" s="16">
        <v>868166053313755</v>
      </c>
      <c r="O1198" s="16" t="s">
        <v>3191</v>
      </c>
      <c r="P1198" s="17" t="s">
        <v>3190</v>
      </c>
      <c r="Q1198" s="17" t="s">
        <v>2559</v>
      </c>
      <c r="R1198" s="18">
        <v>0</v>
      </c>
      <c r="S1198" s="19" t="s">
        <v>2977</v>
      </c>
      <c r="T1198" s="17"/>
      <c r="U1198" s="66"/>
    </row>
    <row r="1199" spans="2:21" s="15" customFormat="1" ht="29" x14ac:dyDescent="0.35">
      <c r="B1199" s="64">
        <v>45727</v>
      </c>
      <c r="C1199" s="17">
        <v>1093</v>
      </c>
      <c r="D1199" s="85" t="s">
        <v>3053</v>
      </c>
      <c r="E1199" s="85" t="s">
        <v>3122</v>
      </c>
      <c r="F1199" s="85" t="s">
        <v>1468</v>
      </c>
      <c r="G1199" s="17" t="s">
        <v>1805</v>
      </c>
      <c r="H1199" s="17" t="s">
        <v>1930</v>
      </c>
      <c r="I1199" s="145" t="s">
        <v>39</v>
      </c>
      <c r="J1199" s="14" t="s">
        <v>167</v>
      </c>
      <c r="K1199" s="17" t="s">
        <v>1334</v>
      </c>
      <c r="L1199" s="17" t="s">
        <v>39</v>
      </c>
      <c r="M1199" s="16">
        <v>8118249783</v>
      </c>
      <c r="N1199" s="16">
        <v>868166053313243</v>
      </c>
      <c r="O1199" s="16" t="s">
        <v>3193</v>
      </c>
      <c r="P1199" s="17" t="s">
        <v>3194</v>
      </c>
      <c r="Q1199" s="17" t="s">
        <v>2559</v>
      </c>
      <c r="R1199" s="18">
        <v>0</v>
      </c>
      <c r="S1199" s="19" t="s">
        <v>2977</v>
      </c>
      <c r="T1199" s="17"/>
      <c r="U1199" s="66"/>
    </row>
    <row r="1200" spans="2:21" s="15" customFormat="1" ht="29" x14ac:dyDescent="0.35">
      <c r="B1200" s="64">
        <v>45727</v>
      </c>
      <c r="C1200" s="17">
        <v>1094</v>
      </c>
      <c r="D1200" s="85" t="s">
        <v>3054</v>
      </c>
      <c r="E1200" s="85" t="s">
        <v>3122</v>
      </c>
      <c r="F1200" s="85" t="s">
        <v>1468</v>
      </c>
      <c r="G1200" s="17" t="s">
        <v>1805</v>
      </c>
      <c r="H1200" s="17" t="s">
        <v>1930</v>
      </c>
      <c r="I1200" s="145" t="s">
        <v>39</v>
      </c>
      <c r="J1200" s="14" t="s">
        <v>170</v>
      </c>
      <c r="K1200" s="17" t="s">
        <v>1340</v>
      </c>
      <c r="L1200" s="17" t="s">
        <v>39</v>
      </c>
      <c r="M1200" s="16">
        <v>8118229127</v>
      </c>
      <c r="N1200" s="16">
        <v>868166053314696</v>
      </c>
      <c r="O1200" s="16" t="s">
        <v>3197</v>
      </c>
      <c r="P1200" s="17" t="s">
        <v>3196</v>
      </c>
      <c r="Q1200" s="17" t="s">
        <v>2559</v>
      </c>
      <c r="R1200" s="18">
        <v>0</v>
      </c>
      <c r="S1200" s="19" t="s">
        <v>2977</v>
      </c>
      <c r="T1200" s="17"/>
      <c r="U1200" s="66"/>
    </row>
    <row r="1201" spans="2:21" s="15" customFormat="1" ht="29" x14ac:dyDescent="0.35">
      <c r="B1201" s="64">
        <v>45727</v>
      </c>
      <c r="C1201" s="17">
        <v>1095</v>
      </c>
      <c r="D1201" s="85" t="s">
        <v>3055</v>
      </c>
      <c r="E1201" s="85" t="s">
        <v>3122</v>
      </c>
      <c r="F1201" s="85" t="s">
        <v>1468</v>
      </c>
      <c r="G1201" s="17" t="s">
        <v>1805</v>
      </c>
      <c r="H1201" s="17" t="s">
        <v>1930</v>
      </c>
      <c r="I1201" s="145" t="s">
        <v>39</v>
      </c>
      <c r="J1201" s="17" t="s">
        <v>3056</v>
      </c>
      <c r="K1201" s="17" t="s">
        <v>2948</v>
      </c>
      <c r="L1201" s="17" t="s">
        <v>39</v>
      </c>
      <c r="M1201" s="16">
        <v>8134058729</v>
      </c>
      <c r="N1201" s="16">
        <v>863830030061234</v>
      </c>
      <c r="O1201" s="16" t="s">
        <v>3198</v>
      </c>
      <c r="P1201" s="17" t="s">
        <v>3199</v>
      </c>
      <c r="Q1201" s="17" t="s">
        <v>2559</v>
      </c>
      <c r="R1201" s="18">
        <v>0</v>
      </c>
      <c r="S1201" s="19" t="s">
        <v>2977</v>
      </c>
      <c r="T1201" s="17"/>
      <c r="U1201" s="66"/>
    </row>
    <row r="1202" spans="2:21" s="15" customFormat="1" ht="29" x14ac:dyDescent="0.35">
      <c r="B1202" s="64">
        <v>45727</v>
      </c>
      <c r="C1202" s="17">
        <v>1096</v>
      </c>
      <c r="D1202" s="85" t="s">
        <v>3057</v>
      </c>
      <c r="E1202" s="85" t="s">
        <v>3122</v>
      </c>
      <c r="F1202" s="85" t="s">
        <v>1468</v>
      </c>
      <c r="G1202" s="17" t="s">
        <v>1805</v>
      </c>
      <c r="H1202" s="17" t="s">
        <v>1930</v>
      </c>
      <c r="I1202" s="145" t="s">
        <v>39</v>
      </c>
      <c r="J1202" s="17" t="s">
        <v>3058</v>
      </c>
      <c r="K1202" s="17" t="s">
        <v>3059</v>
      </c>
      <c r="L1202" s="17" t="s">
        <v>39</v>
      </c>
      <c r="M1202" s="16">
        <v>8131242296</v>
      </c>
      <c r="N1202" s="16">
        <v>868166053312237</v>
      </c>
      <c r="O1202" s="16" t="s">
        <v>3200</v>
      </c>
      <c r="P1202" s="17" t="s">
        <v>3201</v>
      </c>
      <c r="Q1202" s="17" t="s">
        <v>2559</v>
      </c>
      <c r="R1202" s="18">
        <v>0</v>
      </c>
      <c r="S1202" s="19" t="s">
        <v>2977</v>
      </c>
      <c r="T1202" s="17"/>
      <c r="U1202" s="66"/>
    </row>
    <row r="1203" spans="2:21" s="15" customFormat="1" ht="29" x14ac:dyDescent="0.35">
      <c r="B1203" s="64">
        <v>45727</v>
      </c>
      <c r="C1203" s="17">
        <v>1097</v>
      </c>
      <c r="D1203" s="85" t="s">
        <v>3060</v>
      </c>
      <c r="E1203" s="85" t="s">
        <v>3122</v>
      </c>
      <c r="F1203" s="85" t="s">
        <v>1468</v>
      </c>
      <c r="G1203" s="17" t="s">
        <v>1805</v>
      </c>
      <c r="H1203" s="17" t="s">
        <v>1930</v>
      </c>
      <c r="I1203" s="145" t="s">
        <v>39</v>
      </c>
      <c r="J1203" s="14" t="s">
        <v>143</v>
      </c>
      <c r="K1203" s="17" t="s">
        <v>1351</v>
      </c>
      <c r="L1203" s="17" t="s">
        <v>39</v>
      </c>
      <c r="M1203" s="16">
        <v>8184663577</v>
      </c>
      <c r="N1203" s="16">
        <v>865011030825856</v>
      </c>
      <c r="O1203" s="16" t="s">
        <v>3209</v>
      </c>
      <c r="P1203" s="17" t="s">
        <v>3211</v>
      </c>
      <c r="Q1203" s="17" t="s">
        <v>2559</v>
      </c>
      <c r="R1203" s="18">
        <v>0</v>
      </c>
      <c r="S1203" s="19" t="s">
        <v>2977</v>
      </c>
      <c r="T1203" s="17"/>
      <c r="U1203" s="66"/>
    </row>
    <row r="1204" spans="2:21" s="15" customFormat="1" ht="29" x14ac:dyDescent="0.35">
      <c r="B1204" s="64">
        <v>45727</v>
      </c>
      <c r="C1204" s="17">
        <v>1098</v>
      </c>
      <c r="D1204" s="85" t="s">
        <v>3061</v>
      </c>
      <c r="E1204" s="85" t="s">
        <v>3122</v>
      </c>
      <c r="F1204" s="85" t="s">
        <v>1468</v>
      </c>
      <c r="G1204" s="17" t="s">
        <v>1805</v>
      </c>
      <c r="H1204" s="17" t="s">
        <v>1930</v>
      </c>
      <c r="I1204" s="145" t="s">
        <v>39</v>
      </c>
      <c r="J1204" s="17" t="s">
        <v>2952</v>
      </c>
      <c r="K1204" s="17" t="s">
        <v>2951</v>
      </c>
      <c r="L1204" s="17" t="s">
        <v>39</v>
      </c>
      <c r="M1204" s="16">
        <v>8112399300</v>
      </c>
      <c r="N1204" s="16">
        <v>868166053312849</v>
      </c>
      <c r="O1204" s="16" t="s">
        <v>3212</v>
      </c>
      <c r="P1204" s="14" t="s">
        <v>3213</v>
      </c>
      <c r="Q1204" s="17" t="s">
        <v>2559</v>
      </c>
      <c r="R1204" s="18">
        <v>0</v>
      </c>
      <c r="S1204" s="19" t="s">
        <v>2977</v>
      </c>
      <c r="T1204" s="17"/>
      <c r="U1204" s="66"/>
    </row>
    <row r="1205" spans="2:21" s="15" customFormat="1" ht="29" x14ac:dyDescent="0.35">
      <c r="B1205" s="64">
        <v>45727</v>
      </c>
      <c r="C1205" s="17">
        <v>1099</v>
      </c>
      <c r="D1205" s="85" t="s">
        <v>3062</v>
      </c>
      <c r="E1205" s="85" t="s">
        <v>3122</v>
      </c>
      <c r="F1205" s="85" t="s">
        <v>1468</v>
      </c>
      <c r="G1205" s="17" t="s">
        <v>1805</v>
      </c>
      <c r="H1205" s="17" t="s">
        <v>1930</v>
      </c>
      <c r="I1205" s="145" t="s">
        <v>39</v>
      </c>
      <c r="J1205" s="17" t="s">
        <v>130</v>
      </c>
      <c r="K1205" s="14" t="s">
        <v>2969</v>
      </c>
      <c r="L1205" s="17" t="s">
        <v>39</v>
      </c>
      <c r="M1205" s="16">
        <v>8110689284</v>
      </c>
      <c r="N1205" s="16">
        <v>868166053313524</v>
      </c>
      <c r="O1205" s="16" t="s">
        <v>3214</v>
      </c>
      <c r="P1205" s="17" t="s">
        <v>3215</v>
      </c>
      <c r="Q1205" s="17" t="s">
        <v>2559</v>
      </c>
      <c r="R1205" s="18">
        <v>0</v>
      </c>
      <c r="S1205" s="19" t="s">
        <v>2977</v>
      </c>
      <c r="T1205" s="17"/>
      <c r="U1205" s="66"/>
    </row>
    <row r="1206" spans="2:21" s="15" customFormat="1" ht="29" x14ac:dyDescent="0.35">
      <c r="B1206" s="64">
        <v>45727</v>
      </c>
      <c r="C1206" s="17">
        <v>1100</v>
      </c>
      <c r="D1206" s="85" t="s">
        <v>3063</v>
      </c>
      <c r="E1206" s="85" t="s">
        <v>3122</v>
      </c>
      <c r="F1206" s="85" t="s">
        <v>1468</v>
      </c>
      <c r="G1206" s="17" t="s">
        <v>1805</v>
      </c>
      <c r="H1206" s="17" t="s">
        <v>1930</v>
      </c>
      <c r="I1206" s="145" t="s">
        <v>39</v>
      </c>
      <c r="J1206" s="17" t="s">
        <v>2954</v>
      </c>
      <c r="K1206" s="17" t="s">
        <v>2953</v>
      </c>
      <c r="L1206" s="17" t="s">
        <v>39</v>
      </c>
      <c r="M1206" s="16">
        <v>8126212153</v>
      </c>
      <c r="N1206" s="16">
        <v>869220040808390</v>
      </c>
      <c r="O1206" s="16" t="s">
        <v>3216</v>
      </c>
      <c r="P1206" s="17" t="s">
        <v>3217</v>
      </c>
      <c r="Q1206" s="17" t="s">
        <v>2559</v>
      </c>
      <c r="R1206" s="18">
        <v>0</v>
      </c>
      <c r="S1206" s="19" t="s">
        <v>2977</v>
      </c>
      <c r="T1206" s="17"/>
      <c r="U1206" s="66"/>
    </row>
    <row r="1207" spans="2:21" s="15" customFormat="1" ht="29" x14ac:dyDescent="0.35">
      <c r="B1207" s="64">
        <v>45727</v>
      </c>
      <c r="C1207" s="17">
        <v>1101</v>
      </c>
      <c r="D1207" s="85" t="s">
        <v>3064</v>
      </c>
      <c r="E1207" s="85" t="s">
        <v>3122</v>
      </c>
      <c r="F1207" s="85" t="s">
        <v>1468</v>
      </c>
      <c r="G1207" s="17" t="s">
        <v>1805</v>
      </c>
      <c r="H1207" s="17" t="s">
        <v>1930</v>
      </c>
      <c r="I1207" s="145" t="s">
        <v>39</v>
      </c>
      <c r="J1207" s="17" t="s">
        <v>119</v>
      </c>
      <c r="K1207" s="14" t="s">
        <v>1359</v>
      </c>
      <c r="L1207" s="17" t="s">
        <v>39</v>
      </c>
      <c r="M1207" s="16">
        <v>8123508071</v>
      </c>
      <c r="N1207" s="16">
        <v>860896052055696</v>
      </c>
      <c r="O1207" s="16" t="s">
        <v>39</v>
      </c>
      <c r="P1207" s="17" t="s">
        <v>118</v>
      </c>
      <c r="Q1207" s="17" t="s">
        <v>2559</v>
      </c>
      <c r="R1207" s="18">
        <v>0</v>
      </c>
      <c r="S1207" s="19" t="s">
        <v>2977</v>
      </c>
      <c r="T1207" s="17"/>
      <c r="U1207" s="66"/>
    </row>
    <row r="1208" spans="2:21" s="15" customFormat="1" ht="29" x14ac:dyDescent="0.35">
      <c r="B1208" s="64">
        <v>45727</v>
      </c>
      <c r="C1208" s="17">
        <v>1102</v>
      </c>
      <c r="D1208" s="85" t="s">
        <v>3065</v>
      </c>
      <c r="E1208" s="85" t="s">
        <v>3122</v>
      </c>
      <c r="F1208" s="85" t="s">
        <v>1468</v>
      </c>
      <c r="G1208" s="17" t="s">
        <v>1805</v>
      </c>
      <c r="H1208" s="17" t="s">
        <v>1930</v>
      </c>
      <c r="I1208" s="145" t="s">
        <v>39</v>
      </c>
      <c r="J1208" s="17" t="s">
        <v>2955</v>
      </c>
      <c r="K1208" s="14" t="s">
        <v>2956</v>
      </c>
      <c r="L1208" s="17" t="s">
        <v>39</v>
      </c>
      <c r="M1208" s="16">
        <v>8131410036</v>
      </c>
      <c r="N1208" s="16">
        <v>869220040808671</v>
      </c>
      <c r="O1208" s="16" t="s">
        <v>3218</v>
      </c>
      <c r="P1208" s="17" t="s">
        <v>3219</v>
      </c>
      <c r="Q1208" s="17" t="s">
        <v>2559</v>
      </c>
      <c r="R1208" s="18">
        <v>0</v>
      </c>
      <c r="S1208" s="19" t="s">
        <v>2977</v>
      </c>
      <c r="T1208" s="17"/>
      <c r="U1208" s="66"/>
    </row>
    <row r="1209" spans="2:21" s="15" customFormat="1" ht="29" x14ac:dyDescent="0.35">
      <c r="B1209" s="64">
        <v>45727</v>
      </c>
      <c r="C1209" s="17">
        <v>1103</v>
      </c>
      <c r="D1209" s="85" t="s">
        <v>3066</v>
      </c>
      <c r="E1209" s="85" t="s">
        <v>3122</v>
      </c>
      <c r="F1209" s="85" t="s">
        <v>1468</v>
      </c>
      <c r="G1209" s="17" t="s">
        <v>1805</v>
      </c>
      <c r="H1209" s="17" t="s">
        <v>1930</v>
      </c>
      <c r="I1209" s="145" t="s">
        <v>39</v>
      </c>
      <c r="J1209" s="17" t="s">
        <v>108</v>
      </c>
      <c r="K1209" s="17" t="s">
        <v>3067</v>
      </c>
      <c r="L1209" s="17" t="s">
        <v>39</v>
      </c>
      <c r="M1209" s="16">
        <v>8116007150</v>
      </c>
      <c r="N1209" s="16">
        <v>865011032922065</v>
      </c>
      <c r="O1209" s="16" t="s">
        <v>3221</v>
      </c>
      <c r="P1209" s="17" t="s">
        <v>3220</v>
      </c>
      <c r="Q1209" s="17" t="s">
        <v>2559</v>
      </c>
      <c r="R1209" s="18">
        <v>0</v>
      </c>
      <c r="S1209" s="19" t="s">
        <v>2977</v>
      </c>
      <c r="T1209" s="17"/>
      <c r="U1209" s="66"/>
    </row>
    <row r="1210" spans="2:21" s="15" customFormat="1" ht="29" x14ac:dyDescent="0.35">
      <c r="B1210" s="64">
        <v>45727</v>
      </c>
      <c r="C1210" s="17">
        <v>1104</v>
      </c>
      <c r="D1210" s="85" t="s">
        <v>3068</v>
      </c>
      <c r="E1210" s="85" t="s">
        <v>3122</v>
      </c>
      <c r="F1210" s="85" t="s">
        <v>1468</v>
      </c>
      <c r="G1210" s="17" t="s">
        <v>1805</v>
      </c>
      <c r="H1210" s="17" t="s">
        <v>1930</v>
      </c>
      <c r="I1210" s="145" t="s">
        <v>39</v>
      </c>
      <c r="J1210" s="14" t="s">
        <v>82</v>
      </c>
      <c r="K1210" s="17" t="s">
        <v>1376</v>
      </c>
      <c r="L1210" s="17" t="s">
        <v>39</v>
      </c>
      <c r="M1210" s="16">
        <v>8116907089</v>
      </c>
      <c r="N1210" s="16">
        <v>868166054740212</v>
      </c>
      <c r="O1210" s="16" t="s">
        <v>3223</v>
      </c>
      <c r="P1210" s="17" t="s">
        <v>3222</v>
      </c>
      <c r="Q1210" s="17" t="s">
        <v>2559</v>
      </c>
      <c r="R1210" s="18">
        <v>0</v>
      </c>
      <c r="S1210" s="19" t="s">
        <v>2977</v>
      </c>
      <c r="T1210" s="17"/>
      <c r="U1210" s="66"/>
    </row>
    <row r="1211" spans="2:21" s="15" customFormat="1" ht="29" x14ac:dyDescent="0.35">
      <c r="B1211" s="64">
        <v>45727</v>
      </c>
      <c r="C1211" s="17">
        <v>1105</v>
      </c>
      <c r="D1211" s="85" t="s">
        <v>3069</v>
      </c>
      <c r="E1211" s="85" t="s">
        <v>3122</v>
      </c>
      <c r="F1211" s="85" t="s">
        <v>1468</v>
      </c>
      <c r="G1211" s="17" t="s">
        <v>1805</v>
      </c>
      <c r="H1211" s="17" t="s">
        <v>1930</v>
      </c>
      <c r="I1211" s="145" t="s">
        <v>39</v>
      </c>
      <c r="J1211" s="17" t="s">
        <v>2971</v>
      </c>
      <c r="K1211" s="17" t="s">
        <v>1380</v>
      </c>
      <c r="L1211" s="17" t="s">
        <v>39</v>
      </c>
      <c r="M1211" s="16">
        <v>8110102688</v>
      </c>
      <c r="N1211" s="16">
        <v>860896051412005</v>
      </c>
      <c r="O1211" s="16" t="s">
        <v>3225</v>
      </c>
      <c r="P1211" s="17" t="s">
        <v>3224</v>
      </c>
      <c r="Q1211" s="17" t="s">
        <v>2559</v>
      </c>
      <c r="R1211" s="18">
        <v>0</v>
      </c>
      <c r="S1211" s="19" t="s">
        <v>2977</v>
      </c>
      <c r="T1211" s="17"/>
      <c r="U1211" s="66"/>
    </row>
    <row r="1212" spans="2:21" s="15" customFormat="1" ht="29" x14ac:dyDescent="0.35">
      <c r="B1212" s="64">
        <v>45727</v>
      </c>
      <c r="C1212" s="17">
        <v>1106</v>
      </c>
      <c r="D1212" s="85" t="s">
        <v>3070</v>
      </c>
      <c r="E1212" s="85" t="s">
        <v>3122</v>
      </c>
      <c r="F1212" s="85" t="s">
        <v>1468</v>
      </c>
      <c r="G1212" s="17" t="s">
        <v>1805</v>
      </c>
      <c r="H1212" s="17" t="s">
        <v>1930</v>
      </c>
      <c r="I1212" s="145"/>
      <c r="J1212" s="17" t="s">
        <v>3071</v>
      </c>
      <c r="K1212" s="17" t="s">
        <v>1381</v>
      </c>
      <c r="L1212" s="17" t="s">
        <v>39</v>
      </c>
      <c r="M1212" s="16">
        <v>8112442712</v>
      </c>
      <c r="N1212" s="16">
        <v>865011031930879</v>
      </c>
      <c r="O1212" s="16" t="s">
        <v>3227</v>
      </c>
      <c r="P1212" s="17" t="s">
        <v>3226</v>
      </c>
      <c r="Q1212" s="17" t="s">
        <v>2559</v>
      </c>
      <c r="R1212" s="18">
        <v>0</v>
      </c>
      <c r="S1212" s="19" t="s">
        <v>2977</v>
      </c>
      <c r="T1212" s="17"/>
      <c r="U1212" s="66"/>
    </row>
    <row r="1213" spans="2:21" s="15" customFormat="1" ht="29" x14ac:dyDescent="0.35">
      <c r="B1213" s="64">
        <v>45727</v>
      </c>
      <c r="C1213" s="17">
        <v>1107</v>
      </c>
      <c r="D1213" s="85" t="s">
        <v>3072</v>
      </c>
      <c r="E1213" s="85" t="s">
        <v>3122</v>
      </c>
      <c r="F1213" s="85" t="s">
        <v>1468</v>
      </c>
      <c r="G1213" s="17" t="s">
        <v>1805</v>
      </c>
      <c r="H1213" s="17" t="s">
        <v>1930</v>
      </c>
      <c r="I1213" s="145" t="s">
        <v>39</v>
      </c>
      <c r="J1213" s="17" t="s">
        <v>3073</v>
      </c>
      <c r="K1213" s="17" t="s">
        <v>1437</v>
      </c>
      <c r="L1213" s="17" t="s">
        <v>39</v>
      </c>
      <c r="M1213" s="16">
        <v>8118240118</v>
      </c>
      <c r="N1213" s="16">
        <v>860896050538222</v>
      </c>
      <c r="O1213" s="16" t="s">
        <v>3229</v>
      </c>
      <c r="P1213" s="17" t="s">
        <v>3228</v>
      </c>
      <c r="Q1213" s="17" t="s">
        <v>2559</v>
      </c>
      <c r="R1213" s="18">
        <v>0</v>
      </c>
      <c r="S1213" s="19" t="s">
        <v>2977</v>
      </c>
      <c r="T1213" s="17"/>
      <c r="U1213" s="66"/>
    </row>
    <row r="1214" spans="2:21" s="15" customFormat="1" ht="29" x14ac:dyDescent="0.35">
      <c r="B1214" s="64">
        <v>45727</v>
      </c>
      <c r="C1214" s="17">
        <v>1108</v>
      </c>
      <c r="D1214" s="85" t="s">
        <v>3075</v>
      </c>
      <c r="E1214" s="85" t="s">
        <v>3122</v>
      </c>
      <c r="F1214" s="85" t="s">
        <v>1468</v>
      </c>
      <c r="G1214" s="17" t="s">
        <v>1805</v>
      </c>
      <c r="H1214" s="17" t="s">
        <v>1930</v>
      </c>
      <c r="I1214" s="145" t="s">
        <v>39</v>
      </c>
      <c r="J1214" s="17" t="s">
        <v>3074</v>
      </c>
      <c r="K1214" s="17" t="s">
        <v>2949</v>
      </c>
      <c r="L1214" s="17" t="s">
        <v>39</v>
      </c>
      <c r="M1214" s="16">
        <v>8126310951</v>
      </c>
      <c r="N1214" s="16">
        <v>864893033148589</v>
      </c>
      <c r="O1214" s="16" t="s">
        <v>39</v>
      </c>
      <c r="P1214" s="17" t="s">
        <v>1729</v>
      </c>
      <c r="Q1214" s="17" t="s">
        <v>2559</v>
      </c>
      <c r="R1214" s="18">
        <v>0</v>
      </c>
      <c r="S1214" s="19" t="s">
        <v>2977</v>
      </c>
      <c r="T1214" s="17"/>
      <c r="U1214" s="66"/>
    </row>
    <row r="1215" spans="2:21" s="15" customFormat="1" ht="29" x14ac:dyDescent="0.35">
      <c r="B1215" s="64">
        <v>45727</v>
      </c>
      <c r="C1215" s="17">
        <v>1109</v>
      </c>
      <c r="D1215" s="85" t="s">
        <v>3076</v>
      </c>
      <c r="E1215" s="85" t="s">
        <v>3122</v>
      </c>
      <c r="F1215" s="85" t="s">
        <v>1468</v>
      </c>
      <c r="G1215" s="17" t="s">
        <v>1805</v>
      </c>
      <c r="H1215" s="17" t="s">
        <v>1930</v>
      </c>
      <c r="I1215" s="145" t="s">
        <v>39</v>
      </c>
      <c r="J1215" s="17" t="s">
        <v>3077</v>
      </c>
      <c r="K1215" s="17" t="s">
        <v>1746</v>
      </c>
      <c r="L1215" s="17" t="s">
        <v>39</v>
      </c>
      <c r="M1215" s="16">
        <v>811606904</v>
      </c>
      <c r="N1215" s="16">
        <v>868166057892705</v>
      </c>
      <c r="O1215" s="16" t="s">
        <v>39</v>
      </c>
      <c r="P1215" s="17" t="s">
        <v>1747</v>
      </c>
      <c r="Q1215" s="17" t="s">
        <v>2559</v>
      </c>
      <c r="R1215" s="18">
        <v>0</v>
      </c>
      <c r="S1215" s="19" t="s">
        <v>2977</v>
      </c>
      <c r="T1215" s="17"/>
      <c r="U1215" s="66"/>
    </row>
    <row r="1216" spans="2:21" s="15" customFormat="1" ht="29" x14ac:dyDescent="0.35">
      <c r="B1216" s="64">
        <v>45727</v>
      </c>
      <c r="C1216" s="17">
        <v>1110</v>
      </c>
      <c r="D1216" s="85" t="s">
        <v>3078</v>
      </c>
      <c r="E1216" s="85" t="s">
        <v>3122</v>
      </c>
      <c r="F1216" s="85" t="s">
        <v>1468</v>
      </c>
      <c r="G1216" s="17" t="s">
        <v>1805</v>
      </c>
      <c r="H1216" s="17" t="s">
        <v>1930</v>
      </c>
      <c r="I1216" s="145" t="s">
        <v>39</v>
      </c>
      <c r="J1216" s="17" t="s">
        <v>3079</v>
      </c>
      <c r="K1216" s="17" t="s">
        <v>3080</v>
      </c>
      <c r="L1216" s="17" t="s">
        <v>39</v>
      </c>
      <c r="M1216" s="16">
        <v>8120190704</v>
      </c>
      <c r="N1216" s="16">
        <v>869220041537311</v>
      </c>
      <c r="O1216" s="16" t="s">
        <v>39</v>
      </c>
      <c r="P1216" s="17" t="s">
        <v>2961</v>
      </c>
      <c r="Q1216" s="17" t="s">
        <v>2559</v>
      </c>
      <c r="R1216" s="18">
        <v>0</v>
      </c>
      <c r="S1216" s="19" t="s">
        <v>2977</v>
      </c>
      <c r="T1216" s="17"/>
      <c r="U1216" s="66"/>
    </row>
    <row r="1217" spans="2:21" s="15" customFormat="1" ht="29" x14ac:dyDescent="0.35">
      <c r="B1217" s="64">
        <v>45727</v>
      </c>
      <c r="C1217" s="17">
        <v>1111</v>
      </c>
      <c r="D1217" s="85" t="s">
        <v>3082</v>
      </c>
      <c r="E1217" s="85" t="s">
        <v>3122</v>
      </c>
      <c r="F1217" s="85" t="s">
        <v>1468</v>
      </c>
      <c r="G1217" s="17" t="s">
        <v>1805</v>
      </c>
      <c r="H1217" s="17" t="s">
        <v>1930</v>
      </c>
      <c r="I1217" s="145" t="s">
        <v>39</v>
      </c>
      <c r="J1217" s="17" t="s">
        <v>3081</v>
      </c>
      <c r="K1217" s="17" t="s">
        <v>1818</v>
      </c>
      <c r="L1217" s="17" t="s">
        <v>39</v>
      </c>
      <c r="M1217" s="16">
        <v>8134059605</v>
      </c>
      <c r="N1217" s="16">
        <v>868166058822008</v>
      </c>
      <c r="O1217" s="16" t="s">
        <v>3244</v>
      </c>
      <c r="P1217" s="17" t="s">
        <v>3243</v>
      </c>
      <c r="Q1217" s="17" t="s">
        <v>2559</v>
      </c>
      <c r="R1217" s="18">
        <v>0</v>
      </c>
      <c r="S1217" s="19" t="s">
        <v>2977</v>
      </c>
      <c r="T1217" s="17"/>
      <c r="U1217" s="66"/>
    </row>
    <row r="1218" spans="2:21" s="15" customFormat="1" ht="29" x14ac:dyDescent="0.35">
      <c r="B1218" s="64">
        <v>45727</v>
      </c>
      <c r="C1218" s="17">
        <v>1112</v>
      </c>
      <c r="D1218" s="85" t="s">
        <v>3083</v>
      </c>
      <c r="E1218" s="85" t="s">
        <v>3122</v>
      </c>
      <c r="F1218" s="85" t="s">
        <v>1468</v>
      </c>
      <c r="G1218" s="17" t="s">
        <v>1805</v>
      </c>
      <c r="H1218" s="17" t="s">
        <v>1930</v>
      </c>
      <c r="I1218" s="145" t="s">
        <v>39</v>
      </c>
      <c r="J1218" s="17" t="s">
        <v>3084</v>
      </c>
      <c r="K1218" s="17" t="s">
        <v>2913</v>
      </c>
      <c r="L1218" s="17" t="s">
        <v>39</v>
      </c>
      <c r="M1218" s="16">
        <v>8110447223</v>
      </c>
      <c r="N1218" s="16">
        <v>868166057572612</v>
      </c>
      <c r="O1218" s="16" t="s">
        <v>39</v>
      </c>
      <c r="P1218" s="17" t="s">
        <v>3085</v>
      </c>
      <c r="Q1218" s="17" t="s">
        <v>2559</v>
      </c>
      <c r="R1218" s="18">
        <v>0</v>
      </c>
      <c r="S1218" s="19" t="s">
        <v>2977</v>
      </c>
      <c r="T1218" s="17"/>
      <c r="U1218" s="66"/>
    </row>
    <row r="1219" spans="2:21" s="15" customFormat="1" ht="29" x14ac:dyDescent="0.35">
      <c r="B1219" s="64">
        <v>45727</v>
      </c>
      <c r="C1219" s="17">
        <v>1113</v>
      </c>
      <c r="D1219" s="85" t="s">
        <v>3086</v>
      </c>
      <c r="E1219" s="85" t="s">
        <v>3122</v>
      </c>
      <c r="F1219" s="85" t="s">
        <v>1468</v>
      </c>
      <c r="G1219" s="17" t="s">
        <v>1805</v>
      </c>
      <c r="H1219" s="17" t="s">
        <v>1930</v>
      </c>
      <c r="I1219" s="145" t="s">
        <v>39</v>
      </c>
      <c r="J1219" s="17" t="s">
        <v>3087</v>
      </c>
      <c r="K1219" s="17" t="s">
        <v>2154</v>
      </c>
      <c r="L1219" s="17" t="s">
        <v>39</v>
      </c>
      <c r="M1219" s="16">
        <v>8118003462</v>
      </c>
      <c r="N1219" s="16">
        <v>865011030429022</v>
      </c>
      <c r="O1219" s="16" t="s">
        <v>3249</v>
      </c>
      <c r="P1219" s="17" t="s">
        <v>3248</v>
      </c>
      <c r="Q1219" s="17" t="s">
        <v>2559</v>
      </c>
      <c r="R1219" s="18">
        <v>0</v>
      </c>
      <c r="S1219" s="19" t="s">
        <v>2977</v>
      </c>
      <c r="T1219" s="17"/>
      <c r="U1219" s="66"/>
    </row>
    <row r="1220" spans="2:21" s="15" customFormat="1" ht="29" x14ac:dyDescent="0.35">
      <c r="B1220" s="64">
        <v>45727</v>
      </c>
      <c r="C1220" s="17">
        <v>1114</v>
      </c>
      <c r="D1220" s="85" t="s">
        <v>3088</v>
      </c>
      <c r="E1220" s="85" t="s">
        <v>3122</v>
      </c>
      <c r="F1220" s="85" t="s">
        <v>1468</v>
      </c>
      <c r="G1220" s="17" t="s">
        <v>1805</v>
      </c>
      <c r="H1220" s="17" t="s">
        <v>1930</v>
      </c>
      <c r="I1220" s="145" t="s">
        <v>39</v>
      </c>
      <c r="J1220" s="17" t="s">
        <v>3251</v>
      </c>
      <c r="K1220" s="17" t="s">
        <v>2957</v>
      </c>
      <c r="L1220" s="17" t="s">
        <v>39</v>
      </c>
      <c r="M1220" s="16">
        <v>8135516739</v>
      </c>
      <c r="N1220" s="16">
        <v>868166059177782</v>
      </c>
      <c r="O1220" s="16" t="s">
        <v>3250</v>
      </c>
      <c r="P1220" s="17" t="s">
        <v>3252</v>
      </c>
      <c r="Q1220" s="17" t="s">
        <v>2559</v>
      </c>
      <c r="R1220" s="18">
        <v>0</v>
      </c>
      <c r="S1220" s="19" t="s">
        <v>2977</v>
      </c>
      <c r="T1220" s="17"/>
      <c r="U1220" s="66"/>
    </row>
    <row r="1221" spans="2:21" s="15" customFormat="1" ht="29" x14ac:dyDescent="0.35">
      <c r="B1221" s="64">
        <v>45727</v>
      </c>
      <c r="C1221" s="17">
        <v>1115</v>
      </c>
      <c r="D1221" s="85" t="s">
        <v>3089</v>
      </c>
      <c r="E1221" s="85" t="s">
        <v>3122</v>
      </c>
      <c r="F1221" s="85" t="s">
        <v>1468</v>
      </c>
      <c r="G1221" s="17" t="s">
        <v>1805</v>
      </c>
      <c r="H1221" s="17" t="s">
        <v>1930</v>
      </c>
      <c r="I1221" s="145" t="s">
        <v>39</v>
      </c>
      <c r="J1221" s="17" t="s">
        <v>3090</v>
      </c>
      <c r="K1221" s="17" t="s">
        <v>2342</v>
      </c>
      <c r="L1221" s="17" t="s">
        <v>39</v>
      </c>
      <c r="M1221" s="16">
        <v>8135518599</v>
      </c>
      <c r="N1221" s="16">
        <v>868166057587131</v>
      </c>
      <c r="O1221" s="16" t="s">
        <v>3256</v>
      </c>
      <c r="P1221" s="17" t="s">
        <v>3255</v>
      </c>
      <c r="Q1221" s="17" t="s">
        <v>2559</v>
      </c>
      <c r="R1221" s="18">
        <v>0</v>
      </c>
      <c r="S1221" s="19" t="s">
        <v>2977</v>
      </c>
      <c r="T1221" s="17"/>
      <c r="U1221" s="66"/>
    </row>
    <row r="1222" spans="2:21" s="15" customFormat="1" ht="29" x14ac:dyDescent="0.35">
      <c r="B1222" s="64">
        <v>45727</v>
      </c>
      <c r="C1222" s="17">
        <v>1116</v>
      </c>
      <c r="D1222" s="85" t="s">
        <v>3091</v>
      </c>
      <c r="E1222" s="85" t="s">
        <v>3122</v>
      </c>
      <c r="F1222" s="85" t="s">
        <v>1468</v>
      </c>
      <c r="G1222" s="17" t="s">
        <v>1805</v>
      </c>
      <c r="H1222" s="17" t="s">
        <v>1930</v>
      </c>
      <c r="I1222" s="145" t="s">
        <v>39</v>
      </c>
      <c r="J1222" s="17" t="s">
        <v>3092</v>
      </c>
      <c r="K1222" s="17" t="s">
        <v>2934</v>
      </c>
      <c r="L1222" s="17" t="s">
        <v>39</v>
      </c>
      <c r="M1222" s="16">
        <v>8124185901</v>
      </c>
      <c r="N1222" s="16">
        <v>868166059177410</v>
      </c>
      <c r="O1222" s="16" t="s">
        <v>3259</v>
      </c>
      <c r="P1222" s="17" t="s">
        <v>3258</v>
      </c>
      <c r="Q1222" s="17" t="s">
        <v>2559</v>
      </c>
      <c r="R1222" s="18">
        <v>0</v>
      </c>
      <c r="S1222" s="19" t="s">
        <v>2977</v>
      </c>
      <c r="T1222" s="17"/>
      <c r="U1222" s="66"/>
    </row>
    <row r="1223" spans="2:21" s="15" customFormat="1" ht="29" x14ac:dyDescent="0.35">
      <c r="B1223" s="64">
        <v>45727</v>
      </c>
      <c r="C1223" s="17">
        <v>1117</v>
      </c>
      <c r="D1223" s="85" t="s">
        <v>3095</v>
      </c>
      <c r="E1223" s="85" t="s">
        <v>3122</v>
      </c>
      <c r="F1223" s="85" t="s">
        <v>1468</v>
      </c>
      <c r="G1223" s="17" t="s">
        <v>1805</v>
      </c>
      <c r="H1223" s="17" t="s">
        <v>1930</v>
      </c>
      <c r="I1223" s="145" t="s">
        <v>39</v>
      </c>
      <c r="J1223" s="17" t="s">
        <v>3096</v>
      </c>
      <c r="K1223" s="17" t="s">
        <v>2379</v>
      </c>
      <c r="L1223" s="17" t="s">
        <v>39</v>
      </c>
      <c r="M1223" s="16">
        <v>8331891170</v>
      </c>
      <c r="N1223" s="16">
        <v>869706060881275</v>
      </c>
      <c r="O1223" s="16" t="s">
        <v>3262</v>
      </c>
      <c r="P1223" s="17" t="s">
        <v>3261</v>
      </c>
      <c r="Q1223" s="17" t="s">
        <v>2559</v>
      </c>
      <c r="R1223" s="18">
        <v>0</v>
      </c>
      <c r="S1223" s="19" t="s">
        <v>2977</v>
      </c>
      <c r="T1223" s="17"/>
      <c r="U1223" s="66"/>
    </row>
    <row r="1224" spans="2:21" s="15" customFormat="1" ht="29" x14ac:dyDescent="0.35">
      <c r="B1224" s="64">
        <v>45727</v>
      </c>
      <c r="C1224" s="17">
        <v>1118</v>
      </c>
      <c r="D1224" s="85" t="s">
        <v>3093</v>
      </c>
      <c r="E1224" s="85" t="s">
        <v>3122</v>
      </c>
      <c r="F1224" s="85" t="s">
        <v>1468</v>
      </c>
      <c r="G1224" s="17" t="s">
        <v>1805</v>
      </c>
      <c r="H1224" s="17" t="s">
        <v>1930</v>
      </c>
      <c r="I1224" s="145" t="s">
        <v>39</v>
      </c>
      <c r="J1224" s="17" t="s">
        <v>3094</v>
      </c>
      <c r="K1224" s="17" t="s">
        <v>2381</v>
      </c>
      <c r="L1224" s="17" t="s">
        <v>39</v>
      </c>
      <c r="M1224" s="16">
        <v>8331894968</v>
      </c>
      <c r="N1224" s="137">
        <v>869706060882810</v>
      </c>
      <c r="O1224" s="16" t="s">
        <v>39</v>
      </c>
      <c r="P1224" s="17" t="s">
        <v>2938</v>
      </c>
      <c r="Q1224" s="17" t="s">
        <v>2559</v>
      </c>
      <c r="R1224" s="18">
        <v>0</v>
      </c>
      <c r="S1224" s="19" t="s">
        <v>2977</v>
      </c>
      <c r="T1224" s="17"/>
      <c r="U1224" s="66"/>
    </row>
    <row r="1225" spans="2:21" s="15" customFormat="1" ht="29" x14ac:dyDescent="0.35">
      <c r="B1225" s="64">
        <v>45734</v>
      </c>
      <c r="C1225" s="17">
        <v>1119</v>
      </c>
      <c r="D1225" s="85">
        <v>809</v>
      </c>
      <c r="E1225" s="85" t="s">
        <v>3325</v>
      </c>
      <c r="F1225" s="85" t="s">
        <v>13</v>
      </c>
      <c r="G1225" s="17" t="s">
        <v>1805</v>
      </c>
      <c r="H1225" s="14" t="s">
        <v>1744</v>
      </c>
      <c r="I1225" s="145" t="s">
        <v>3232</v>
      </c>
      <c r="J1225" s="14" t="s">
        <v>3326</v>
      </c>
      <c r="K1225" s="14" t="s">
        <v>3327</v>
      </c>
      <c r="L1225" s="17" t="s">
        <v>965</v>
      </c>
      <c r="M1225" s="16">
        <v>8126218379</v>
      </c>
      <c r="N1225" s="16">
        <v>869706060074194</v>
      </c>
      <c r="O1225" s="16" t="s">
        <v>39</v>
      </c>
      <c r="P1225" s="14" t="s">
        <v>3328</v>
      </c>
      <c r="Q1225" s="14" t="s">
        <v>8</v>
      </c>
      <c r="R1225" s="18">
        <v>1999.84</v>
      </c>
      <c r="S1225" s="19">
        <v>174</v>
      </c>
      <c r="T1225" s="17"/>
      <c r="U1225" s="66"/>
    </row>
    <row r="1226" spans="2:21" s="15" customFormat="1" ht="29" x14ac:dyDescent="0.35">
      <c r="B1226" s="64">
        <v>45734</v>
      </c>
      <c r="C1226" s="17">
        <v>1120</v>
      </c>
      <c r="D1226" s="85" t="s">
        <v>3331</v>
      </c>
      <c r="E1226" s="85" t="s">
        <v>3330</v>
      </c>
      <c r="F1226" s="85" t="s">
        <v>1468</v>
      </c>
      <c r="G1226" s="17" t="s">
        <v>1805</v>
      </c>
      <c r="H1226" s="17" t="s">
        <v>1930</v>
      </c>
      <c r="I1226" s="145" t="s">
        <v>39</v>
      </c>
      <c r="J1226" s="17" t="s">
        <v>3332</v>
      </c>
      <c r="K1226" s="14" t="s">
        <v>1039</v>
      </c>
      <c r="L1226" s="17" t="s">
        <v>39</v>
      </c>
      <c r="M1226" s="16">
        <v>345901012164813</v>
      </c>
      <c r="N1226" s="16">
        <v>865011032759038</v>
      </c>
      <c r="O1226" s="16" t="s">
        <v>815</v>
      </c>
      <c r="P1226" s="55" t="s">
        <v>3333</v>
      </c>
      <c r="Q1226" s="17" t="s">
        <v>2559</v>
      </c>
      <c r="R1226" s="18">
        <v>0</v>
      </c>
      <c r="S1226" s="19" t="s">
        <v>3329</v>
      </c>
      <c r="T1226" s="17"/>
      <c r="U1226" s="66"/>
    </row>
    <row r="1227" spans="2:21" s="15" customFormat="1" ht="29" x14ac:dyDescent="0.35">
      <c r="B1227" s="64">
        <v>45734</v>
      </c>
      <c r="C1227" s="17">
        <v>1121</v>
      </c>
      <c r="D1227" s="85" t="s">
        <v>3335</v>
      </c>
      <c r="E1227" s="85" t="s">
        <v>3330</v>
      </c>
      <c r="F1227" s="85" t="s">
        <v>1468</v>
      </c>
      <c r="G1227" s="17" t="s">
        <v>1805</v>
      </c>
      <c r="H1227" s="17" t="s">
        <v>1930</v>
      </c>
      <c r="I1227" s="145" t="s">
        <v>39</v>
      </c>
      <c r="J1227" s="17" t="s">
        <v>3334</v>
      </c>
      <c r="K1227" s="14" t="s">
        <v>1092</v>
      </c>
      <c r="L1227" s="17" t="s">
        <v>39</v>
      </c>
      <c r="M1227" s="38" t="s">
        <v>4343</v>
      </c>
      <c r="N1227" s="16">
        <v>865011031936256</v>
      </c>
      <c r="O1227" s="16" t="s">
        <v>740</v>
      </c>
      <c r="P1227" s="14" t="s">
        <v>3336</v>
      </c>
      <c r="Q1227" s="17" t="s">
        <v>2559</v>
      </c>
      <c r="R1227" s="18">
        <v>0</v>
      </c>
      <c r="S1227" s="19" t="s">
        <v>3329</v>
      </c>
      <c r="T1227" s="17"/>
      <c r="U1227" s="66"/>
    </row>
    <row r="1228" spans="2:21" s="15" customFormat="1" ht="29" x14ac:dyDescent="0.35">
      <c r="B1228" s="64">
        <v>45734</v>
      </c>
      <c r="C1228" s="17">
        <v>1122</v>
      </c>
      <c r="D1228" s="85" t="s">
        <v>3372</v>
      </c>
      <c r="E1228" s="85" t="s">
        <v>3330</v>
      </c>
      <c r="F1228" s="85" t="s">
        <v>1468</v>
      </c>
      <c r="G1228" s="17" t="s">
        <v>1805</v>
      </c>
      <c r="H1228" s="17" t="s">
        <v>1930</v>
      </c>
      <c r="I1228" s="145" t="s">
        <v>39</v>
      </c>
      <c r="J1228" s="121" t="s">
        <v>3349</v>
      </c>
      <c r="K1228" s="14" t="s">
        <v>1113</v>
      </c>
      <c r="L1228" s="17" t="s">
        <v>39</v>
      </c>
      <c r="M1228" s="38" t="s">
        <v>4342</v>
      </c>
      <c r="N1228" s="16">
        <v>863844052820021</v>
      </c>
      <c r="O1228" s="16" t="s">
        <v>3424</v>
      </c>
      <c r="P1228" s="14" t="s">
        <v>3423</v>
      </c>
      <c r="Q1228" s="17" t="s">
        <v>2559</v>
      </c>
      <c r="R1228" s="18">
        <v>0</v>
      </c>
      <c r="S1228" s="19" t="s">
        <v>3329</v>
      </c>
      <c r="T1228" s="17"/>
      <c r="U1228" s="66"/>
    </row>
    <row r="1229" spans="2:21" s="15" customFormat="1" ht="29" x14ac:dyDescent="0.35">
      <c r="B1229" s="64">
        <v>45734</v>
      </c>
      <c r="C1229" s="17">
        <v>1123</v>
      </c>
      <c r="D1229" s="85" t="s">
        <v>3373</v>
      </c>
      <c r="E1229" s="85" t="s">
        <v>3330</v>
      </c>
      <c r="F1229" s="85" t="s">
        <v>1468</v>
      </c>
      <c r="G1229" s="17" t="s">
        <v>1805</v>
      </c>
      <c r="H1229" s="17" t="s">
        <v>1930</v>
      </c>
      <c r="I1229" s="145" t="s">
        <v>39</v>
      </c>
      <c r="J1229" s="121" t="s">
        <v>3350</v>
      </c>
      <c r="K1229" s="14" t="s">
        <v>1181</v>
      </c>
      <c r="L1229" s="17" t="s">
        <v>39</v>
      </c>
      <c r="M1229" s="16">
        <v>8134058864</v>
      </c>
      <c r="N1229" s="16">
        <v>865011033830093</v>
      </c>
      <c r="O1229" s="16" t="s">
        <v>566</v>
      </c>
      <c r="P1229" s="55" t="s">
        <v>3425</v>
      </c>
      <c r="Q1229" s="17" t="s">
        <v>2559</v>
      </c>
      <c r="R1229" s="18">
        <v>0</v>
      </c>
      <c r="S1229" s="19" t="s">
        <v>3329</v>
      </c>
      <c r="T1229" s="17"/>
      <c r="U1229" s="66"/>
    </row>
    <row r="1230" spans="2:21" s="15" customFormat="1" ht="29" x14ac:dyDescent="0.35">
      <c r="B1230" s="64">
        <v>45734</v>
      </c>
      <c r="C1230" s="17">
        <v>1124</v>
      </c>
      <c r="D1230" s="85" t="s">
        <v>3374</v>
      </c>
      <c r="E1230" s="85" t="s">
        <v>3330</v>
      </c>
      <c r="F1230" s="85" t="s">
        <v>1468</v>
      </c>
      <c r="G1230" s="17" t="s">
        <v>1805</v>
      </c>
      <c r="H1230" s="17" t="s">
        <v>1930</v>
      </c>
      <c r="I1230" s="145" t="s">
        <v>39</v>
      </c>
      <c r="J1230" s="121" t="s">
        <v>3351</v>
      </c>
      <c r="K1230" s="14" t="s">
        <v>1205</v>
      </c>
      <c r="L1230" s="17" t="s">
        <v>39</v>
      </c>
      <c r="M1230" s="16">
        <v>8111852082</v>
      </c>
      <c r="N1230" s="16">
        <v>865011034399783</v>
      </c>
      <c r="O1230" s="16" t="s">
        <v>3427</v>
      </c>
      <c r="P1230" s="14" t="s">
        <v>3426</v>
      </c>
      <c r="Q1230" s="17" t="s">
        <v>2559</v>
      </c>
      <c r="R1230" s="18">
        <v>0</v>
      </c>
      <c r="S1230" s="19" t="s">
        <v>3329</v>
      </c>
      <c r="T1230" s="17"/>
      <c r="U1230" s="66"/>
    </row>
    <row r="1231" spans="2:21" s="15" customFormat="1" ht="29" x14ac:dyDescent="0.35">
      <c r="B1231" s="64">
        <v>45734</v>
      </c>
      <c r="C1231" s="17">
        <v>1125</v>
      </c>
      <c r="D1231" s="85" t="s">
        <v>3378</v>
      </c>
      <c r="E1231" s="85" t="s">
        <v>3330</v>
      </c>
      <c r="F1231" s="85" t="s">
        <v>1468</v>
      </c>
      <c r="G1231" s="17" t="s">
        <v>1805</v>
      </c>
      <c r="H1231" s="17" t="s">
        <v>1930</v>
      </c>
      <c r="I1231" s="145" t="s">
        <v>39</v>
      </c>
      <c r="J1231" s="121" t="s">
        <v>3430</v>
      </c>
      <c r="K1231" s="14" t="s">
        <v>3337</v>
      </c>
      <c r="L1231" s="17" t="s">
        <v>39</v>
      </c>
      <c r="M1231" s="16">
        <v>8111658070</v>
      </c>
      <c r="N1231" s="16">
        <v>359857084336320</v>
      </c>
      <c r="O1231" s="16" t="s">
        <v>3429</v>
      </c>
      <c r="P1231" s="17" t="s">
        <v>3428</v>
      </c>
      <c r="Q1231" s="17" t="s">
        <v>2559</v>
      </c>
      <c r="R1231" s="18">
        <v>0</v>
      </c>
      <c r="S1231" s="19" t="s">
        <v>3329</v>
      </c>
      <c r="T1231" s="17"/>
      <c r="U1231" s="66"/>
    </row>
    <row r="1232" spans="2:21" s="15" customFormat="1" ht="29" x14ac:dyDescent="0.35">
      <c r="B1232" s="64">
        <v>45734</v>
      </c>
      <c r="C1232" s="17">
        <v>1126</v>
      </c>
      <c r="D1232" s="85" t="s">
        <v>3375</v>
      </c>
      <c r="E1232" s="85" t="s">
        <v>3330</v>
      </c>
      <c r="F1232" s="85" t="s">
        <v>1468</v>
      </c>
      <c r="G1232" s="17" t="s">
        <v>1805</v>
      </c>
      <c r="H1232" s="17" t="s">
        <v>1930</v>
      </c>
      <c r="I1232" s="145" t="s">
        <v>39</v>
      </c>
      <c r="J1232" s="121" t="s">
        <v>3352</v>
      </c>
      <c r="K1232" s="14" t="s">
        <v>3338</v>
      </c>
      <c r="L1232" s="17" t="s">
        <v>39</v>
      </c>
      <c r="M1232" s="16">
        <v>8116006518</v>
      </c>
      <c r="N1232" s="16">
        <v>863756050070468</v>
      </c>
      <c r="O1232" s="16" t="s">
        <v>3432</v>
      </c>
      <c r="P1232" s="17" t="s">
        <v>3431</v>
      </c>
      <c r="Q1232" s="17" t="s">
        <v>2559</v>
      </c>
      <c r="R1232" s="18">
        <v>0</v>
      </c>
      <c r="S1232" s="19" t="s">
        <v>3329</v>
      </c>
      <c r="T1232" s="17"/>
      <c r="U1232" s="66"/>
    </row>
    <row r="1233" spans="2:21" s="15" customFormat="1" ht="29" x14ac:dyDescent="0.35">
      <c r="B1233" s="64">
        <v>45734</v>
      </c>
      <c r="C1233" s="17">
        <v>1127</v>
      </c>
      <c r="D1233" s="85" t="s">
        <v>3376</v>
      </c>
      <c r="E1233" s="85" t="s">
        <v>3330</v>
      </c>
      <c r="F1233" s="85" t="s">
        <v>1468</v>
      </c>
      <c r="G1233" s="17" t="s">
        <v>1805</v>
      </c>
      <c r="H1233" s="17" t="s">
        <v>1930</v>
      </c>
      <c r="I1233" s="145" t="s">
        <v>39</v>
      </c>
      <c r="J1233" s="121" t="s">
        <v>3353</v>
      </c>
      <c r="K1233" s="14" t="s">
        <v>3339</v>
      </c>
      <c r="L1233" s="17" t="s">
        <v>39</v>
      </c>
      <c r="M1233" s="16">
        <v>8119166293</v>
      </c>
      <c r="N1233" s="16">
        <v>863756050111692</v>
      </c>
      <c r="O1233" s="16" t="s">
        <v>39</v>
      </c>
      <c r="P1233" s="17" t="s">
        <v>276</v>
      </c>
      <c r="Q1233" s="17" t="s">
        <v>2559</v>
      </c>
      <c r="R1233" s="18">
        <v>0</v>
      </c>
      <c r="S1233" s="19" t="s">
        <v>3329</v>
      </c>
      <c r="T1233" s="17"/>
      <c r="U1233" s="66"/>
    </row>
    <row r="1234" spans="2:21" s="15" customFormat="1" ht="29" x14ac:dyDescent="0.35">
      <c r="B1234" s="64">
        <v>45734</v>
      </c>
      <c r="C1234" s="17">
        <v>1128</v>
      </c>
      <c r="D1234" s="85" t="s">
        <v>3377</v>
      </c>
      <c r="E1234" s="85" t="s">
        <v>3330</v>
      </c>
      <c r="F1234" s="85" t="s">
        <v>1468</v>
      </c>
      <c r="G1234" s="17" t="s">
        <v>1805</v>
      </c>
      <c r="H1234" s="17" t="s">
        <v>1930</v>
      </c>
      <c r="I1234" s="145" t="s">
        <v>39</v>
      </c>
      <c r="J1234" s="121" t="s">
        <v>3354</v>
      </c>
      <c r="K1234" s="14" t="s">
        <v>1295</v>
      </c>
      <c r="L1234" s="17" t="s">
        <v>39</v>
      </c>
      <c r="M1234" s="16">
        <v>8119774673</v>
      </c>
      <c r="N1234" s="16">
        <v>863756050111817</v>
      </c>
      <c r="O1234" s="16" t="s">
        <v>39</v>
      </c>
      <c r="P1234" s="17" t="s">
        <v>274</v>
      </c>
      <c r="Q1234" s="17" t="s">
        <v>2559</v>
      </c>
      <c r="R1234" s="18">
        <v>0</v>
      </c>
      <c r="S1234" s="19" t="s">
        <v>3329</v>
      </c>
      <c r="T1234" s="17"/>
      <c r="U1234" s="66"/>
    </row>
    <row r="1235" spans="2:21" s="15" customFormat="1" ht="29" x14ac:dyDescent="0.35">
      <c r="B1235" s="64">
        <v>45734</v>
      </c>
      <c r="C1235" s="17">
        <v>1129</v>
      </c>
      <c r="D1235" s="85" t="s">
        <v>3379</v>
      </c>
      <c r="E1235" s="85" t="s">
        <v>3330</v>
      </c>
      <c r="F1235" s="85" t="s">
        <v>1468</v>
      </c>
      <c r="G1235" s="17" t="s">
        <v>1805</v>
      </c>
      <c r="H1235" s="17" t="s">
        <v>1930</v>
      </c>
      <c r="I1235" s="145" t="s">
        <v>39</v>
      </c>
      <c r="J1235" s="121" t="s">
        <v>3486</v>
      </c>
      <c r="K1235" s="14" t="s">
        <v>3340</v>
      </c>
      <c r="L1235" s="17" t="s">
        <v>39</v>
      </c>
      <c r="M1235" s="16">
        <v>8119774744</v>
      </c>
      <c r="N1235" s="16">
        <v>863756050112963</v>
      </c>
      <c r="O1235" s="16" t="s">
        <v>3434</v>
      </c>
      <c r="P1235" s="17" t="s">
        <v>3433</v>
      </c>
      <c r="Q1235" s="17" t="s">
        <v>2559</v>
      </c>
      <c r="R1235" s="18">
        <v>0</v>
      </c>
      <c r="S1235" s="19" t="s">
        <v>3329</v>
      </c>
      <c r="T1235" s="17"/>
      <c r="U1235" s="66"/>
    </row>
    <row r="1236" spans="2:21" s="15" customFormat="1" ht="29" x14ac:dyDescent="0.35">
      <c r="B1236" s="64">
        <v>45734</v>
      </c>
      <c r="C1236" s="17">
        <v>1130</v>
      </c>
      <c r="D1236" s="85" t="s">
        <v>3380</v>
      </c>
      <c r="E1236" s="85" t="s">
        <v>3330</v>
      </c>
      <c r="F1236" s="85" t="s">
        <v>1468</v>
      </c>
      <c r="G1236" s="17" t="s">
        <v>1805</v>
      </c>
      <c r="H1236" s="17" t="s">
        <v>1930</v>
      </c>
      <c r="I1236" s="145" t="s">
        <v>39</v>
      </c>
      <c r="J1236" s="121" t="s">
        <v>3487</v>
      </c>
      <c r="K1236" s="122" t="s">
        <v>1302</v>
      </c>
      <c r="L1236" s="17" t="s">
        <v>39</v>
      </c>
      <c r="M1236" s="16">
        <v>8135514806</v>
      </c>
      <c r="N1236" s="16">
        <v>359857084512904</v>
      </c>
      <c r="O1236" s="16" t="s">
        <v>3436</v>
      </c>
      <c r="P1236" s="17" t="s">
        <v>3435</v>
      </c>
      <c r="Q1236" s="17" t="s">
        <v>2559</v>
      </c>
      <c r="R1236" s="18">
        <v>0</v>
      </c>
      <c r="S1236" s="19" t="s">
        <v>3329</v>
      </c>
      <c r="T1236" s="17"/>
      <c r="U1236" s="66"/>
    </row>
    <row r="1237" spans="2:21" s="15" customFormat="1" ht="43.5" x14ac:dyDescent="0.35">
      <c r="B1237" s="64">
        <v>45734</v>
      </c>
      <c r="C1237" s="17">
        <v>1131</v>
      </c>
      <c r="D1237" s="85" t="s">
        <v>3381</v>
      </c>
      <c r="E1237" s="85" t="s">
        <v>3330</v>
      </c>
      <c r="F1237" s="85" t="s">
        <v>1468</v>
      </c>
      <c r="G1237" s="17" t="s">
        <v>1805</v>
      </c>
      <c r="H1237" s="17" t="s">
        <v>1930</v>
      </c>
      <c r="I1237" s="145" t="s">
        <v>39</v>
      </c>
      <c r="J1237" s="14" t="s">
        <v>230</v>
      </c>
      <c r="K1237" s="58" t="s">
        <v>1317</v>
      </c>
      <c r="L1237" s="17" t="s">
        <v>39</v>
      </c>
      <c r="M1237" s="16">
        <v>8118228909</v>
      </c>
      <c r="N1237" s="16">
        <v>869220040534020</v>
      </c>
      <c r="O1237" s="16" t="s">
        <v>39</v>
      </c>
      <c r="P1237" s="17" t="s">
        <v>39</v>
      </c>
      <c r="Q1237" s="17" t="s">
        <v>2559</v>
      </c>
      <c r="R1237" s="18">
        <v>0</v>
      </c>
      <c r="S1237" s="19" t="s">
        <v>3329</v>
      </c>
      <c r="T1237" s="17"/>
      <c r="U1237" s="66"/>
    </row>
    <row r="1238" spans="2:21" s="15" customFormat="1" ht="29" x14ac:dyDescent="0.35">
      <c r="B1238" s="64">
        <v>45734</v>
      </c>
      <c r="C1238" s="17">
        <v>1132</v>
      </c>
      <c r="D1238" s="85" t="s">
        <v>3382</v>
      </c>
      <c r="E1238" s="85" t="s">
        <v>3330</v>
      </c>
      <c r="F1238" s="85" t="s">
        <v>1468</v>
      </c>
      <c r="G1238" s="17" t="s">
        <v>1805</v>
      </c>
      <c r="H1238" s="17" t="s">
        <v>1930</v>
      </c>
      <c r="I1238" s="145" t="s">
        <v>39</v>
      </c>
      <c r="J1238" s="121" t="s">
        <v>3355</v>
      </c>
      <c r="K1238" s="14" t="s">
        <v>1327</v>
      </c>
      <c r="L1238" s="17" t="s">
        <v>39</v>
      </c>
      <c r="M1238" s="16">
        <v>8126212993</v>
      </c>
      <c r="N1238" s="16">
        <v>863844052840326</v>
      </c>
      <c r="O1238" s="16" t="s">
        <v>39</v>
      </c>
      <c r="P1238" s="14" t="s">
        <v>206</v>
      </c>
      <c r="Q1238" s="17" t="s">
        <v>2559</v>
      </c>
      <c r="R1238" s="18">
        <v>0</v>
      </c>
      <c r="S1238" s="19" t="s">
        <v>3329</v>
      </c>
      <c r="T1238" s="17"/>
      <c r="U1238" s="66"/>
    </row>
    <row r="1239" spans="2:21" s="15" customFormat="1" ht="43.5" x14ac:dyDescent="0.35">
      <c r="B1239" s="64">
        <v>45734</v>
      </c>
      <c r="C1239" s="17">
        <v>1133</v>
      </c>
      <c r="D1239" s="85" t="s">
        <v>3383</v>
      </c>
      <c r="E1239" s="85" t="s">
        <v>3330</v>
      </c>
      <c r="F1239" s="85" t="s">
        <v>1468</v>
      </c>
      <c r="G1239" s="17" t="s">
        <v>1805</v>
      </c>
      <c r="H1239" s="17" t="s">
        <v>1930</v>
      </c>
      <c r="I1239" s="145" t="s">
        <v>39</v>
      </c>
      <c r="J1239" s="14" t="s">
        <v>3490</v>
      </c>
      <c r="K1239" s="14" t="s">
        <v>1346</v>
      </c>
      <c r="L1239" s="17" t="s">
        <v>39</v>
      </c>
      <c r="M1239" s="16">
        <v>8123800989</v>
      </c>
      <c r="N1239" s="16">
        <v>863257067764714</v>
      </c>
      <c r="O1239" s="16" t="s">
        <v>3438</v>
      </c>
      <c r="P1239" s="17" t="s">
        <v>3437</v>
      </c>
      <c r="Q1239" s="17" t="s">
        <v>2559</v>
      </c>
      <c r="R1239" s="18">
        <v>0</v>
      </c>
      <c r="S1239" s="19" t="s">
        <v>3329</v>
      </c>
      <c r="T1239" s="17"/>
      <c r="U1239" s="66"/>
    </row>
    <row r="1240" spans="2:21" s="15" customFormat="1" ht="29" x14ac:dyDescent="0.35">
      <c r="B1240" s="64">
        <v>45734</v>
      </c>
      <c r="C1240" s="17">
        <v>1134</v>
      </c>
      <c r="D1240" s="85" t="s">
        <v>3384</v>
      </c>
      <c r="E1240" s="85" t="s">
        <v>3330</v>
      </c>
      <c r="F1240" s="85" t="s">
        <v>1468</v>
      </c>
      <c r="G1240" s="17" t="s">
        <v>1805</v>
      </c>
      <c r="H1240" s="17" t="s">
        <v>1930</v>
      </c>
      <c r="I1240" s="145" t="s">
        <v>39</v>
      </c>
      <c r="J1240" s="14" t="s">
        <v>121</v>
      </c>
      <c r="K1240" s="123" t="s">
        <v>3341</v>
      </c>
      <c r="L1240" s="17" t="s">
        <v>39</v>
      </c>
      <c r="M1240" s="16">
        <v>8135514807</v>
      </c>
      <c r="N1240" s="16">
        <v>860896051491090</v>
      </c>
      <c r="O1240" s="16" t="s">
        <v>3440</v>
      </c>
      <c r="P1240" s="17" t="s">
        <v>3439</v>
      </c>
      <c r="Q1240" s="17" t="s">
        <v>2559</v>
      </c>
      <c r="R1240" s="18">
        <v>0</v>
      </c>
      <c r="S1240" s="19" t="s">
        <v>3329</v>
      </c>
      <c r="T1240" s="17"/>
      <c r="U1240" s="66"/>
    </row>
    <row r="1241" spans="2:21" s="15" customFormat="1" ht="29" x14ac:dyDescent="0.35">
      <c r="B1241" s="64">
        <v>45734</v>
      </c>
      <c r="C1241" s="17">
        <v>1135</v>
      </c>
      <c r="D1241" s="85" t="s">
        <v>3385</v>
      </c>
      <c r="E1241" s="85" t="s">
        <v>3330</v>
      </c>
      <c r="F1241" s="85" t="s">
        <v>1468</v>
      </c>
      <c r="G1241" s="17" t="s">
        <v>1805</v>
      </c>
      <c r="H1241" s="17" t="s">
        <v>1930</v>
      </c>
      <c r="I1241" s="145" t="s">
        <v>39</v>
      </c>
      <c r="J1241" s="14" t="s">
        <v>117</v>
      </c>
      <c r="K1241" s="14" t="s">
        <v>1360</v>
      </c>
      <c r="L1241" s="17" t="s">
        <v>39</v>
      </c>
      <c r="M1241" s="16">
        <v>8126212246</v>
      </c>
      <c r="N1241" s="16">
        <v>860896051613446</v>
      </c>
      <c r="O1241" s="16" t="s">
        <v>116</v>
      </c>
      <c r="P1241" s="17" t="s">
        <v>39</v>
      </c>
      <c r="Q1241" s="17" t="s">
        <v>2559</v>
      </c>
      <c r="R1241" s="18">
        <v>0</v>
      </c>
      <c r="S1241" s="19" t="s">
        <v>3329</v>
      </c>
      <c r="T1241" s="17"/>
      <c r="U1241" s="66"/>
    </row>
    <row r="1242" spans="2:21" s="15" customFormat="1" ht="29" x14ac:dyDescent="0.35">
      <c r="B1242" s="64">
        <v>45734</v>
      </c>
      <c r="C1242" s="17">
        <v>1136</v>
      </c>
      <c r="D1242" s="85" t="s">
        <v>3386</v>
      </c>
      <c r="E1242" s="85" t="s">
        <v>3330</v>
      </c>
      <c r="F1242" s="85" t="s">
        <v>1468</v>
      </c>
      <c r="G1242" s="17" t="s">
        <v>1805</v>
      </c>
      <c r="H1242" s="17" t="s">
        <v>1930</v>
      </c>
      <c r="I1242" s="145" t="s">
        <v>39</v>
      </c>
      <c r="J1242" s="121" t="s">
        <v>3443</v>
      </c>
      <c r="K1242" s="14" t="s">
        <v>1378</v>
      </c>
      <c r="L1242" s="17" t="s">
        <v>39</v>
      </c>
      <c r="M1242" s="16">
        <v>8112122877</v>
      </c>
      <c r="N1242" s="16">
        <v>860896052332152</v>
      </c>
      <c r="O1242" s="16" t="s">
        <v>3442</v>
      </c>
      <c r="P1242" s="17" t="s">
        <v>3441</v>
      </c>
      <c r="Q1242" s="17" t="s">
        <v>2559</v>
      </c>
      <c r="R1242" s="18">
        <v>0</v>
      </c>
      <c r="S1242" s="19" t="s">
        <v>3329</v>
      </c>
      <c r="T1242" s="17"/>
      <c r="U1242" s="66"/>
    </row>
    <row r="1243" spans="2:21" s="15" customFormat="1" ht="29" x14ac:dyDescent="0.35">
      <c r="B1243" s="64">
        <v>45734</v>
      </c>
      <c r="C1243" s="17">
        <v>1137</v>
      </c>
      <c r="D1243" s="85" t="s">
        <v>3387</v>
      </c>
      <c r="E1243" s="85" t="s">
        <v>3330</v>
      </c>
      <c r="F1243" s="85" t="s">
        <v>1468</v>
      </c>
      <c r="G1243" s="17" t="s">
        <v>1805</v>
      </c>
      <c r="H1243" s="17" t="s">
        <v>1930</v>
      </c>
      <c r="I1243" s="145" t="s">
        <v>39</v>
      </c>
      <c r="J1243" s="121" t="s">
        <v>3356</v>
      </c>
      <c r="K1243" s="14" t="s">
        <v>1379</v>
      </c>
      <c r="L1243" s="17" t="s">
        <v>39</v>
      </c>
      <c r="M1243" s="16">
        <v>8112285332</v>
      </c>
      <c r="N1243" s="16">
        <v>860896052034345</v>
      </c>
      <c r="O1243" s="16" t="s">
        <v>3445</v>
      </c>
      <c r="P1243" s="17" t="s">
        <v>3444</v>
      </c>
      <c r="Q1243" s="17" t="s">
        <v>2559</v>
      </c>
      <c r="R1243" s="18">
        <v>0</v>
      </c>
      <c r="S1243" s="19" t="s">
        <v>3329</v>
      </c>
      <c r="T1243" s="17"/>
      <c r="U1243" s="66"/>
    </row>
    <row r="1244" spans="2:21" s="15" customFormat="1" ht="29" x14ac:dyDescent="0.35">
      <c r="B1244" s="64">
        <v>45734</v>
      </c>
      <c r="C1244" s="17">
        <v>1138</v>
      </c>
      <c r="D1244" s="85" t="s">
        <v>3388</v>
      </c>
      <c r="E1244" s="85" t="s">
        <v>3330</v>
      </c>
      <c r="F1244" s="85" t="s">
        <v>1468</v>
      </c>
      <c r="G1244" s="17" t="s">
        <v>1805</v>
      </c>
      <c r="H1244" s="17" t="s">
        <v>1930</v>
      </c>
      <c r="I1244" s="145" t="s">
        <v>39</v>
      </c>
      <c r="J1244" s="121" t="s">
        <v>3357</v>
      </c>
      <c r="K1244" s="14" t="s">
        <v>1382</v>
      </c>
      <c r="L1244" s="17" t="s">
        <v>39</v>
      </c>
      <c r="M1244" s="16">
        <v>8112559379</v>
      </c>
      <c r="N1244" s="16">
        <v>860896052323102</v>
      </c>
      <c r="O1244" s="16" t="s">
        <v>39</v>
      </c>
      <c r="P1244" s="17" t="s">
        <v>75</v>
      </c>
      <c r="Q1244" s="17" t="s">
        <v>2559</v>
      </c>
      <c r="R1244" s="18">
        <v>0</v>
      </c>
      <c r="S1244" s="19" t="s">
        <v>3329</v>
      </c>
      <c r="T1244" s="17"/>
      <c r="U1244" s="66"/>
    </row>
    <row r="1245" spans="2:21" s="15" customFormat="1" ht="29" x14ac:dyDescent="0.35">
      <c r="B1245" s="64">
        <v>45734</v>
      </c>
      <c r="C1245" s="17">
        <v>1139</v>
      </c>
      <c r="D1245" s="85" t="s">
        <v>3389</v>
      </c>
      <c r="E1245" s="85" t="s">
        <v>3330</v>
      </c>
      <c r="F1245" s="85" t="s">
        <v>1468</v>
      </c>
      <c r="G1245" s="17" t="s">
        <v>1805</v>
      </c>
      <c r="H1245" s="17" t="s">
        <v>1930</v>
      </c>
      <c r="I1245" s="145" t="s">
        <v>39</v>
      </c>
      <c r="J1245" s="14" t="s">
        <v>3494</v>
      </c>
      <c r="K1245" s="14" t="s">
        <v>1402</v>
      </c>
      <c r="L1245" s="17" t="s">
        <v>39</v>
      </c>
      <c r="M1245" s="16">
        <v>8120013080</v>
      </c>
      <c r="N1245" s="16">
        <v>350317177975178</v>
      </c>
      <c r="O1245" s="16" t="s">
        <v>3447</v>
      </c>
      <c r="P1245" s="17" t="s">
        <v>3446</v>
      </c>
      <c r="Q1245" s="17" t="s">
        <v>2559</v>
      </c>
      <c r="R1245" s="18">
        <v>0</v>
      </c>
      <c r="S1245" s="19" t="s">
        <v>3329</v>
      </c>
      <c r="T1245" s="17"/>
      <c r="U1245" s="66"/>
    </row>
    <row r="1246" spans="2:21" s="15" customFormat="1" ht="29" x14ac:dyDescent="0.35">
      <c r="B1246" s="64">
        <v>45734</v>
      </c>
      <c r="C1246" s="17">
        <v>1140</v>
      </c>
      <c r="D1246" s="85" t="s">
        <v>3390</v>
      </c>
      <c r="E1246" s="85" t="s">
        <v>3330</v>
      </c>
      <c r="F1246" s="85" t="s">
        <v>1468</v>
      </c>
      <c r="G1246" s="17" t="s">
        <v>1805</v>
      </c>
      <c r="H1246" s="17" t="s">
        <v>1930</v>
      </c>
      <c r="I1246" s="145" t="s">
        <v>39</v>
      </c>
      <c r="J1246" s="14" t="s">
        <v>3496</v>
      </c>
      <c r="K1246" s="14" t="s">
        <v>3342</v>
      </c>
      <c r="L1246" s="17" t="s">
        <v>39</v>
      </c>
      <c r="M1246" s="16">
        <v>8126310877</v>
      </c>
      <c r="N1246" s="16">
        <v>350317173605316</v>
      </c>
      <c r="O1246" s="16" t="s">
        <v>39</v>
      </c>
      <c r="P1246" s="17" t="s">
        <v>3448</v>
      </c>
      <c r="Q1246" s="17" t="s">
        <v>2559</v>
      </c>
      <c r="R1246" s="18">
        <v>0</v>
      </c>
      <c r="S1246" s="19" t="s">
        <v>3329</v>
      </c>
      <c r="T1246" s="17"/>
      <c r="U1246" s="66"/>
    </row>
    <row r="1247" spans="2:21" s="15" customFormat="1" ht="29" x14ac:dyDescent="0.35">
      <c r="B1247" s="64">
        <v>45734</v>
      </c>
      <c r="C1247" s="17">
        <v>1141</v>
      </c>
      <c r="D1247" s="85" t="s">
        <v>3391</v>
      </c>
      <c r="E1247" s="85" t="s">
        <v>3330</v>
      </c>
      <c r="F1247" s="85" t="s">
        <v>1468</v>
      </c>
      <c r="G1247" s="17" t="s">
        <v>1805</v>
      </c>
      <c r="H1247" s="17" t="s">
        <v>1930</v>
      </c>
      <c r="I1247" s="145" t="s">
        <v>39</v>
      </c>
      <c r="J1247" s="14" t="s">
        <v>3498</v>
      </c>
      <c r="K1247" s="14" t="s">
        <v>1405</v>
      </c>
      <c r="L1247" s="17" t="s">
        <v>39</v>
      </c>
      <c r="M1247" s="16">
        <v>8182595013</v>
      </c>
      <c r="N1247" s="16">
        <v>863719060460251</v>
      </c>
      <c r="O1247" s="16" t="s">
        <v>39</v>
      </c>
      <c r="P1247" s="17" t="s">
        <v>857</v>
      </c>
      <c r="Q1247" s="17" t="s">
        <v>2559</v>
      </c>
      <c r="R1247" s="18">
        <v>0</v>
      </c>
      <c r="S1247" s="19" t="s">
        <v>3329</v>
      </c>
      <c r="T1247" s="17"/>
      <c r="U1247" s="66"/>
    </row>
    <row r="1248" spans="2:21" s="15" customFormat="1" ht="29" x14ac:dyDescent="0.35">
      <c r="B1248" s="64">
        <v>45734</v>
      </c>
      <c r="C1248" s="17">
        <v>1142</v>
      </c>
      <c r="D1248" s="85" t="s">
        <v>3392</v>
      </c>
      <c r="E1248" s="85" t="s">
        <v>3330</v>
      </c>
      <c r="F1248" s="85" t="s">
        <v>1468</v>
      </c>
      <c r="G1248" s="17" t="s">
        <v>1805</v>
      </c>
      <c r="H1248" s="17" t="s">
        <v>1930</v>
      </c>
      <c r="I1248" s="145" t="s">
        <v>39</v>
      </c>
      <c r="J1248" s="121" t="s">
        <v>3358</v>
      </c>
      <c r="K1248" s="94" t="s">
        <v>1406</v>
      </c>
      <c r="L1248" s="17" t="s">
        <v>39</v>
      </c>
      <c r="M1248" s="16">
        <v>8128604079</v>
      </c>
      <c r="N1248" s="16">
        <v>863719060486686</v>
      </c>
      <c r="O1248" s="16" t="s">
        <v>3450</v>
      </c>
      <c r="P1248" s="14" t="s">
        <v>3449</v>
      </c>
      <c r="Q1248" s="17" t="s">
        <v>2559</v>
      </c>
      <c r="R1248" s="18">
        <v>0</v>
      </c>
      <c r="S1248" s="19" t="s">
        <v>3329</v>
      </c>
      <c r="T1248" s="17"/>
      <c r="U1248" s="66"/>
    </row>
    <row r="1249" spans="2:22" s="15" customFormat="1" ht="29" x14ac:dyDescent="0.35">
      <c r="B1249" s="64">
        <v>45734</v>
      </c>
      <c r="C1249" s="17">
        <v>1143</v>
      </c>
      <c r="D1249" s="85" t="s">
        <v>3393</v>
      </c>
      <c r="E1249" s="85" t="s">
        <v>3330</v>
      </c>
      <c r="F1249" s="85" t="s">
        <v>1468</v>
      </c>
      <c r="G1249" s="17" t="s">
        <v>1805</v>
      </c>
      <c r="H1249" s="17" t="s">
        <v>1930</v>
      </c>
      <c r="I1249" s="145" t="s">
        <v>39</v>
      </c>
      <c r="J1249" s="14" t="s">
        <v>3499</v>
      </c>
      <c r="K1249" s="14" t="s">
        <v>1407</v>
      </c>
      <c r="L1249" s="17" t="s">
        <v>39</v>
      </c>
      <c r="M1249" s="16">
        <v>8115777553</v>
      </c>
      <c r="N1249" s="16">
        <v>863719060486769</v>
      </c>
      <c r="O1249" s="16" t="s">
        <v>860</v>
      </c>
      <c r="P1249" s="55" t="s">
        <v>3451</v>
      </c>
      <c r="Q1249" s="17" t="s">
        <v>2559</v>
      </c>
      <c r="R1249" s="18">
        <v>0</v>
      </c>
      <c r="S1249" s="19" t="s">
        <v>3329</v>
      </c>
      <c r="T1249" s="17"/>
      <c r="U1249" s="66"/>
    </row>
    <row r="1250" spans="2:22" s="15" customFormat="1" ht="29" x14ac:dyDescent="0.35">
      <c r="B1250" s="64">
        <v>45734</v>
      </c>
      <c r="C1250" s="17">
        <v>1144</v>
      </c>
      <c r="D1250" s="85" t="s">
        <v>3394</v>
      </c>
      <c r="E1250" s="85" t="s">
        <v>3330</v>
      </c>
      <c r="F1250" s="85" t="s">
        <v>1468</v>
      </c>
      <c r="G1250" s="17" t="s">
        <v>1805</v>
      </c>
      <c r="H1250" s="17" t="s">
        <v>1930</v>
      </c>
      <c r="I1250" s="145" t="s">
        <v>39</v>
      </c>
      <c r="J1250" s="121" t="s">
        <v>3359</v>
      </c>
      <c r="K1250" s="14" t="s">
        <v>3343</v>
      </c>
      <c r="L1250" s="17" t="s">
        <v>39</v>
      </c>
      <c r="M1250" s="16">
        <v>8182594805</v>
      </c>
      <c r="N1250" s="16">
        <v>863719060398923</v>
      </c>
      <c r="O1250" s="16" t="s">
        <v>39</v>
      </c>
      <c r="P1250" s="14" t="s">
        <v>863</v>
      </c>
      <c r="Q1250" s="17" t="s">
        <v>2559</v>
      </c>
      <c r="R1250" s="18">
        <v>0</v>
      </c>
      <c r="S1250" s="19" t="s">
        <v>3329</v>
      </c>
      <c r="T1250" s="17"/>
      <c r="U1250" s="66"/>
    </row>
    <row r="1251" spans="2:22" s="15" customFormat="1" ht="29" x14ac:dyDescent="0.35">
      <c r="B1251" s="64">
        <v>45734</v>
      </c>
      <c r="C1251" s="17">
        <v>1145</v>
      </c>
      <c r="D1251" s="85" t="s">
        <v>3395</v>
      </c>
      <c r="E1251" s="85" t="s">
        <v>3330</v>
      </c>
      <c r="F1251" s="85" t="s">
        <v>1468</v>
      </c>
      <c r="G1251" s="17" t="s">
        <v>1805</v>
      </c>
      <c r="H1251" s="17" t="s">
        <v>1930</v>
      </c>
      <c r="I1251" s="145" t="s">
        <v>39</v>
      </c>
      <c r="J1251" s="14" t="s">
        <v>3501</v>
      </c>
      <c r="K1251" s="14" t="s">
        <v>1414</v>
      </c>
      <c r="L1251" s="17" t="s">
        <v>39</v>
      </c>
      <c r="M1251" s="16">
        <v>8120107522</v>
      </c>
      <c r="N1251" s="16">
        <v>869220040296216</v>
      </c>
      <c r="O1251" s="16" t="s">
        <v>3453</v>
      </c>
      <c r="P1251" s="17" t="s">
        <v>3452</v>
      </c>
      <c r="Q1251" s="17" t="s">
        <v>2559</v>
      </c>
      <c r="R1251" s="18">
        <v>0</v>
      </c>
      <c r="S1251" s="19" t="s">
        <v>3329</v>
      </c>
      <c r="T1251" s="17"/>
      <c r="U1251" s="66"/>
    </row>
    <row r="1252" spans="2:22" s="15" customFormat="1" ht="29" x14ac:dyDescent="0.35">
      <c r="B1252" s="64">
        <v>45734</v>
      </c>
      <c r="C1252" s="17">
        <v>1146</v>
      </c>
      <c r="D1252" s="85" t="s">
        <v>3396</v>
      </c>
      <c r="E1252" s="85" t="s">
        <v>3330</v>
      </c>
      <c r="F1252" s="85" t="s">
        <v>1468</v>
      </c>
      <c r="G1252" s="17" t="s">
        <v>1805</v>
      </c>
      <c r="H1252" s="17" t="s">
        <v>1930</v>
      </c>
      <c r="I1252" s="145" t="s">
        <v>39</v>
      </c>
      <c r="J1252" s="121" t="s">
        <v>3360</v>
      </c>
      <c r="K1252" s="123" t="s">
        <v>1416</v>
      </c>
      <c r="L1252" s="17" t="s">
        <v>39</v>
      </c>
      <c r="M1252" s="16">
        <v>8135518609</v>
      </c>
      <c r="N1252" s="16">
        <v>863719060273324</v>
      </c>
      <c r="O1252" s="16" t="s">
        <v>39</v>
      </c>
      <c r="P1252" s="17" t="s">
        <v>874</v>
      </c>
      <c r="Q1252" s="17" t="s">
        <v>2559</v>
      </c>
      <c r="R1252" s="18">
        <v>0</v>
      </c>
      <c r="S1252" s="19" t="s">
        <v>3329</v>
      </c>
      <c r="T1252" s="17"/>
      <c r="U1252" s="66"/>
    </row>
    <row r="1253" spans="2:22" s="15" customFormat="1" ht="29" x14ac:dyDescent="0.35">
      <c r="B1253" s="64">
        <v>45734</v>
      </c>
      <c r="C1253" s="17">
        <v>1147</v>
      </c>
      <c r="D1253" s="85" t="s">
        <v>3397</v>
      </c>
      <c r="E1253" s="85" t="s">
        <v>3330</v>
      </c>
      <c r="F1253" s="85" t="s">
        <v>1468</v>
      </c>
      <c r="G1253" s="17" t="s">
        <v>1805</v>
      </c>
      <c r="H1253" s="17" t="s">
        <v>1930</v>
      </c>
      <c r="I1253" s="145" t="s">
        <v>39</v>
      </c>
      <c r="J1253" s="14" t="s">
        <v>3505</v>
      </c>
      <c r="K1253" s="14" t="s">
        <v>3344</v>
      </c>
      <c r="L1253" s="17" t="s">
        <v>39</v>
      </c>
      <c r="M1253" s="16">
        <v>8120018954</v>
      </c>
      <c r="N1253" s="16">
        <v>869220041115811</v>
      </c>
      <c r="O1253" s="16" t="s">
        <v>39</v>
      </c>
      <c r="P1253" s="55" t="s">
        <v>3454</v>
      </c>
      <c r="Q1253" s="17" t="s">
        <v>2559</v>
      </c>
      <c r="R1253" s="18">
        <v>0</v>
      </c>
      <c r="S1253" s="19" t="s">
        <v>3329</v>
      </c>
      <c r="T1253" s="17"/>
      <c r="U1253" s="66"/>
    </row>
    <row r="1254" spans="2:22" s="15" customFormat="1" ht="29" x14ac:dyDescent="0.35">
      <c r="B1254" s="64">
        <v>45734</v>
      </c>
      <c r="C1254" s="17">
        <v>1148</v>
      </c>
      <c r="D1254" s="85" t="s">
        <v>3398</v>
      </c>
      <c r="E1254" s="85" t="s">
        <v>3330</v>
      </c>
      <c r="F1254" s="85" t="s">
        <v>1468</v>
      </c>
      <c r="G1254" s="17" t="s">
        <v>1805</v>
      </c>
      <c r="H1254" s="17" t="s">
        <v>1930</v>
      </c>
      <c r="I1254" s="145" t="s">
        <v>39</v>
      </c>
      <c r="J1254" s="121" t="s">
        <v>3361</v>
      </c>
      <c r="K1254" s="14" t="s">
        <v>1419</v>
      </c>
      <c r="L1254" s="17" t="s">
        <v>39</v>
      </c>
      <c r="M1254" s="16">
        <v>8123714005</v>
      </c>
      <c r="N1254" s="16">
        <v>350544502685376</v>
      </c>
      <c r="O1254" s="16" t="s">
        <v>39</v>
      </c>
      <c r="P1254" s="17" t="s">
        <v>885</v>
      </c>
      <c r="Q1254" s="17" t="s">
        <v>2559</v>
      </c>
      <c r="R1254" s="18">
        <v>0</v>
      </c>
      <c r="S1254" s="19" t="s">
        <v>3329</v>
      </c>
      <c r="T1254" s="17"/>
      <c r="U1254" s="66"/>
      <c r="V1254" s="15" t="s">
        <v>4113</v>
      </c>
    </row>
    <row r="1255" spans="2:22" s="15" customFormat="1" ht="29" x14ac:dyDescent="0.35">
      <c r="B1255" s="64">
        <v>45734</v>
      </c>
      <c r="C1255" s="17">
        <v>1149</v>
      </c>
      <c r="D1255" s="85" t="s">
        <v>3399</v>
      </c>
      <c r="E1255" s="85" t="s">
        <v>3330</v>
      </c>
      <c r="F1255" s="85" t="s">
        <v>1468</v>
      </c>
      <c r="G1255" s="17" t="s">
        <v>1805</v>
      </c>
      <c r="H1255" s="17" t="s">
        <v>1930</v>
      </c>
      <c r="I1255" s="145" t="s">
        <v>39</v>
      </c>
      <c r="J1255" s="14" t="s">
        <v>3507</v>
      </c>
      <c r="K1255" s="14" t="s">
        <v>1425</v>
      </c>
      <c r="L1255" s="17" t="s">
        <v>39</v>
      </c>
      <c r="M1255" s="16">
        <v>8129179955</v>
      </c>
      <c r="N1255" s="16">
        <v>350612072995630</v>
      </c>
      <c r="O1255" s="16" t="s">
        <v>3456</v>
      </c>
      <c r="P1255" s="17" t="s">
        <v>3455</v>
      </c>
      <c r="Q1255" s="17" t="s">
        <v>2559</v>
      </c>
      <c r="R1255" s="18">
        <v>0</v>
      </c>
      <c r="S1255" s="19" t="s">
        <v>3329</v>
      </c>
      <c r="T1255" s="17"/>
      <c r="U1255" s="66"/>
    </row>
    <row r="1256" spans="2:22" s="15" customFormat="1" ht="29" x14ac:dyDescent="0.35">
      <c r="B1256" s="64">
        <v>45734</v>
      </c>
      <c r="C1256" s="17">
        <v>1150</v>
      </c>
      <c r="D1256" s="85" t="s">
        <v>3400</v>
      </c>
      <c r="E1256" s="85" t="s">
        <v>3330</v>
      </c>
      <c r="F1256" s="85" t="s">
        <v>1468</v>
      </c>
      <c r="G1256" s="17" t="s">
        <v>1805</v>
      </c>
      <c r="H1256" s="17" t="s">
        <v>1930</v>
      </c>
      <c r="I1256" s="145" t="s">
        <v>39</v>
      </c>
      <c r="J1256" s="121" t="s">
        <v>3362</v>
      </c>
      <c r="K1256" s="14" t="s">
        <v>3345</v>
      </c>
      <c r="L1256" s="17" t="s">
        <v>39</v>
      </c>
      <c r="M1256" s="16">
        <v>8116050776</v>
      </c>
      <c r="N1256" s="16">
        <v>868166056101132</v>
      </c>
      <c r="O1256" s="16" t="s">
        <v>3458</v>
      </c>
      <c r="P1256" s="17" t="s">
        <v>3457</v>
      </c>
      <c r="Q1256" s="17" t="s">
        <v>2559</v>
      </c>
      <c r="R1256" s="18">
        <v>0</v>
      </c>
      <c r="S1256" s="19" t="s">
        <v>3329</v>
      </c>
      <c r="T1256" s="17"/>
      <c r="U1256" s="66"/>
    </row>
    <row r="1257" spans="2:22" s="15" customFormat="1" ht="29" x14ac:dyDescent="0.35">
      <c r="B1257" s="64">
        <v>45734</v>
      </c>
      <c r="C1257" s="17">
        <v>1151</v>
      </c>
      <c r="D1257" s="85" t="s">
        <v>3401</v>
      </c>
      <c r="E1257" s="85" t="s">
        <v>3330</v>
      </c>
      <c r="F1257" s="85" t="s">
        <v>1468</v>
      </c>
      <c r="G1257" s="17" t="s">
        <v>1805</v>
      </c>
      <c r="H1257" s="17" t="s">
        <v>1930</v>
      </c>
      <c r="I1257" s="145" t="s">
        <v>39</v>
      </c>
      <c r="J1257" s="14" t="s">
        <v>3508</v>
      </c>
      <c r="K1257" s="14" t="s">
        <v>1433</v>
      </c>
      <c r="L1257" s="17" t="s">
        <v>39</v>
      </c>
      <c r="M1257" s="16">
        <v>8183963053</v>
      </c>
      <c r="N1257" s="16">
        <v>863719060355105</v>
      </c>
      <c r="O1257" s="16" t="s">
        <v>3459</v>
      </c>
      <c r="P1257" s="17" t="s">
        <v>3509</v>
      </c>
      <c r="Q1257" s="17" t="s">
        <v>2559</v>
      </c>
      <c r="R1257" s="18">
        <v>0</v>
      </c>
      <c r="S1257" s="19" t="s">
        <v>3329</v>
      </c>
      <c r="T1257" s="17"/>
      <c r="U1257" s="66"/>
    </row>
    <row r="1258" spans="2:22" s="15" customFormat="1" ht="29" x14ac:dyDescent="0.35">
      <c r="B1258" s="64">
        <v>45734</v>
      </c>
      <c r="C1258" s="17">
        <v>1152</v>
      </c>
      <c r="D1258" s="85" t="s">
        <v>3402</v>
      </c>
      <c r="E1258" s="85" t="s">
        <v>3330</v>
      </c>
      <c r="F1258" s="85" t="s">
        <v>1468</v>
      </c>
      <c r="G1258" s="17" t="s">
        <v>1805</v>
      </c>
      <c r="H1258" s="17" t="s">
        <v>1930</v>
      </c>
      <c r="I1258" s="145" t="s">
        <v>39</v>
      </c>
      <c r="J1258" s="121" t="s">
        <v>3363</v>
      </c>
      <c r="K1258" s="14" t="s">
        <v>3346</v>
      </c>
      <c r="L1258" s="17" t="s">
        <v>39</v>
      </c>
      <c r="M1258" s="16">
        <v>8126312911</v>
      </c>
      <c r="N1258" s="16">
        <v>350544502690673</v>
      </c>
      <c r="O1258" s="16" t="s">
        <v>386</v>
      </c>
      <c r="P1258" s="17" t="s">
        <v>3460</v>
      </c>
      <c r="Q1258" s="17" t="s">
        <v>2559</v>
      </c>
      <c r="R1258" s="18">
        <v>0</v>
      </c>
      <c r="S1258" s="19" t="s">
        <v>3329</v>
      </c>
      <c r="T1258" s="17"/>
      <c r="U1258" s="66"/>
    </row>
    <row r="1259" spans="2:22" s="15" customFormat="1" ht="29" x14ac:dyDescent="0.35">
      <c r="B1259" s="64">
        <v>45734</v>
      </c>
      <c r="C1259" s="17">
        <v>1153</v>
      </c>
      <c r="D1259" s="85" t="s">
        <v>3403</v>
      </c>
      <c r="E1259" s="85" t="s">
        <v>3330</v>
      </c>
      <c r="F1259" s="85" t="s">
        <v>1468</v>
      </c>
      <c r="G1259" s="17" t="s">
        <v>1805</v>
      </c>
      <c r="H1259" s="17" t="s">
        <v>1930</v>
      </c>
      <c r="I1259" s="145" t="s">
        <v>39</v>
      </c>
      <c r="J1259" s="121" t="s">
        <v>3364</v>
      </c>
      <c r="K1259" s="14" t="s">
        <v>1446</v>
      </c>
      <c r="L1259" s="17" t="s">
        <v>39</v>
      </c>
      <c r="M1259" s="16">
        <v>8112776093</v>
      </c>
      <c r="N1259" s="16">
        <v>868166056884885</v>
      </c>
      <c r="O1259" s="16" t="s">
        <v>39</v>
      </c>
      <c r="P1259" s="17" t="s">
        <v>967</v>
      </c>
      <c r="Q1259" s="17" t="s">
        <v>2559</v>
      </c>
      <c r="R1259" s="18">
        <v>0</v>
      </c>
      <c r="S1259" s="19" t="s">
        <v>3329</v>
      </c>
      <c r="T1259" s="17"/>
      <c r="U1259" s="66"/>
    </row>
    <row r="1260" spans="2:22" s="15" customFormat="1" ht="29" x14ac:dyDescent="0.35">
      <c r="B1260" s="64">
        <v>45734</v>
      </c>
      <c r="C1260" s="17">
        <v>1154</v>
      </c>
      <c r="D1260" s="85" t="s">
        <v>3404</v>
      </c>
      <c r="E1260" s="85" t="s">
        <v>3330</v>
      </c>
      <c r="F1260" s="85" t="s">
        <v>1468</v>
      </c>
      <c r="G1260" s="17" t="s">
        <v>1805</v>
      </c>
      <c r="H1260" s="17" t="s">
        <v>1930</v>
      </c>
      <c r="I1260" s="145" t="s">
        <v>39</v>
      </c>
      <c r="J1260" s="121" t="s">
        <v>3365</v>
      </c>
      <c r="K1260" s="14" t="s">
        <v>1533</v>
      </c>
      <c r="L1260" s="17" t="s">
        <v>39</v>
      </c>
      <c r="M1260" s="16">
        <v>8110664574</v>
      </c>
      <c r="N1260" s="16">
        <v>868166056882491</v>
      </c>
      <c r="O1260" s="16" t="s">
        <v>962</v>
      </c>
      <c r="P1260" s="17" t="s">
        <v>39</v>
      </c>
      <c r="Q1260" s="17" t="s">
        <v>2559</v>
      </c>
      <c r="R1260" s="18">
        <v>0</v>
      </c>
      <c r="S1260" s="19" t="s">
        <v>3329</v>
      </c>
      <c r="T1260" s="17"/>
      <c r="U1260" s="66"/>
    </row>
    <row r="1261" spans="2:22" s="15" customFormat="1" ht="29" x14ac:dyDescent="0.35">
      <c r="B1261" s="64">
        <v>45734</v>
      </c>
      <c r="C1261" s="17">
        <v>1155</v>
      </c>
      <c r="D1261" s="85" t="s">
        <v>3405</v>
      </c>
      <c r="E1261" s="85" t="s">
        <v>3330</v>
      </c>
      <c r="F1261" s="85" t="s">
        <v>1468</v>
      </c>
      <c r="G1261" s="17" t="s">
        <v>1805</v>
      </c>
      <c r="H1261" s="17" t="s">
        <v>1930</v>
      </c>
      <c r="I1261" s="145" t="s">
        <v>39</v>
      </c>
      <c r="J1261" s="17" t="s">
        <v>3511</v>
      </c>
      <c r="K1261" s="14" t="s">
        <v>1452</v>
      </c>
      <c r="L1261" s="17" t="s">
        <v>39</v>
      </c>
      <c r="M1261" s="16">
        <v>8119174195</v>
      </c>
      <c r="N1261" s="16">
        <v>868166056882038</v>
      </c>
      <c r="O1261" s="16" t="s">
        <v>3462</v>
      </c>
      <c r="P1261" s="17" t="s">
        <v>3461</v>
      </c>
      <c r="Q1261" s="17" t="s">
        <v>2559</v>
      </c>
      <c r="R1261" s="18">
        <v>0</v>
      </c>
      <c r="S1261" s="19" t="s">
        <v>3329</v>
      </c>
      <c r="T1261" s="17"/>
      <c r="U1261" s="66"/>
    </row>
    <row r="1262" spans="2:22" s="15" customFormat="1" ht="29" x14ac:dyDescent="0.35">
      <c r="B1262" s="64">
        <v>45734</v>
      </c>
      <c r="C1262" s="17">
        <v>1156</v>
      </c>
      <c r="D1262" s="85" t="s">
        <v>3406</v>
      </c>
      <c r="E1262" s="85" t="s">
        <v>3330</v>
      </c>
      <c r="F1262" s="85" t="s">
        <v>1468</v>
      </c>
      <c r="G1262" s="17" t="s">
        <v>1805</v>
      </c>
      <c r="H1262" s="17" t="s">
        <v>1930</v>
      </c>
      <c r="I1262" s="145" t="s">
        <v>39</v>
      </c>
      <c r="J1262" s="121" t="s">
        <v>3366</v>
      </c>
      <c r="K1262" s="14" t="s">
        <v>3347</v>
      </c>
      <c r="L1262" s="17" t="s">
        <v>39</v>
      </c>
      <c r="M1262" s="16">
        <v>8126311046</v>
      </c>
      <c r="N1262" s="16">
        <v>869220041340088</v>
      </c>
      <c r="O1262" s="16" t="s">
        <v>39</v>
      </c>
      <c r="P1262" s="17" t="s">
        <v>991</v>
      </c>
      <c r="Q1262" s="17" t="s">
        <v>2559</v>
      </c>
      <c r="R1262" s="18">
        <v>0</v>
      </c>
      <c r="S1262" s="19" t="s">
        <v>3329</v>
      </c>
      <c r="T1262" s="17"/>
      <c r="U1262" s="66"/>
    </row>
    <row r="1263" spans="2:22" s="15" customFormat="1" ht="29" x14ac:dyDescent="0.35">
      <c r="B1263" s="64">
        <v>45734</v>
      </c>
      <c r="C1263" s="17">
        <v>1157</v>
      </c>
      <c r="D1263" s="85" t="s">
        <v>3407</v>
      </c>
      <c r="E1263" s="85" t="s">
        <v>3330</v>
      </c>
      <c r="F1263" s="85" t="s">
        <v>1468</v>
      </c>
      <c r="G1263" s="17" t="s">
        <v>1805</v>
      </c>
      <c r="H1263" s="17" t="s">
        <v>1930</v>
      </c>
      <c r="I1263" s="145" t="s">
        <v>39</v>
      </c>
      <c r="J1263" s="17" t="s">
        <v>3513</v>
      </c>
      <c r="K1263" s="123" t="s">
        <v>1634</v>
      </c>
      <c r="L1263" s="17" t="s">
        <v>39</v>
      </c>
      <c r="M1263" s="16">
        <v>8115360161</v>
      </c>
      <c r="N1263" s="16">
        <v>350612070977200</v>
      </c>
      <c r="O1263" s="16" t="s">
        <v>3464</v>
      </c>
      <c r="P1263" s="17" t="s">
        <v>3463</v>
      </c>
      <c r="Q1263" s="17" t="s">
        <v>2559</v>
      </c>
      <c r="R1263" s="18">
        <v>0</v>
      </c>
      <c r="S1263" s="19" t="s">
        <v>3329</v>
      </c>
      <c r="T1263" s="17"/>
      <c r="U1263" s="66"/>
    </row>
    <row r="1264" spans="2:22" s="15" customFormat="1" ht="29" x14ac:dyDescent="0.35">
      <c r="B1264" s="64">
        <v>45734</v>
      </c>
      <c r="C1264" s="17">
        <v>1158</v>
      </c>
      <c r="D1264" s="85" t="s">
        <v>3408</v>
      </c>
      <c r="E1264" s="85" t="s">
        <v>3330</v>
      </c>
      <c r="F1264" s="85" t="s">
        <v>1468</v>
      </c>
      <c r="G1264" s="17" t="s">
        <v>1805</v>
      </c>
      <c r="H1264" s="17" t="s">
        <v>1930</v>
      </c>
      <c r="I1264" s="145" t="s">
        <v>39</v>
      </c>
      <c r="J1264" s="17" t="s">
        <v>3515</v>
      </c>
      <c r="K1264" s="17" t="s">
        <v>1661</v>
      </c>
      <c r="L1264" s="17" t="s">
        <v>39</v>
      </c>
      <c r="M1264" s="16">
        <v>8122016549</v>
      </c>
      <c r="N1264" s="16">
        <v>869220041536933</v>
      </c>
      <c r="O1264" s="16" t="s">
        <v>3466</v>
      </c>
      <c r="P1264" s="17" t="s">
        <v>3465</v>
      </c>
      <c r="Q1264" s="17" t="s">
        <v>2559</v>
      </c>
      <c r="R1264" s="18">
        <v>0</v>
      </c>
      <c r="S1264" s="19" t="s">
        <v>3329</v>
      </c>
      <c r="T1264" s="17"/>
      <c r="U1264" s="66"/>
    </row>
    <row r="1265" spans="2:21" s="15" customFormat="1" ht="29" x14ac:dyDescent="0.35">
      <c r="B1265" s="64">
        <v>45734</v>
      </c>
      <c r="C1265" s="17">
        <v>1159</v>
      </c>
      <c r="D1265" s="85" t="s">
        <v>3409</v>
      </c>
      <c r="E1265" s="85" t="s">
        <v>3330</v>
      </c>
      <c r="F1265" s="85" t="s">
        <v>1468</v>
      </c>
      <c r="G1265" s="17" t="s">
        <v>1805</v>
      </c>
      <c r="H1265" s="17" t="s">
        <v>1930</v>
      </c>
      <c r="I1265" s="145" t="s">
        <v>39</v>
      </c>
      <c r="J1265" s="121" t="s">
        <v>3367</v>
      </c>
      <c r="K1265" s="14" t="s">
        <v>1782</v>
      </c>
      <c r="L1265" s="17" t="s">
        <v>39</v>
      </c>
      <c r="M1265" s="16">
        <v>8120013098</v>
      </c>
      <c r="N1265" s="16">
        <v>869220040534947</v>
      </c>
      <c r="O1265" s="16" t="s">
        <v>3468</v>
      </c>
      <c r="P1265" s="17" t="s">
        <v>3467</v>
      </c>
      <c r="Q1265" s="17" t="s">
        <v>2559</v>
      </c>
      <c r="R1265" s="18">
        <v>0</v>
      </c>
      <c r="S1265" s="19" t="s">
        <v>3329</v>
      </c>
      <c r="T1265" s="17"/>
      <c r="U1265" s="66"/>
    </row>
    <row r="1266" spans="2:21" s="15" customFormat="1" ht="29" x14ac:dyDescent="0.35">
      <c r="B1266" s="64">
        <v>45734</v>
      </c>
      <c r="C1266" s="17">
        <v>1160</v>
      </c>
      <c r="D1266" s="85" t="s">
        <v>3410</v>
      </c>
      <c r="E1266" s="85" t="s">
        <v>3330</v>
      </c>
      <c r="F1266" s="85" t="s">
        <v>1468</v>
      </c>
      <c r="G1266" s="17" t="s">
        <v>1805</v>
      </c>
      <c r="H1266" s="17" t="s">
        <v>1930</v>
      </c>
      <c r="I1266" s="145" t="s">
        <v>39</v>
      </c>
      <c r="J1266" s="17" t="s">
        <v>3518</v>
      </c>
      <c r="K1266" s="14" t="s">
        <v>3348</v>
      </c>
      <c r="L1266" s="17" t="s">
        <v>39</v>
      </c>
      <c r="M1266" s="16">
        <v>8119901787</v>
      </c>
      <c r="N1266" s="16">
        <v>868166058820440</v>
      </c>
      <c r="O1266" s="16" t="s">
        <v>3470</v>
      </c>
      <c r="P1266" s="17" t="s">
        <v>3469</v>
      </c>
      <c r="Q1266" s="17" t="s">
        <v>2559</v>
      </c>
      <c r="R1266" s="18">
        <v>0</v>
      </c>
      <c r="S1266" s="19" t="s">
        <v>3329</v>
      </c>
      <c r="T1266" s="17"/>
      <c r="U1266" s="66"/>
    </row>
    <row r="1267" spans="2:21" s="15" customFormat="1" ht="29" x14ac:dyDescent="0.35">
      <c r="B1267" s="64">
        <v>45734</v>
      </c>
      <c r="C1267" s="17">
        <v>1161</v>
      </c>
      <c r="D1267" s="85" t="s">
        <v>3411</v>
      </c>
      <c r="E1267" s="85" t="s">
        <v>3330</v>
      </c>
      <c r="F1267" s="85" t="s">
        <v>1468</v>
      </c>
      <c r="G1267" s="17" t="s">
        <v>1805</v>
      </c>
      <c r="H1267" s="17" t="s">
        <v>1930</v>
      </c>
      <c r="I1267" s="145" t="s">
        <v>39</v>
      </c>
      <c r="J1267" s="121" t="s">
        <v>3368</v>
      </c>
      <c r="K1267" s="14" t="s">
        <v>1827</v>
      </c>
      <c r="L1267" s="17" t="s">
        <v>39</v>
      </c>
      <c r="M1267" s="16">
        <v>8135512518</v>
      </c>
      <c r="N1267" s="16">
        <v>868166058822321</v>
      </c>
      <c r="O1267" s="16" t="s">
        <v>39</v>
      </c>
      <c r="P1267" s="17" t="s">
        <v>1828</v>
      </c>
      <c r="Q1267" s="17" t="s">
        <v>2559</v>
      </c>
      <c r="R1267" s="18">
        <v>0</v>
      </c>
      <c r="S1267" s="19" t="s">
        <v>3329</v>
      </c>
      <c r="T1267" s="17"/>
      <c r="U1267" s="66"/>
    </row>
    <row r="1268" spans="2:21" s="15" customFormat="1" ht="29" x14ac:dyDescent="0.35">
      <c r="B1268" s="64">
        <v>45734</v>
      </c>
      <c r="C1268" s="17">
        <v>1162</v>
      </c>
      <c r="D1268" s="85" t="s">
        <v>3412</v>
      </c>
      <c r="E1268" s="85" t="s">
        <v>3330</v>
      </c>
      <c r="F1268" s="85" t="s">
        <v>1468</v>
      </c>
      <c r="G1268" s="17" t="s">
        <v>1805</v>
      </c>
      <c r="H1268" s="17" t="s">
        <v>1930</v>
      </c>
      <c r="I1268" s="145" t="s">
        <v>39</v>
      </c>
      <c r="J1268" s="17" t="s">
        <v>3521</v>
      </c>
      <c r="K1268" s="14" t="s">
        <v>1860</v>
      </c>
      <c r="L1268" s="17" t="s">
        <v>39</v>
      </c>
      <c r="M1268" s="16">
        <v>8120010508</v>
      </c>
      <c r="N1268" s="16">
        <v>865011031937544</v>
      </c>
      <c r="O1268" s="16" t="s">
        <v>39</v>
      </c>
      <c r="P1268" s="17" t="s">
        <v>1861</v>
      </c>
      <c r="Q1268" s="17" t="s">
        <v>2559</v>
      </c>
      <c r="R1268" s="18">
        <v>0</v>
      </c>
      <c r="S1268" s="19" t="s">
        <v>3329</v>
      </c>
      <c r="T1268" s="17"/>
      <c r="U1268" s="66"/>
    </row>
    <row r="1269" spans="2:21" s="15" customFormat="1" ht="29" x14ac:dyDescent="0.35">
      <c r="B1269" s="64">
        <v>45734</v>
      </c>
      <c r="C1269" s="17">
        <v>1163</v>
      </c>
      <c r="D1269" s="85" t="s">
        <v>3413</v>
      </c>
      <c r="E1269" s="85" t="s">
        <v>3330</v>
      </c>
      <c r="F1269" s="85" t="s">
        <v>1468</v>
      </c>
      <c r="G1269" s="17" t="s">
        <v>1805</v>
      </c>
      <c r="H1269" s="17" t="s">
        <v>1930</v>
      </c>
      <c r="I1269" s="145" t="s">
        <v>39</v>
      </c>
      <c r="J1269" s="121" t="s">
        <v>3369</v>
      </c>
      <c r="K1269" s="123" t="s">
        <v>1873</v>
      </c>
      <c r="L1269" s="17" t="s">
        <v>39</v>
      </c>
      <c r="M1269" s="16">
        <v>8120392405</v>
      </c>
      <c r="N1269" s="16">
        <v>868166059177089</v>
      </c>
      <c r="O1269" s="16" t="s">
        <v>39</v>
      </c>
      <c r="P1269" s="17" t="s">
        <v>1874</v>
      </c>
      <c r="Q1269" s="17" t="s">
        <v>2559</v>
      </c>
      <c r="R1269" s="18">
        <v>0</v>
      </c>
      <c r="S1269" s="19" t="s">
        <v>3329</v>
      </c>
      <c r="T1269" s="17"/>
      <c r="U1269" s="66"/>
    </row>
    <row r="1270" spans="2:21" s="15" customFormat="1" ht="29" x14ac:dyDescent="0.35">
      <c r="B1270" s="64">
        <v>45734</v>
      </c>
      <c r="C1270" s="17">
        <v>1164</v>
      </c>
      <c r="D1270" s="85" t="s">
        <v>3414</v>
      </c>
      <c r="E1270" s="85" t="s">
        <v>3330</v>
      </c>
      <c r="F1270" s="85" t="s">
        <v>1468</v>
      </c>
      <c r="G1270" s="17" t="s">
        <v>1805</v>
      </c>
      <c r="H1270" s="17" t="s">
        <v>1930</v>
      </c>
      <c r="I1270" s="145" t="s">
        <v>39</v>
      </c>
      <c r="J1270" s="121" t="s">
        <v>3370</v>
      </c>
      <c r="K1270" s="14" t="s">
        <v>1924</v>
      </c>
      <c r="L1270" s="17" t="s">
        <v>39</v>
      </c>
      <c r="M1270" s="16">
        <v>8135511214</v>
      </c>
      <c r="N1270" s="16">
        <v>868166059175547</v>
      </c>
      <c r="O1270" s="16" t="s">
        <v>3472</v>
      </c>
      <c r="P1270" s="17" t="s">
        <v>3471</v>
      </c>
      <c r="Q1270" s="17" t="s">
        <v>2559</v>
      </c>
      <c r="R1270" s="18">
        <v>0</v>
      </c>
      <c r="S1270" s="19" t="s">
        <v>3329</v>
      </c>
      <c r="T1270" s="17"/>
      <c r="U1270" s="66"/>
    </row>
    <row r="1271" spans="2:21" s="15" customFormat="1" ht="29" x14ac:dyDescent="0.35">
      <c r="B1271" s="64">
        <v>45734</v>
      </c>
      <c r="C1271" s="17">
        <v>1165</v>
      </c>
      <c r="D1271" s="85" t="s">
        <v>3415</v>
      </c>
      <c r="E1271" s="85" t="s">
        <v>3330</v>
      </c>
      <c r="F1271" s="85" t="s">
        <v>1468</v>
      </c>
      <c r="G1271" s="17" t="s">
        <v>1805</v>
      </c>
      <c r="H1271" s="17" t="s">
        <v>1930</v>
      </c>
      <c r="I1271" s="145" t="s">
        <v>39</v>
      </c>
      <c r="J1271" s="17" t="s">
        <v>3525</v>
      </c>
      <c r="K1271" s="14" t="s">
        <v>2006</v>
      </c>
      <c r="L1271" s="17" t="s">
        <v>39</v>
      </c>
      <c r="M1271" s="16">
        <v>8123205958</v>
      </c>
      <c r="N1271" s="16">
        <v>868166059175497</v>
      </c>
      <c r="O1271" s="16" t="s">
        <v>3474</v>
      </c>
      <c r="P1271" s="17" t="s">
        <v>3473</v>
      </c>
      <c r="Q1271" s="17" t="s">
        <v>2559</v>
      </c>
      <c r="R1271" s="18">
        <v>0</v>
      </c>
      <c r="S1271" s="19" t="s">
        <v>3329</v>
      </c>
      <c r="T1271" s="17"/>
      <c r="U1271" s="66"/>
    </row>
    <row r="1272" spans="2:21" s="15" customFormat="1" ht="29" x14ac:dyDescent="0.35">
      <c r="B1272" s="64">
        <v>45734</v>
      </c>
      <c r="C1272" s="17">
        <v>1166</v>
      </c>
      <c r="D1272" s="85" t="s">
        <v>3416</v>
      </c>
      <c r="E1272" s="85" t="s">
        <v>3330</v>
      </c>
      <c r="F1272" s="85" t="s">
        <v>1468</v>
      </c>
      <c r="G1272" s="17" t="s">
        <v>1805</v>
      </c>
      <c r="H1272" s="17" t="s">
        <v>1930</v>
      </c>
      <c r="I1272" s="145" t="s">
        <v>39</v>
      </c>
      <c r="J1272" s="17" t="s">
        <v>3526</v>
      </c>
      <c r="K1272" s="14" t="s">
        <v>2011</v>
      </c>
      <c r="L1272" s="17" t="s">
        <v>39</v>
      </c>
      <c r="M1272" s="16">
        <v>8123554967</v>
      </c>
      <c r="N1272" s="16">
        <v>865011034749573</v>
      </c>
      <c r="O1272" s="16" t="s">
        <v>3476</v>
      </c>
      <c r="P1272" s="17" t="s">
        <v>3475</v>
      </c>
      <c r="Q1272" s="17" t="s">
        <v>2559</v>
      </c>
      <c r="R1272" s="18">
        <v>0</v>
      </c>
      <c r="S1272" s="19" t="s">
        <v>3329</v>
      </c>
      <c r="T1272" s="17"/>
      <c r="U1272" s="66"/>
    </row>
    <row r="1273" spans="2:21" s="15" customFormat="1" ht="29" x14ac:dyDescent="0.35">
      <c r="B1273" s="64">
        <v>45734</v>
      </c>
      <c r="C1273" s="17">
        <v>1167</v>
      </c>
      <c r="D1273" s="85" t="s">
        <v>3417</v>
      </c>
      <c r="E1273" s="85" t="s">
        <v>3330</v>
      </c>
      <c r="F1273" s="85" t="s">
        <v>1468</v>
      </c>
      <c r="G1273" s="17" t="s">
        <v>1805</v>
      </c>
      <c r="H1273" s="17" t="s">
        <v>1930</v>
      </c>
      <c r="I1273" s="145" t="s">
        <v>39</v>
      </c>
      <c r="J1273" s="17" t="s">
        <v>3527</v>
      </c>
      <c r="K1273" s="123" t="s">
        <v>2059</v>
      </c>
      <c r="L1273" s="17" t="s">
        <v>39</v>
      </c>
      <c r="M1273" s="16">
        <v>8135518619</v>
      </c>
      <c r="N1273" s="16">
        <v>868166059178582</v>
      </c>
      <c r="O1273" s="16" t="s">
        <v>39</v>
      </c>
      <c r="P1273" s="17" t="s">
        <v>2062</v>
      </c>
      <c r="Q1273" s="17" t="s">
        <v>2559</v>
      </c>
      <c r="R1273" s="18">
        <v>0</v>
      </c>
      <c r="S1273" s="19" t="s">
        <v>3329</v>
      </c>
      <c r="T1273" s="17"/>
      <c r="U1273" s="66"/>
    </row>
    <row r="1274" spans="2:21" s="15" customFormat="1" ht="29" x14ac:dyDescent="0.35">
      <c r="B1274" s="64">
        <v>45734</v>
      </c>
      <c r="C1274" s="17">
        <v>1168</v>
      </c>
      <c r="D1274" s="85" t="s">
        <v>3418</v>
      </c>
      <c r="E1274" s="85" t="s">
        <v>3330</v>
      </c>
      <c r="F1274" s="85" t="s">
        <v>1468</v>
      </c>
      <c r="G1274" s="17" t="s">
        <v>1805</v>
      </c>
      <c r="H1274" s="17" t="s">
        <v>1930</v>
      </c>
      <c r="I1274" s="145" t="s">
        <v>39</v>
      </c>
      <c r="J1274" s="121" t="s">
        <v>3371</v>
      </c>
      <c r="K1274" s="14" t="s">
        <v>2163</v>
      </c>
      <c r="L1274" s="17" t="s">
        <v>39</v>
      </c>
      <c r="M1274" s="16">
        <v>8182594957</v>
      </c>
      <c r="N1274" s="16">
        <v>868166059144444</v>
      </c>
      <c r="O1274" s="16" t="s">
        <v>39</v>
      </c>
      <c r="P1274" s="17" t="s">
        <v>2187</v>
      </c>
      <c r="Q1274" s="17" t="s">
        <v>2559</v>
      </c>
      <c r="R1274" s="18">
        <v>0</v>
      </c>
      <c r="S1274" s="19" t="s">
        <v>3329</v>
      </c>
      <c r="T1274" s="17"/>
      <c r="U1274" s="66"/>
    </row>
    <row r="1275" spans="2:21" s="15" customFormat="1" ht="29" x14ac:dyDescent="0.35">
      <c r="B1275" s="64">
        <v>45734</v>
      </c>
      <c r="C1275" s="17">
        <v>1169</v>
      </c>
      <c r="D1275" s="85" t="s">
        <v>3419</v>
      </c>
      <c r="E1275" s="85" t="s">
        <v>3330</v>
      </c>
      <c r="F1275" s="85" t="s">
        <v>1468</v>
      </c>
      <c r="G1275" s="17" t="s">
        <v>1805</v>
      </c>
      <c r="H1275" s="17" t="s">
        <v>1930</v>
      </c>
      <c r="I1275" s="145" t="s">
        <v>39</v>
      </c>
      <c r="J1275" s="17" t="s">
        <v>3529</v>
      </c>
      <c r="K1275" s="14" t="s">
        <v>2293</v>
      </c>
      <c r="L1275" s="17" t="s">
        <v>39</v>
      </c>
      <c r="M1275" s="16">
        <v>8118003970</v>
      </c>
      <c r="N1275" s="16">
        <v>869220041855002</v>
      </c>
      <c r="O1275" s="16" t="s">
        <v>3478</v>
      </c>
      <c r="P1275" s="17" t="s">
        <v>3477</v>
      </c>
      <c r="Q1275" s="17" t="s">
        <v>2559</v>
      </c>
      <c r="R1275" s="18">
        <v>0</v>
      </c>
      <c r="S1275" s="19" t="s">
        <v>3329</v>
      </c>
      <c r="T1275" s="17"/>
      <c r="U1275" s="66"/>
    </row>
    <row r="1276" spans="2:21" s="15" customFormat="1" ht="29" x14ac:dyDescent="0.35">
      <c r="B1276" s="64">
        <v>45734</v>
      </c>
      <c r="C1276" s="17">
        <v>1170</v>
      </c>
      <c r="D1276" s="85" t="s">
        <v>3420</v>
      </c>
      <c r="E1276" s="85" t="s">
        <v>3330</v>
      </c>
      <c r="F1276" s="85" t="s">
        <v>1468</v>
      </c>
      <c r="G1276" s="17" t="s">
        <v>1805</v>
      </c>
      <c r="H1276" s="17" t="s">
        <v>1930</v>
      </c>
      <c r="I1276" s="145" t="s">
        <v>39</v>
      </c>
      <c r="J1276" s="17" t="s">
        <v>2313</v>
      </c>
      <c r="K1276" s="14" t="s">
        <v>2312</v>
      </c>
      <c r="L1276" s="17" t="s">
        <v>39</v>
      </c>
      <c r="M1276" s="16">
        <v>8116841485</v>
      </c>
      <c r="N1276" s="16">
        <v>868166059892794</v>
      </c>
      <c r="O1276" s="16" t="s">
        <v>3480</v>
      </c>
      <c r="P1276" s="17" t="s">
        <v>3479</v>
      </c>
      <c r="Q1276" s="17" t="s">
        <v>2559</v>
      </c>
      <c r="R1276" s="18">
        <v>0</v>
      </c>
      <c r="S1276" s="19" t="s">
        <v>3329</v>
      </c>
      <c r="T1276" s="17"/>
      <c r="U1276" s="66"/>
    </row>
    <row r="1277" spans="2:21" s="15" customFormat="1" ht="29" x14ac:dyDescent="0.35">
      <c r="B1277" s="64">
        <v>45734</v>
      </c>
      <c r="C1277" s="17">
        <v>1171</v>
      </c>
      <c r="D1277" s="85" t="s">
        <v>3421</v>
      </c>
      <c r="E1277" s="85" t="s">
        <v>3330</v>
      </c>
      <c r="F1277" s="85" t="s">
        <v>1468</v>
      </c>
      <c r="G1277" s="17" t="s">
        <v>1805</v>
      </c>
      <c r="H1277" s="17" t="s">
        <v>1930</v>
      </c>
      <c r="I1277" s="145" t="s">
        <v>39</v>
      </c>
      <c r="J1277" s="121" t="s">
        <v>3530</v>
      </c>
      <c r="K1277" s="14" t="s">
        <v>2405</v>
      </c>
      <c r="L1277" s="17" t="s">
        <v>39</v>
      </c>
      <c r="M1277" s="16">
        <v>8331861274</v>
      </c>
      <c r="N1277" s="16">
        <v>869706060881630</v>
      </c>
      <c r="O1277" s="16" t="s">
        <v>3482</v>
      </c>
      <c r="P1277" s="17" t="s">
        <v>3481</v>
      </c>
      <c r="Q1277" s="17" t="s">
        <v>2559</v>
      </c>
      <c r="R1277" s="18">
        <v>0</v>
      </c>
      <c r="S1277" s="19" t="s">
        <v>3329</v>
      </c>
      <c r="T1277" s="17"/>
      <c r="U1277" s="66"/>
    </row>
    <row r="1278" spans="2:21" s="15" customFormat="1" ht="29" x14ac:dyDescent="0.35">
      <c r="B1278" s="64">
        <v>45734</v>
      </c>
      <c r="C1278" s="17">
        <v>1172</v>
      </c>
      <c r="D1278" s="85" t="s">
        <v>3422</v>
      </c>
      <c r="E1278" s="85" t="s">
        <v>3330</v>
      </c>
      <c r="F1278" s="85" t="s">
        <v>1468</v>
      </c>
      <c r="G1278" s="17" t="s">
        <v>1805</v>
      </c>
      <c r="H1278" s="17" t="s">
        <v>1930</v>
      </c>
      <c r="I1278" s="145" t="s">
        <v>39</v>
      </c>
      <c r="J1278" s="17" t="s">
        <v>3531</v>
      </c>
      <c r="K1278" s="14" t="s">
        <v>2547</v>
      </c>
      <c r="L1278" s="17" t="s">
        <v>39</v>
      </c>
      <c r="M1278" s="16">
        <v>8333013693</v>
      </c>
      <c r="N1278" s="16">
        <v>869706061065456</v>
      </c>
      <c r="O1278" s="16" t="s">
        <v>3484</v>
      </c>
      <c r="P1278" s="17" t="s">
        <v>3483</v>
      </c>
      <c r="Q1278" s="17" t="s">
        <v>2559</v>
      </c>
      <c r="R1278" s="18">
        <v>0</v>
      </c>
      <c r="S1278" s="19" t="s">
        <v>3329</v>
      </c>
      <c r="T1278" s="17"/>
      <c r="U1278" s="66"/>
    </row>
    <row r="1279" spans="2:21" s="15" customFormat="1" ht="29" x14ac:dyDescent="0.35">
      <c r="B1279" s="64">
        <v>45743</v>
      </c>
      <c r="C1279" s="17">
        <v>1173</v>
      </c>
      <c r="D1279" s="85">
        <v>810</v>
      </c>
      <c r="E1279" s="85" t="s">
        <v>3578</v>
      </c>
      <c r="F1279" s="85" t="s">
        <v>13</v>
      </c>
      <c r="G1279" s="17" t="s">
        <v>1805</v>
      </c>
      <c r="H1279" s="14" t="s">
        <v>1744</v>
      </c>
      <c r="I1279" s="145" t="s">
        <v>3579</v>
      </c>
      <c r="J1279" s="17" t="s">
        <v>3580</v>
      </c>
      <c r="K1279" s="95" t="s">
        <v>3581</v>
      </c>
      <c r="L1279" s="17" t="s">
        <v>2</v>
      </c>
      <c r="M1279" s="16">
        <v>8120104364</v>
      </c>
      <c r="N1279" s="16">
        <v>869706060074178</v>
      </c>
      <c r="O1279" s="16" t="s">
        <v>39</v>
      </c>
      <c r="P1279" s="17" t="s">
        <v>3582</v>
      </c>
      <c r="Q1279" s="14" t="s">
        <v>8</v>
      </c>
      <c r="R1279" s="18">
        <v>1999.84</v>
      </c>
      <c r="S1279" s="19">
        <v>174</v>
      </c>
      <c r="T1279" s="17"/>
      <c r="U1279" s="66"/>
    </row>
    <row r="1280" spans="2:21" s="15" customFormat="1" ht="29" x14ac:dyDescent="0.35">
      <c r="B1280" s="64">
        <v>45744</v>
      </c>
      <c r="C1280" s="17">
        <v>1174</v>
      </c>
      <c r="D1280" s="85" t="s">
        <v>3587</v>
      </c>
      <c r="E1280" s="85" t="s">
        <v>3584</v>
      </c>
      <c r="F1280" s="85" t="s">
        <v>1468</v>
      </c>
      <c r="G1280" s="17" t="s">
        <v>1805</v>
      </c>
      <c r="H1280" s="17" t="s">
        <v>1930</v>
      </c>
      <c r="I1280" s="145" t="s">
        <v>39</v>
      </c>
      <c r="J1280" s="17" t="s">
        <v>3609</v>
      </c>
      <c r="K1280" s="17" t="s">
        <v>1286</v>
      </c>
      <c r="L1280" s="17" t="s">
        <v>39</v>
      </c>
      <c r="M1280" s="16">
        <v>8116840550</v>
      </c>
      <c r="N1280" s="16">
        <v>863756050065245</v>
      </c>
      <c r="O1280" s="16" t="s">
        <v>39</v>
      </c>
      <c r="P1280" s="17" t="s">
        <v>314</v>
      </c>
      <c r="Q1280" s="17" t="s">
        <v>2559</v>
      </c>
      <c r="R1280" s="18">
        <v>0</v>
      </c>
      <c r="S1280" s="19" t="s">
        <v>3584</v>
      </c>
      <c r="T1280" s="17"/>
      <c r="U1280" s="66"/>
    </row>
    <row r="1281" spans="2:21" s="15" customFormat="1" ht="29" x14ac:dyDescent="0.35">
      <c r="B1281" s="64">
        <v>45744</v>
      </c>
      <c r="C1281" s="17">
        <v>1175</v>
      </c>
      <c r="D1281" s="124" t="s">
        <v>3588</v>
      </c>
      <c r="E1281" s="85" t="s">
        <v>3584</v>
      </c>
      <c r="F1281" s="85" t="s">
        <v>1468</v>
      </c>
      <c r="G1281" s="17" t="s">
        <v>1805</v>
      </c>
      <c r="H1281" s="17" t="s">
        <v>1930</v>
      </c>
      <c r="I1281" s="145" t="s">
        <v>39</v>
      </c>
      <c r="J1281" s="17" t="s">
        <v>4072</v>
      </c>
      <c r="K1281" s="14" t="s">
        <v>1375</v>
      </c>
      <c r="L1281" s="17" t="s">
        <v>39</v>
      </c>
      <c r="M1281" s="16">
        <v>8118249596</v>
      </c>
      <c r="N1281" s="16">
        <v>868166054740279</v>
      </c>
      <c r="O1281" s="16" t="s">
        <v>39</v>
      </c>
      <c r="P1281" s="17" t="s">
        <v>83</v>
      </c>
      <c r="Q1281" s="17" t="s">
        <v>2559</v>
      </c>
      <c r="R1281" s="18">
        <v>0</v>
      </c>
      <c r="S1281" s="19" t="s">
        <v>3584</v>
      </c>
      <c r="T1281" s="17"/>
      <c r="U1281" s="66"/>
    </row>
    <row r="1282" spans="2:21" s="15" customFormat="1" ht="29" x14ac:dyDescent="0.35">
      <c r="B1282" s="64">
        <v>45744</v>
      </c>
      <c r="C1282" s="17">
        <v>1176</v>
      </c>
      <c r="D1282" s="124" t="s">
        <v>3589</v>
      </c>
      <c r="E1282" s="85" t="s">
        <v>3584</v>
      </c>
      <c r="F1282" s="85" t="s">
        <v>1468</v>
      </c>
      <c r="G1282" s="17" t="s">
        <v>1805</v>
      </c>
      <c r="H1282" s="17" t="s">
        <v>1930</v>
      </c>
      <c r="I1282" s="145" t="s">
        <v>39</v>
      </c>
      <c r="J1282" s="14" t="s">
        <v>4073</v>
      </c>
      <c r="K1282" s="17" t="s">
        <v>1383</v>
      </c>
      <c r="L1282" s="17" t="s">
        <v>39</v>
      </c>
      <c r="M1282" s="16">
        <v>8115173710</v>
      </c>
      <c r="N1282" s="16">
        <v>868166054736939</v>
      </c>
      <c r="O1282" s="16" t="s">
        <v>3593</v>
      </c>
      <c r="P1282" s="17" t="s">
        <v>3592</v>
      </c>
      <c r="Q1282" s="17" t="s">
        <v>2559</v>
      </c>
      <c r="R1282" s="18">
        <v>0</v>
      </c>
      <c r="S1282" s="19" t="s">
        <v>3584</v>
      </c>
      <c r="T1282" s="17"/>
      <c r="U1282" s="66"/>
    </row>
    <row r="1283" spans="2:21" s="15" customFormat="1" ht="29" x14ac:dyDescent="0.35">
      <c r="B1283" s="64">
        <v>45744</v>
      </c>
      <c r="C1283" s="17">
        <v>1177</v>
      </c>
      <c r="D1283" s="124" t="s">
        <v>3590</v>
      </c>
      <c r="E1283" s="85" t="s">
        <v>3584</v>
      </c>
      <c r="F1283" s="85" t="s">
        <v>1468</v>
      </c>
      <c r="G1283" s="17" t="s">
        <v>1805</v>
      </c>
      <c r="H1283" s="17" t="s">
        <v>1930</v>
      </c>
      <c r="I1283" s="145" t="s">
        <v>39</v>
      </c>
      <c r="J1283" s="17" t="s">
        <v>68</v>
      </c>
      <c r="K1283" s="14" t="s">
        <v>1386</v>
      </c>
      <c r="L1283" s="17" t="s">
        <v>39</v>
      </c>
      <c r="M1283" s="16">
        <v>8110444237</v>
      </c>
      <c r="N1283" s="16">
        <v>868166054736327</v>
      </c>
      <c r="O1283" s="16" t="s">
        <v>3595</v>
      </c>
      <c r="P1283" s="17" t="s">
        <v>3594</v>
      </c>
      <c r="Q1283" s="17" t="s">
        <v>2559</v>
      </c>
      <c r="R1283" s="18">
        <v>0</v>
      </c>
      <c r="S1283" s="19" t="s">
        <v>3584</v>
      </c>
      <c r="T1283" s="17"/>
      <c r="U1283" s="66"/>
    </row>
    <row r="1284" spans="2:21" s="15" customFormat="1" ht="29" x14ac:dyDescent="0.35">
      <c r="B1284" s="64">
        <v>45744</v>
      </c>
      <c r="C1284" s="17">
        <v>1178</v>
      </c>
      <c r="D1284" s="124" t="s">
        <v>3591</v>
      </c>
      <c r="E1284" s="85" t="s">
        <v>3584</v>
      </c>
      <c r="F1284" s="85" t="s">
        <v>1468</v>
      </c>
      <c r="G1284" s="17" t="s">
        <v>1805</v>
      </c>
      <c r="H1284" s="17" t="s">
        <v>1930</v>
      </c>
      <c r="I1284" s="145" t="s">
        <v>39</v>
      </c>
      <c r="J1284" s="17" t="s">
        <v>3610</v>
      </c>
      <c r="K1284" s="17" t="s">
        <v>1387</v>
      </c>
      <c r="L1284" s="17" t="s">
        <v>39</v>
      </c>
      <c r="M1284" s="16">
        <v>8182596676</v>
      </c>
      <c r="N1284" s="16">
        <v>868166053311452</v>
      </c>
      <c r="O1284" s="16" t="s">
        <v>39</v>
      </c>
      <c r="P1284" s="17" t="s">
        <v>67</v>
      </c>
      <c r="Q1284" s="17" t="s">
        <v>2559</v>
      </c>
      <c r="R1284" s="18">
        <v>0</v>
      </c>
      <c r="S1284" s="19" t="s">
        <v>3584</v>
      </c>
      <c r="T1284" s="17"/>
      <c r="U1284" s="66"/>
    </row>
    <row r="1285" spans="2:21" s="15" customFormat="1" ht="29" x14ac:dyDescent="0.35">
      <c r="B1285" s="64">
        <v>45744</v>
      </c>
      <c r="C1285" s="17">
        <v>1179</v>
      </c>
      <c r="D1285" s="124" t="s">
        <v>3596</v>
      </c>
      <c r="E1285" s="85" t="s">
        <v>3584</v>
      </c>
      <c r="F1285" s="85" t="s">
        <v>1468</v>
      </c>
      <c r="G1285" s="17" t="s">
        <v>1805</v>
      </c>
      <c r="H1285" s="17" t="s">
        <v>1930</v>
      </c>
      <c r="I1285" s="145" t="s">
        <v>39</v>
      </c>
      <c r="J1285" s="17" t="s">
        <v>3611</v>
      </c>
      <c r="K1285" s="17" t="s">
        <v>3605</v>
      </c>
      <c r="L1285" s="17" t="s">
        <v>39</v>
      </c>
      <c r="M1285" s="16">
        <v>8120013127</v>
      </c>
      <c r="N1285" s="16">
        <v>359857084508654</v>
      </c>
      <c r="O1285" s="16" t="s">
        <v>39</v>
      </c>
      <c r="P1285" s="17" t="s">
        <v>3606</v>
      </c>
      <c r="Q1285" s="17" t="s">
        <v>2559</v>
      </c>
      <c r="R1285" s="18">
        <v>0</v>
      </c>
      <c r="S1285" s="19" t="s">
        <v>3584</v>
      </c>
      <c r="T1285" s="17"/>
      <c r="U1285" s="66"/>
    </row>
    <row r="1286" spans="2:21" s="15" customFormat="1" ht="29" x14ac:dyDescent="0.35">
      <c r="B1286" s="64">
        <v>45744</v>
      </c>
      <c r="C1286" s="17">
        <v>1180</v>
      </c>
      <c r="D1286" s="124" t="s">
        <v>3597</v>
      </c>
      <c r="E1286" s="85" t="s">
        <v>3584</v>
      </c>
      <c r="F1286" s="85" t="s">
        <v>1468</v>
      </c>
      <c r="G1286" s="17" t="s">
        <v>1805</v>
      </c>
      <c r="H1286" s="17" t="s">
        <v>1930</v>
      </c>
      <c r="I1286" s="145" t="s">
        <v>39</v>
      </c>
      <c r="J1286" s="17" t="s">
        <v>3612</v>
      </c>
      <c r="K1286" s="17" t="s">
        <v>1390</v>
      </c>
      <c r="L1286" s="17" t="s">
        <v>39</v>
      </c>
      <c r="M1286" s="16">
        <v>8124083094</v>
      </c>
      <c r="N1286" s="16">
        <v>860896052192846</v>
      </c>
      <c r="O1286" s="16" t="s">
        <v>39</v>
      </c>
      <c r="P1286" s="17" t="s">
        <v>49</v>
      </c>
      <c r="Q1286" s="17" t="s">
        <v>2559</v>
      </c>
      <c r="R1286" s="18">
        <v>0</v>
      </c>
      <c r="S1286" s="19" t="s">
        <v>3584</v>
      </c>
      <c r="T1286" s="17"/>
      <c r="U1286" s="66"/>
    </row>
    <row r="1287" spans="2:21" s="15" customFormat="1" ht="29" x14ac:dyDescent="0.35">
      <c r="B1287" s="64">
        <v>45744</v>
      </c>
      <c r="C1287" s="17">
        <v>1181</v>
      </c>
      <c r="D1287" s="124" t="s">
        <v>3598</v>
      </c>
      <c r="E1287" s="85" t="s">
        <v>3584</v>
      </c>
      <c r="F1287" s="85" t="s">
        <v>1468</v>
      </c>
      <c r="G1287" s="17" t="s">
        <v>1805</v>
      </c>
      <c r="H1287" s="17" t="s">
        <v>1930</v>
      </c>
      <c r="I1287" s="145" t="s">
        <v>39</v>
      </c>
      <c r="J1287" s="17" t="s">
        <v>3613</v>
      </c>
      <c r="K1287" s="17" t="s">
        <v>1392</v>
      </c>
      <c r="L1287" s="17" t="s">
        <v>39</v>
      </c>
      <c r="M1287" s="16">
        <v>8120107545</v>
      </c>
      <c r="N1287" s="16">
        <v>868166053038808</v>
      </c>
      <c r="O1287" s="16" t="s">
        <v>3608</v>
      </c>
      <c r="P1287" s="17" t="s">
        <v>3607</v>
      </c>
      <c r="Q1287" s="17" t="s">
        <v>2559</v>
      </c>
      <c r="R1287" s="18">
        <v>0</v>
      </c>
      <c r="S1287" s="19" t="s">
        <v>3584</v>
      </c>
      <c r="T1287" s="17"/>
      <c r="U1287" s="66"/>
    </row>
    <row r="1288" spans="2:21" s="15" customFormat="1" ht="29" x14ac:dyDescent="0.35">
      <c r="B1288" s="64">
        <v>45744</v>
      </c>
      <c r="C1288" s="17">
        <v>1182</v>
      </c>
      <c r="D1288" s="124" t="s">
        <v>3599</v>
      </c>
      <c r="E1288" s="85" t="s">
        <v>3584</v>
      </c>
      <c r="F1288" s="85" t="s">
        <v>1468</v>
      </c>
      <c r="G1288" s="17" t="s">
        <v>1805</v>
      </c>
      <c r="H1288" s="17" t="s">
        <v>1930</v>
      </c>
      <c r="I1288" s="145" t="s">
        <v>39</v>
      </c>
      <c r="J1288" s="14" t="s">
        <v>4075</v>
      </c>
      <c r="K1288" s="17" t="s">
        <v>1430</v>
      </c>
      <c r="L1288" s="17" t="s">
        <v>39</v>
      </c>
      <c r="M1288" s="16">
        <v>8119174178</v>
      </c>
      <c r="N1288" s="16">
        <v>864352043825090</v>
      </c>
      <c r="O1288" s="16" t="s">
        <v>39</v>
      </c>
      <c r="P1288" s="17" t="s">
        <v>39</v>
      </c>
      <c r="Q1288" s="17" t="s">
        <v>2559</v>
      </c>
      <c r="R1288" s="18">
        <v>0</v>
      </c>
      <c r="S1288" s="19" t="s">
        <v>3584</v>
      </c>
      <c r="T1288" s="17"/>
      <c r="U1288" s="66"/>
    </row>
    <row r="1289" spans="2:21" s="15" customFormat="1" ht="29" x14ac:dyDescent="0.35">
      <c r="B1289" s="64">
        <v>45744</v>
      </c>
      <c r="C1289" s="17">
        <v>1183</v>
      </c>
      <c r="D1289" s="124" t="s">
        <v>3600</v>
      </c>
      <c r="E1289" s="85" t="s">
        <v>3584</v>
      </c>
      <c r="F1289" s="85" t="s">
        <v>1468</v>
      </c>
      <c r="G1289" s="17" t="s">
        <v>1805</v>
      </c>
      <c r="H1289" s="17" t="s">
        <v>1930</v>
      </c>
      <c r="I1289" s="145" t="s">
        <v>39</v>
      </c>
      <c r="J1289" s="17" t="s">
        <v>4082</v>
      </c>
      <c r="K1289" s="17" t="s">
        <v>1460</v>
      </c>
      <c r="L1289" s="17" t="s">
        <v>39</v>
      </c>
      <c r="M1289" s="16">
        <v>8128601995</v>
      </c>
      <c r="N1289" s="16">
        <v>869220041342944</v>
      </c>
      <c r="O1289" s="16" t="s">
        <v>1002</v>
      </c>
      <c r="P1289" s="17" t="s">
        <v>39</v>
      </c>
      <c r="Q1289" s="17" t="s">
        <v>2559</v>
      </c>
      <c r="R1289" s="18">
        <v>0</v>
      </c>
      <c r="S1289" s="19" t="s">
        <v>3584</v>
      </c>
      <c r="T1289" s="17"/>
      <c r="U1289" s="66"/>
    </row>
    <row r="1290" spans="2:21" s="15" customFormat="1" ht="29" x14ac:dyDescent="0.35">
      <c r="B1290" s="64">
        <v>45744</v>
      </c>
      <c r="C1290" s="17">
        <v>1184</v>
      </c>
      <c r="D1290" s="124" t="s">
        <v>3601</v>
      </c>
      <c r="E1290" s="85" t="s">
        <v>3584</v>
      </c>
      <c r="F1290" s="85" t="s">
        <v>1468</v>
      </c>
      <c r="G1290" s="17" t="s">
        <v>1805</v>
      </c>
      <c r="H1290" s="17" t="s">
        <v>1930</v>
      </c>
      <c r="I1290" s="145" t="s">
        <v>39</v>
      </c>
      <c r="J1290" s="55" t="s">
        <v>3614</v>
      </c>
      <c r="K1290" s="17" t="s">
        <v>1610</v>
      </c>
      <c r="L1290" s="17" t="s">
        <v>39</v>
      </c>
      <c r="M1290" s="16">
        <v>8123574781</v>
      </c>
      <c r="N1290" s="16">
        <v>868166057391872</v>
      </c>
      <c r="O1290" s="16" t="s">
        <v>3617</v>
      </c>
      <c r="P1290" s="17" t="s">
        <v>3616</v>
      </c>
      <c r="Q1290" s="17" t="s">
        <v>2559</v>
      </c>
      <c r="R1290" s="18">
        <v>0</v>
      </c>
      <c r="S1290" s="19" t="s">
        <v>3584</v>
      </c>
      <c r="T1290" s="17"/>
      <c r="U1290" s="66"/>
    </row>
    <row r="1291" spans="2:21" s="15" customFormat="1" ht="29" x14ac:dyDescent="0.35">
      <c r="B1291" s="64">
        <v>45744</v>
      </c>
      <c r="C1291" s="17">
        <v>1185</v>
      </c>
      <c r="D1291" s="124" t="s">
        <v>3602</v>
      </c>
      <c r="E1291" s="85" t="s">
        <v>3584</v>
      </c>
      <c r="F1291" s="85" t="s">
        <v>1468</v>
      </c>
      <c r="G1291" s="17" t="s">
        <v>1805</v>
      </c>
      <c r="H1291" s="17" t="s">
        <v>1930</v>
      </c>
      <c r="I1291" s="145" t="s">
        <v>39</v>
      </c>
      <c r="J1291" s="55" t="s">
        <v>3615</v>
      </c>
      <c r="K1291" s="17" t="s">
        <v>3618</v>
      </c>
      <c r="L1291" s="17" t="s">
        <v>39</v>
      </c>
      <c r="M1291" s="16">
        <v>8128613320</v>
      </c>
      <c r="N1291" s="16">
        <v>868166057893984</v>
      </c>
      <c r="O1291" s="16" t="s">
        <v>39</v>
      </c>
      <c r="P1291" s="17" t="s">
        <v>1736</v>
      </c>
      <c r="Q1291" s="17" t="s">
        <v>2559</v>
      </c>
      <c r="R1291" s="18">
        <v>0</v>
      </c>
      <c r="S1291" s="19" t="s">
        <v>3584</v>
      </c>
      <c r="T1291" s="17"/>
      <c r="U1291" s="66"/>
    </row>
    <row r="1292" spans="2:21" s="15" customFormat="1" ht="29" x14ac:dyDescent="0.35">
      <c r="B1292" s="64">
        <v>45744</v>
      </c>
      <c r="C1292" s="17">
        <v>1187</v>
      </c>
      <c r="D1292" s="124" t="s">
        <v>3604</v>
      </c>
      <c r="E1292" s="85" t="s">
        <v>3584</v>
      </c>
      <c r="F1292" s="85" t="s">
        <v>1468</v>
      </c>
      <c r="G1292" s="17" t="s">
        <v>1805</v>
      </c>
      <c r="H1292" s="17" t="s">
        <v>1930</v>
      </c>
      <c r="I1292" s="145" t="s">
        <v>39</v>
      </c>
      <c r="J1292" s="17" t="s">
        <v>26</v>
      </c>
      <c r="K1292" s="17" t="s">
        <v>1847</v>
      </c>
      <c r="L1292" s="17" t="s">
        <v>39</v>
      </c>
      <c r="M1292" s="16">
        <v>8119168081</v>
      </c>
      <c r="N1292" s="16">
        <v>868166058822941</v>
      </c>
      <c r="O1292" s="16" t="s">
        <v>3622</v>
      </c>
      <c r="P1292" s="17" t="s">
        <v>3621</v>
      </c>
      <c r="Q1292" s="17" t="s">
        <v>2559</v>
      </c>
      <c r="R1292" s="18">
        <v>0</v>
      </c>
      <c r="S1292" s="19" t="s">
        <v>3584</v>
      </c>
      <c r="T1292" s="17"/>
      <c r="U1292" s="66"/>
    </row>
    <row r="1293" spans="2:21" s="15" customFormat="1" ht="29" x14ac:dyDescent="0.35">
      <c r="B1293" s="64">
        <v>45744</v>
      </c>
      <c r="C1293" s="17">
        <v>1186</v>
      </c>
      <c r="D1293" s="124" t="s">
        <v>3603</v>
      </c>
      <c r="E1293" s="85" t="s">
        <v>3584</v>
      </c>
      <c r="F1293" s="85" t="s">
        <v>1468</v>
      </c>
      <c r="G1293" s="17" t="s">
        <v>1805</v>
      </c>
      <c r="H1293" s="17" t="s">
        <v>1930</v>
      </c>
      <c r="I1293" s="145" t="s">
        <v>39</v>
      </c>
      <c r="J1293" s="17" t="s">
        <v>3620</v>
      </c>
      <c r="K1293" s="17" t="s">
        <v>2328</v>
      </c>
      <c r="L1293" s="17" t="s">
        <v>39</v>
      </c>
      <c r="M1293" s="16">
        <v>8114901191</v>
      </c>
      <c r="N1293" s="16">
        <v>868166057587289</v>
      </c>
      <c r="O1293" s="16" t="s">
        <v>3619</v>
      </c>
      <c r="P1293" s="17" t="s">
        <v>2329</v>
      </c>
      <c r="Q1293" s="17" t="s">
        <v>2559</v>
      </c>
      <c r="R1293" s="18">
        <v>0</v>
      </c>
      <c r="S1293" s="19" t="s">
        <v>3584</v>
      </c>
      <c r="T1293" s="17"/>
      <c r="U1293" s="66"/>
    </row>
    <row r="1294" spans="2:21" s="15" customFormat="1" ht="29" x14ac:dyDescent="0.35">
      <c r="B1294" s="64">
        <v>45744</v>
      </c>
      <c r="C1294" s="17">
        <v>1188</v>
      </c>
      <c r="D1294" s="85" t="s">
        <v>3583</v>
      </c>
      <c r="E1294" s="85" t="s">
        <v>3584</v>
      </c>
      <c r="F1294" s="85" t="s">
        <v>1468</v>
      </c>
      <c r="G1294" s="17" t="s">
        <v>1805</v>
      </c>
      <c r="H1294" s="17" t="s">
        <v>1930</v>
      </c>
      <c r="I1294" s="145" t="s">
        <v>39</v>
      </c>
      <c r="J1294" s="17" t="s">
        <v>3585</v>
      </c>
      <c r="K1294" s="17" t="s">
        <v>1041</v>
      </c>
      <c r="L1294" s="17" t="s">
        <v>39</v>
      </c>
      <c r="M1294" s="16">
        <v>8122020429</v>
      </c>
      <c r="N1294" s="16">
        <v>864895032914515</v>
      </c>
      <c r="O1294" s="16" t="s">
        <v>39</v>
      </c>
      <c r="P1294" s="17" t="s">
        <v>39</v>
      </c>
      <c r="Q1294" s="17" t="s">
        <v>4174</v>
      </c>
      <c r="R1294" s="18" t="s">
        <v>39</v>
      </c>
      <c r="S1294" s="19" t="s">
        <v>3584</v>
      </c>
      <c r="T1294" s="17"/>
      <c r="U1294" s="66"/>
    </row>
    <row r="1295" spans="2:21" s="15" customFormat="1" ht="29" x14ac:dyDescent="0.35">
      <c r="B1295" s="64">
        <v>45744</v>
      </c>
      <c r="C1295" s="17">
        <v>1189</v>
      </c>
      <c r="D1295" s="85" t="s">
        <v>3623</v>
      </c>
      <c r="E1295" s="85" t="s">
        <v>3584</v>
      </c>
      <c r="F1295" s="85" t="s">
        <v>1468</v>
      </c>
      <c r="G1295" s="17" t="s">
        <v>1805</v>
      </c>
      <c r="H1295" s="17" t="s">
        <v>1930</v>
      </c>
      <c r="I1295" s="145" t="s">
        <v>39</v>
      </c>
      <c r="J1295" s="17" t="s">
        <v>3577</v>
      </c>
      <c r="K1295" s="14" t="s">
        <v>1042</v>
      </c>
      <c r="L1295" s="17" t="s">
        <v>39</v>
      </c>
      <c r="M1295" s="16">
        <v>8122020592</v>
      </c>
      <c r="N1295" s="16">
        <v>864895032914846</v>
      </c>
      <c r="O1295" s="16" t="s">
        <v>39</v>
      </c>
      <c r="P1295" s="17" t="s">
        <v>39</v>
      </c>
      <c r="Q1295" s="17" t="s">
        <v>4174</v>
      </c>
      <c r="R1295" s="18" t="s">
        <v>39</v>
      </c>
      <c r="S1295" s="19" t="s">
        <v>3584</v>
      </c>
      <c r="T1295" s="17"/>
      <c r="U1295" s="66"/>
    </row>
    <row r="1296" spans="2:21" s="15" customFormat="1" ht="29" x14ac:dyDescent="0.35">
      <c r="B1296" s="64">
        <v>45744</v>
      </c>
      <c r="C1296" s="17">
        <v>1190</v>
      </c>
      <c r="D1296" s="85" t="s">
        <v>3624</v>
      </c>
      <c r="E1296" s="85" t="s">
        <v>3584</v>
      </c>
      <c r="F1296" s="85" t="s">
        <v>1468</v>
      </c>
      <c r="G1296" s="17" t="s">
        <v>1805</v>
      </c>
      <c r="H1296" s="17" t="s">
        <v>1930</v>
      </c>
      <c r="I1296" s="145" t="s">
        <v>39</v>
      </c>
      <c r="J1296" s="17" t="s">
        <v>3625</v>
      </c>
      <c r="K1296" s="14" t="s">
        <v>1005</v>
      </c>
      <c r="L1296" s="17" t="s">
        <v>39</v>
      </c>
      <c r="M1296" s="16">
        <v>8122020419</v>
      </c>
      <c r="N1296" s="16">
        <v>864895032915207</v>
      </c>
      <c r="O1296" s="16" t="s">
        <v>39</v>
      </c>
      <c r="P1296" s="17" t="s">
        <v>39</v>
      </c>
      <c r="Q1296" s="17" t="s">
        <v>4174</v>
      </c>
      <c r="R1296" s="18" t="s">
        <v>39</v>
      </c>
      <c r="S1296" s="19" t="s">
        <v>3584</v>
      </c>
      <c r="T1296" s="17"/>
      <c r="U1296" s="66"/>
    </row>
    <row r="1297" spans="2:21" s="15" customFormat="1" ht="29" x14ac:dyDescent="0.35">
      <c r="B1297" s="64">
        <v>45744</v>
      </c>
      <c r="C1297" s="17">
        <v>1191</v>
      </c>
      <c r="D1297" s="85" t="s">
        <v>3626</v>
      </c>
      <c r="E1297" s="85" t="s">
        <v>3584</v>
      </c>
      <c r="F1297" s="85" t="s">
        <v>1468</v>
      </c>
      <c r="G1297" s="17" t="s">
        <v>1805</v>
      </c>
      <c r="H1297" s="17" t="s">
        <v>1930</v>
      </c>
      <c r="I1297" s="145" t="s">
        <v>39</v>
      </c>
      <c r="J1297" s="17" t="s">
        <v>4175</v>
      </c>
      <c r="K1297" s="17" t="s">
        <v>1007</v>
      </c>
      <c r="L1297" s="17" t="s">
        <v>39</v>
      </c>
      <c r="M1297" s="16">
        <v>8122020622</v>
      </c>
      <c r="N1297" s="16">
        <v>864895032917476</v>
      </c>
      <c r="O1297" s="16" t="s">
        <v>39</v>
      </c>
      <c r="P1297" s="17" t="s">
        <v>39</v>
      </c>
      <c r="Q1297" s="17" t="s">
        <v>4174</v>
      </c>
      <c r="R1297" s="18" t="s">
        <v>39</v>
      </c>
      <c r="S1297" s="19" t="s">
        <v>3584</v>
      </c>
      <c r="T1297" s="17"/>
      <c r="U1297" s="66"/>
    </row>
    <row r="1298" spans="2:21" s="15" customFormat="1" ht="29" x14ac:dyDescent="0.35">
      <c r="B1298" s="64">
        <v>45744</v>
      </c>
      <c r="C1298" s="17">
        <v>1192</v>
      </c>
      <c r="D1298" s="85" t="s">
        <v>3627</v>
      </c>
      <c r="E1298" s="85" t="s">
        <v>3584</v>
      </c>
      <c r="F1298" s="85" t="s">
        <v>1468</v>
      </c>
      <c r="G1298" s="17" t="s">
        <v>1805</v>
      </c>
      <c r="H1298" s="17" t="s">
        <v>1930</v>
      </c>
      <c r="I1298" s="145" t="s">
        <v>39</v>
      </c>
      <c r="J1298" s="17" t="s">
        <v>3628</v>
      </c>
      <c r="K1298" s="14" t="s">
        <v>1006</v>
      </c>
      <c r="L1298" s="17" t="s">
        <v>39</v>
      </c>
      <c r="M1298" s="16">
        <v>8122020979</v>
      </c>
      <c r="N1298" s="16">
        <v>864895032917617</v>
      </c>
      <c r="O1298" s="16" t="s">
        <v>39</v>
      </c>
      <c r="P1298" s="17" t="s">
        <v>39</v>
      </c>
      <c r="Q1298" s="17" t="s">
        <v>4174</v>
      </c>
      <c r="R1298" s="18" t="s">
        <v>39</v>
      </c>
      <c r="S1298" s="19" t="s">
        <v>3584</v>
      </c>
      <c r="T1298" s="17"/>
      <c r="U1298" s="66"/>
    </row>
    <row r="1299" spans="2:21" s="15" customFormat="1" ht="29" x14ac:dyDescent="0.35">
      <c r="B1299" s="64">
        <v>45744</v>
      </c>
      <c r="C1299" s="17">
        <v>1193</v>
      </c>
      <c r="D1299" s="85" t="s">
        <v>3629</v>
      </c>
      <c r="E1299" s="85" t="s">
        <v>3584</v>
      </c>
      <c r="F1299" s="85" t="s">
        <v>1468</v>
      </c>
      <c r="G1299" s="17" t="s">
        <v>1805</v>
      </c>
      <c r="H1299" s="17" t="s">
        <v>1930</v>
      </c>
      <c r="I1299" s="145" t="s">
        <v>39</v>
      </c>
      <c r="J1299" s="17" t="s">
        <v>3630</v>
      </c>
      <c r="K1299" s="95" t="s">
        <v>1010</v>
      </c>
      <c r="L1299" s="17" t="s">
        <v>39</v>
      </c>
      <c r="M1299" s="16">
        <v>8114975118</v>
      </c>
      <c r="N1299" s="16">
        <v>864895032918599</v>
      </c>
      <c r="O1299" s="16" t="s">
        <v>39</v>
      </c>
      <c r="P1299" s="17" t="s">
        <v>39</v>
      </c>
      <c r="Q1299" s="17" t="s">
        <v>4174</v>
      </c>
      <c r="R1299" s="18" t="s">
        <v>39</v>
      </c>
      <c r="S1299" s="19" t="s">
        <v>3584</v>
      </c>
      <c r="T1299" s="17"/>
      <c r="U1299" s="66"/>
    </row>
    <row r="1300" spans="2:21" s="15" customFormat="1" ht="29" x14ac:dyDescent="0.35">
      <c r="B1300" s="64">
        <v>45744</v>
      </c>
      <c r="C1300" s="17">
        <v>1194</v>
      </c>
      <c r="D1300" s="85" t="s">
        <v>3631</v>
      </c>
      <c r="E1300" s="85" t="s">
        <v>3584</v>
      </c>
      <c r="F1300" s="85" t="s">
        <v>1468</v>
      </c>
      <c r="G1300" s="17" t="s">
        <v>1805</v>
      </c>
      <c r="H1300" s="17" t="s">
        <v>1930</v>
      </c>
      <c r="I1300" s="145" t="s">
        <v>39</v>
      </c>
      <c r="J1300" s="17" t="s">
        <v>3633</v>
      </c>
      <c r="K1300" s="14" t="s">
        <v>1009</v>
      </c>
      <c r="L1300" s="17" t="s">
        <v>39</v>
      </c>
      <c r="M1300" s="16">
        <v>8115840550</v>
      </c>
      <c r="N1300" s="16">
        <v>864895032914481</v>
      </c>
      <c r="O1300" s="16" t="s">
        <v>39</v>
      </c>
      <c r="P1300" s="17" t="s">
        <v>39</v>
      </c>
      <c r="Q1300" s="17" t="s">
        <v>4174</v>
      </c>
      <c r="R1300" s="18" t="s">
        <v>39</v>
      </c>
      <c r="S1300" s="19" t="s">
        <v>3584</v>
      </c>
      <c r="T1300" s="17"/>
      <c r="U1300" s="66"/>
    </row>
    <row r="1301" spans="2:21" s="15" customFormat="1" ht="29" x14ac:dyDescent="0.35">
      <c r="B1301" s="64">
        <v>45744</v>
      </c>
      <c r="C1301" s="17">
        <v>1195</v>
      </c>
      <c r="D1301" s="85" t="s">
        <v>3632</v>
      </c>
      <c r="E1301" s="85" t="s">
        <v>3584</v>
      </c>
      <c r="F1301" s="85" t="s">
        <v>1468</v>
      </c>
      <c r="G1301" s="17" t="s">
        <v>1805</v>
      </c>
      <c r="H1301" s="17" t="s">
        <v>1930</v>
      </c>
      <c r="I1301" s="145" t="s">
        <v>39</v>
      </c>
      <c r="J1301" s="17" t="s">
        <v>3634</v>
      </c>
      <c r="K1301" s="14" t="s">
        <v>1012</v>
      </c>
      <c r="L1301" s="17" t="s">
        <v>39</v>
      </c>
      <c r="M1301" s="16">
        <v>8182520097</v>
      </c>
      <c r="N1301" s="16">
        <v>864895032915280</v>
      </c>
      <c r="O1301" s="16" t="s">
        <v>39</v>
      </c>
      <c r="P1301" s="17" t="s">
        <v>39</v>
      </c>
      <c r="Q1301" s="17" t="s">
        <v>4174</v>
      </c>
      <c r="R1301" s="18" t="s">
        <v>39</v>
      </c>
      <c r="S1301" s="19" t="s">
        <v>3584</v>
      </c>
      <c r="T1301" s="17"/>
      <c r="U1301" s="66"/>
    </row>
    <row r="1302" spans="2:21" s="15" customFormat="1" ht="29" x14ac:dyDescent="0.35">
      <c r="B1302" s="64">
        <v>45744</v>
      </c>
      <c r="C1302" s="17">
        <v>1196</v>
      </c>
      <c r="D1302" s="85" t="s">
        <v>3635</v>
      </c>
      <c r="E1302" s="85" t="s">
        <v>3584</v>
      </c>
      <c r="F1302" s="85" t="s">
        <v>1468</v>
      </c>
      <c r="G1302" s="17" t="s">
        <v>1805</v>
      </c>
      <c r="H1302" s="17" t="s">
        <v>1930</v>
      </c>
      <c r="I1302" s="145" t="s">
        <v>39</v>
      </c>
      <c r="J1302" s="17" t="s">
        <v>3636</v>
      </c>
      <c r="K1302" s="17" t="s">
        <v>1013</v>
      </c>
      <c r="L1302" s="17" t="s">
        <v>39</v>
      </c>
      <c r="M1302" s="16">
        <v>8182520651</v>
      </c>
      <c r="N1302" s="16">
        <v>864895033314723</v>
      </c>
      <c r="O1302" s="16" t="s">
        <v>39</v>
      </c>
      <c r="P1302" s="17" t="s">
        <v>39</v>
      </c>
      <c r="Q1302" s="17" t="s">
        <v>4174</v>
      </c>
      <c r="R1302" s="18" t="s">
        <v>39</v>
      </c>
      <c r="S1302" s="19" t="s">
        <v>3584</v>
      </c>
      <c r="T1302" s="17"/>
      <c r="U1302" s="66"/>
    </row>
    <row r="1303" spans="2:21" s="15" customFormat="1" ht="29" x14ac:dyDescent="0.35">
      <c r="B1303" s="64">
        <v>45744</v>
      </c>
      <c r="C1303" s="17">
        <v>1197</v>
      </c>
      <c r="D1303" s="85" t="s">
        <v>3637</v>
      </c>
      <c r="E1303" s="85" t="s">
        <v>3584</v>
      </c>
      <c r="F1303" s="85" t="s">
        <v>1468</v>
      </c>
      <c r="G1303" s="17" t="s">
        <v>1805</v>
      </c>
      <c r="H1303" s="17" t="s">
        <v>1930</v>
      </c>
      <c r="I1303" s="145" t="s">
        <v>39</v>
      </c>
      <c r="J1303" s="17" t="s">
        <v>3638</v>
      </c>
      <c r="K1303" s="17" t="s">
        <v>1014</v>
      </c>
      <c r="L1303" s="17" t="s">
        <v>39</v>
      </c>
      <c r="M1303" s="16">
        <v>8182521489</v>
      </c>
      <c r="N1303" s="16">
        <v>864895033314244</v>
      </c>
      <c r="O1303" s="16" t="s">
        <v>39</v>
      </c>
      <c r="P1303" s="17" t="s">
        <v>39</v>
      </c>
      <c r="Q1303" s="17" t="s">
        <v>4174</v>
      </c>
      <c r="R1303" s="18" t="s">
        <v>39</v>
      </c>
      <c r="S1303" s="19" t="s">
        <v>3584</v>
      </c>
      <c r="T1303" s="17"/>
      <c r="U1303" s="66"/>
    </row>
    <row r="1304" spans="2:21" s="15" customFormat="1" ht="29" x14ac:dyDescent="0.35">
      <c r="B1304" s="64">
        <v>45744</v>
      </c>
      <c r="C1304" s="17">
        <v>1198</v>
      </c>
      <c r="D1304" s="85" t="s">
        <v>3639</v>
      </c>
      <c r="E1304" s="85" t="s">
        <v>3584</v>
      </c>
      <c r="F1304" s="85" t="s">
        <v>1468</v>
      </c>
      <c r="G1304" s="17" t="s">
        <v>1805</v>
      </c>
      <c r="H1304" s="17" t="s">
        <v>1930</v>
      </c>
      <c r="I1304" s="145" t="s">
        <v>39</v>
      </c>
      <c r="J1304" s="17" t="s">
        <v>3640</v>
      </c>
      <c r="K1304" s="14" t="s">
        <v>1016</v>
      </c>
      <c r="L1304" s="17" t="s">
        <v>39</v>
      </c>
      <c r="M1304" s="16">
        <v>8126385123</v>
      </c>
      <c r="N1304" s="16">
        <v>864895033309954</v>
      </c>
      <c r="O1304" s="16" t="s">
        <v>39</v>
      </c>
      <c r="P1304" s="17" t="s">
        <v>39</v>
      </c>
      <c r="Q1304" s="17" t="s">
        <v>4174</v>
      </c>
      <c r="R1304" s="18" t="s">
        <v>39</v>
      </c>
      <c r="S1304" s="19" t="s">
        <v>3584</v>
      </c>
      <c r="T1304" s="17"/>
      <c r="U1304" s="66"/>
    </row>
    <row r="1305" spans="2:21" s="15" customFormat="1" ht="29" x14ac:dyDescent="0.35">
      <c r="B1305" s="64">
        <v>45744</v>
      </c>
      <c r="C1305" s="17">
        <v>1199</v>
      </c>
      <c r="D1305" s="85" t="s">
        <v>3641</v>
      </c>
      <c r="E1305" s="85" t="s">
        <v>3584</v>
      </c>
      <c r="F1305" s="85" t="s">
        <v>1468</v>
      </c>
      <c r="G1305" s="17" t="s">
        <v>1805</v>
      </c>
      <c r="H1305" s="17" t="s">
        <v>1930</v>
      </c>
      <c r="I1305" s="145" t="s">
        <v>39</v>
      </c>
      <c r="J1305" s="55" t="s">
        <v>3642</v>
      </c>
      <c r="K1305" s="14" t="s">
        <v>1017</v>
      </c>
      <c r="L1305" s="17" t="s">
        <v>39</v>
      </c>
      <c r="M1305" s="125">
        <v>8118241891</v>
      </c>
      <c r="N1305" s="56">
        <v>864895033315175</v>
      </c>
      <c r="O1305" s="16" t="s">
        <v>39</v>
      </c>
      <c r="P1305" s="17" t="s">
        <v>39</v>
      </c>
      <c r="Q1305" s="17" t="s">
        <v>4174</v>
      </c>
      <c r="R1305" s="18" t="s">
        <v>39</v>
      </c>
      <c r="S1305" s="19" t="s">
        <v>3584</v>
      </c>
      <c r="T1305" s="17"/>
      <c r="U1305" s="66"/>
    </row>
    <row r="1306" spans="2:21" s="15" customFormat="1" ht="29" x14ac:dyDescent="0.35">
      <c r="B1306" s="64">
        <v>45744</v>
      </c>
      <c r="C1306" s="17">
        <v>1200</v>
      </c>
      <c r="D1306" s="85" t="s">
        <v>3643</v>
      </c>
      <c r="E1306" s="85" t="s">
        <v>3584</v>
      </c>
      <c r="F1306" s="85" t="s">
        <v>1468</v>
      </c>
      <c r="G1306" s="17" t="s">
        <v>1805</v>
      </c>
      <c r="H1306" s="17" t="s">
        <v>1930</v>
      </c>
      <c r="I1306" s="145" t="s">
        <v>39</v>
      </c>
      <c r="J1306" s="15" t="s">
        <v>3644</v>
      </c>
      <c r="K1306" s="14" t="s">
        <v>1020</v>
      </c>
      <c r="L1306" s="17" t="s">
        <v>39</v>
      </c>
      <c r="M1306" s="126">
        <v>8118241898</v>
      </c>
      <c r="N1306" s="16" t="s">
        <v>39</v>
      </c>
      <c r="O1306" s="16" t="s">
        <v>39</v>
      </c>
      <c r="P1306" s="17" t="s">
        <v>39</v>
      </c>
      <c r="Q1306" s="17" t="s">
        <v>4174</v>
      </c>
      <c r="R1306" s="18" t="s">
        <v>39</v>
      </c>
      <c r="S1306" s="19" t="s">
        <v>3584</v>
      </c>
      <c r="T1306" s="17"/>
      <c r="U1306" s="66"/>
    </row>
    <row r="1307" spans="2:21" s="15" customFormat="1" ht="29" x14ac:dyDescent="0.35">
      <c r="B1307" s="64">
        <v>45744</v>
      </c>
      <c r="C1307" s="17">
        <v>1201</v>
      </c>
      <c r="D1307" s="85" t="s">
        <v>3645</v>
      </c>
      <c r="E1307" s="85" t="s">
        <v>3584</v>
      </c>
      <c r="F1307" s="85" t="s">
        <v>1468</v>
      </c>
      <c r="G1307" s="17" t="s">
        <v>1805</v>
      </c>
      <c r="H1307" s="17" t="s">
        <v>1930</v>
      </c>
      <c r="I1307" s="145" t="s">
        <v>39</v>
      </c>
      <c r="J1307" s="17" t="s">
        <v>3646</v>
      </c>
      <c r="K1307" s="14" t="s">
        <v>1019</v>
      </c>
      <c r="L1307" s="17" t="s">
        <v>39</v>
      </c>
      <c r="M1307" s="16">
        <v>8118241870</v>
      </c>
      <c r="N1307" s="16">
        <v>864895033314541</v>
      </c>
      <c r="O1307" s="16" t="s">
        <v>39</v>
      </c>
      <c r="P1307" s="17" t="s">
        <v>39</v>
      </c>
      <c r="Q1307" s="17" t="s">
        <v>4174</v>
      </c>
      <c r="R1307" s="18" t="s">
        <v>39</v>
      </c>
      <c r="S1307" s="19" t="s">
        <v>3584</v>
      </c>
      <c r="T1307" s="17"/>
      <c r="U1307" s="66"/>
    </row>
    <row r="1308" spans="2:21" s="15" customFormat="1" ht="29" x14ac:dyDescent="0.35">
      <c r="B1308" s="64">
        <v>45744</v>
      </c>
      <c r="C1308" s="17">
        <v>1202</v>
      </c>
      <c r="D1308" s="85" t="s">
        <v>3647</v>
      </c>
      <c r="E1308" s="85" t="s">
        <v>3584</v>
      </c>
      <c r="F1308" s="85" t="s">
        <v>1468</v>
      </c>
      <c r="G1308" s="17" t="s">
        <v>1805</v>
      </c>
      <c r="H1308" s="17" t="s">
        <v>1930</v>
      </c>
      <c r="I1308" s="145" t="s">
        <v>39</v>
      </c>
      <c r="J1308" s="17" t="s">
        <v>3649</v>
      </c>
      <c r="K1308" s="17" t="s">
        <v>3648</v>
      </c>
      <c r="L1308" s="17" t="s">
        <v>39</v>
      </c>
      <c r="M1308" s="16">
        <v>8118241899</v>
      </c>
      <c r="N1308" s="16">
        <v>864895033298561</v>
      </c>
      <c r="O1308" s="16" t="s">
        <v>39</v>
      </c>
      <c r="P1308" s="17" t="s">
        <v>39</v>
      </c>
      <c r="Q1308" s="17" t="s">
        <v>4174</v>
      </c>
      <c r="R1308" s="18" t="s">
        <v>39</v>
      </c>
      <c r="S1308" s="19" t="s">
        <v>3584</v>
      </c>
      <c r="T1308" s="17"/>
      <c r="U1308" s="66"/>
    </row>
    <row r="1309" spans="2:21" s="15" customFormat="1" ht="29" x14ac:dyDescent="0.35">
      <c r="B1309" s="64">
        <v>45744</v>
      </c>
      <c r="C1309" s="17">
        <v>1203</v>
      </c>
      <c r="D1309" s="85" t="s">
        <v>3650</v>
      </c>
      <c r="E1309" s="85" t="s">
        <v>3584</v>
      </c>
      <c r="F1309" s="85" t="s">
        <v>1468</v>
      </c>
      <c r="G1309" s="17" t="s">
        <v>1805</v>
      </c>
      <c r="H1309" s="17" t="s">
        <v>1930</v>
      </c>
      <c r="I1309" s="145" t="s">
        <v>39</v>
      </c>
      <c r="J1309" s="17" t="s">
        <v>3651</v>
      </c>
      <c r="K1309" s="14" t="s">
        <v>1031</v>
      </c>
      <c r="L1309" s="17" t="s">
        <v>39</v>
      </c>
      <c r="M1309" s="16">
        <v>345901000784179</v>
      </c>
      <c r="N1309" s="16">
        <v>864893039428100</v>
      </c>
      <c r="O1309" s="16" t="s">
        <v>39</v>
      </c>
      <c r="P1309" s="17" t="s">
        <v>3554</v>
      </c>
      <c r="Q1309" s="17" t="s">
        <v>4174</v>
      </c>
      <c r="R1309" s="18" t="s">
        <v>39</v>
      </c>
      <c r="S1309" s="19" t="s">
        <v>3584</v>
      </c>
      <c r="T1309" s="17"/>
      <c r="U1309" s="66"/>
    </row>
    <row r="1310" spans="2:21" s="15" customFormat="1" ht="29" x14ac:dyDescent="0.35">
      <c r="B1310" s="64">
        <v>45744</v>
      </c>
      <c r="C1310" s="17">
        <v>1204</v>
      </c>
      <c r="D1310" s="85" t="s">
        <v>3652</v>
      </c>
      <c r="E1310" s="85" t="s">
        <v>3584</v>
      </c>
      <c r="F1310" s="85" t="s">
        <v>1468</v>
      </c>
      <c r="G1310" s="17" t="s">
        <v>1805</v>
      </c>
      <c r="H1310" s="17" t="s">
        <v>1930</v>
      </c>
      <c r="I1310" s="145" t="s">
        <v>39</v>
      </c>
      <c r="J1310" s="17" t="s">
        <v>3653</v>
      </c>
      <c r="K1310" s="14" t="s">
        <v>1033</v>
      </c>
      <c r="L1310" s="17" t="s">
        <v>39</v>
      </c>
      <c r="M1310" s="16">
        <v>345901012158942</v>
      </c>
      <c r="N1310" s="16">
        <v>865011032757651</v>
      </c>
      <c r="O1310" s="16" t="s">
        <v>821</v>
      </c>
      <c r="P1310" s="17" t="s">
        <v>39</v>
      </c>
      <c r="Q1310" s="17" t="s">
        <v>4174</v>
      </c>
      <c r="R1310" s="18" t="s">
        <v>39</v>
      </c>
      <c r="S1310" s="19" t="s">
        <v>3584</v>
      </c>
      <c r="T1310" s="17"/>
      <c r="U1310" s="66"/>
    </row>
    <row r="1311" spans="2:21" s="15" customFormat="1" ht="29" x14ac:dyDescent="0.35">
      <c r="B1311" s="64">
        <v>45744</v>
      </c>
      <c r="C1311" s="17">
        <v>1205</v>
      </c>
      <c r="D1311" s="85" t="s">
        <v>3654</v>
      </c>
      <c r="E1311" s="85" t="s">
        <v>3584</v>
      </c>
      <c r="F1311" s="85" t="s">
        <v>1468</v>
      </c>
      <c r="G1311" s="17" t="s">
        <v>1805</v>
      </c>
      <c r="H1311" s="17" t="s">
        <v>1930</v>
      </c>
      <c r="I1311" s="145" t="s">
        <v>39</v>
      </c>
      <c r="J1311" s="17" t="s">
        <v>26</v>
      </c>
      <c r="K1311" s="17" t="s">
        <v>3655</v>
      </c>
      <c r="L1311" s="17" t="s">
        <v>39</v>
      </c>
      <c r="M1311" s="16">
        <v>8118249612</v>
      </c>
      <c r="N1311" s="16">
        <v>865011031968572</v>
      </c>
      <c r="O1311" s="16" t="s">
        <v>817</v>
      </c>
      <c r="P1311" s="17" t="s">
        <v>39</v>
      </c>
      <c r="Q1311" s="17" t="s">
        <v>4174</v>
      </c>
      <c r="R1311" s="18" t="s">
        <v>39</v>
      </c>
      <c r="S1311" s="19" t="s">
        <v>3584</v>
      </c>
      <c r="T1311" s="17"/>
      <c r="U1311" s="66"/>
    </row>
    <row r="1312" spans="2:21" s="15" customFormat="1" ht="29" x14ac:dyDescent="0.35">
      <c r="B1312" s="64">
        <v>45744</v>
      </c>
      <c r="C1312" s="17">
        <v>1206</v>
      </c>
      <c r="D1312" s="85" t="s">
        <v>3656</v>
      </c>
      <c r="E1312" s="85" t="s">
        <v>3584</v>
      </c>
      <c r="F1312" s="85" t="s">
        <v>1468</v>
      </c>
      <c r="G1312" s="17" t="s">
        <v>1805</v>
      </c>
      <c r="H1312" s="17" t="s">
        <v>1930</v>
      </c>
      <c r="I1312" s="145" t="s">
        <v>39</v>
      </c>
      <c r="J1312" s="17" t="s">
        <v>3568</v>
      </c>
      <c r="K1312" s="14" t="s">
        <v>1038</v>
      </c>
      <c r="L1312" s="17" t="s">
        <v>39</v>
      </c>
      <c r="M1312" s="16">
        <v>8116842380</v>
      </c>
      <c r="N1312" s="16">
        <v>864893039428480</v>
      </c>
      <c r="O1312" s="16" t="s">
        <v>3569</v>
      </c>
      <c r="P1312" s="17" t="s">
        <v>3570</v>
      </c>
      <c r="Q1312" s="17" t="s">
        <v>4174</v>
      </c>
      <c r="R1312" s="18" t="s">
        <v>39</v>
      </c>
      <c r="S1312" s="19" t="s">
        <v>3584</v>
      </c>
      <c r="T1312" s="17"/>
      <c r="U1312" s="66"/>
    </row>
    <row r="1313" spans="2:21" s="15" customFormat="1" ht="29" x14ac:dyDescent="0.35">
      <c r="B1313" s="64">
        <v>45744</v>
      </c>
      <c r="C1313" s="17">
        <v>1207</v>
      </c>
      <c r="D1313" s="85" t="s">
        <v>3657</v>
      </c>
      <c r="E1313" s="85" t="s">
        <v>3584</v>
      </c>
      <c r="F1313" s="85" t="s">
        <v>1468</v>
      </c>
      <c r="G1313" s="17" t="s">
        <v>1805</v>
      </c>
      <c r="H1313" s="17" t="s">
        <v>1930</v>
      </c>
      <c r="I1313" s="145" t="s">
        <v>39</v>
      </c>
      <c r="J1313" s="17" t="s">
        <v>3661</v>
      </c>
      <c r="K1313" s="17" t="s">
        <v>3658</v>
      </c>
      <c r="L1313" s="17" t="s">
        <v>39</v>
      </c>
      <c r="M1313" s="16">
        <v>345901012162300</v>
      </c>
      <c r="N1313" s="16">
        <v>867553050392877</v>
      </c>
      <c r="O1313" s="16" t="s">
        <v>3660</v>
      </c>
      <c r="P1313" s="17" t="s">
        <v>3659</v>
      </c>
      <c r="Q1313" s="17" t="s">
        <v>4174</v>
      </c>
      <c r="R1313" s="18" t="s">
        <v>39</v>
      </c>
      <c r="S1313" s="19" t="s">
        <v>3584</v>
      </c>
      <c r="T1313" s="17"/>
      <c r="U1313" s="66"/>
    </row>
    <row r="1314" spans="2:21" s="15" customFormat="1" ht="29" x14ac:dyDescent="0.35">
      <c r="B1314" s="64">
        <v>45744</v>
      </c>
      <c r="C1314" s="17">
        <v>1208</v>
      </c>
      <c r="D1314" s="85" t="s">
        <v>3662</v>
      </c>
      <c r="E1314" s="85" t="s">
        <v>3584</v>
      </c>
      <c r="F1314" s="85" t="s">
        <v>1468</v>
      </c>
      <c r="G1314" s="17" t="s">
        <v>1805</v>
      </c>
      <c r="H1314" s="17" t="s">
        <v>1930</v>
      </c>
      <c r="I1314" s="145" t="s">
        <v>39</v>
      </c>
      <c r="J1314" s="17" t="s">
        <v>3665</v>
      </c>
      <c r="K1314" s="17" t="s">
        <v>1050</v>
      </c>
      <c r="L1314" s="17" t="s">
        <v>39</v>
      </c>
      <c r="M1314" s="16">
        <v>345901012163817</v>
      </c>
      <c r="N1314" s="16">
        <v>867553050367143</v>
      </c>
      <c r="O1314" s="16" t="s">
        <v>3664</v>
      </c>
      <c r="P1314" s="17" t="s">
        <v>3663</v>
      </c>
      <c r="Q1314" s="17" t="s">
        <v>4174</v>
      </c>
      <c r="R1314" s="18" t="s">
        <v>39</v>
      </c>
      <c r="S1314" s="19" t="s">
        <v>3584</v>
      </c>
      <c r="T1314" s="17"/>
      <c r="U1314" s="66"/>
    </row>
    <row r="1315" spans="2:21" s="15" customFormat="1" ht="29" x14ac:dyDescent="0.35">
      <c r="B1315" s="64">
        <v>45744</v>
      </c>
      <c r="C1315" s="17">
        <v>1209</v>
      </c>
      <c r="D1315" s="85" t="s">
        <v>3667</v>
      </c>
      <c r="E1315" s="85" t="s">
        <v>3584</v>
      </c>
      <c r="F1315" s="85" t="s">
        <v>1468</v>
      </c>
      <c r="G1315" s="17" t="s">
        <v>1805</v>
      </c>
      <c r="H1315" s="17" t="s">
        <v>1930</v>
      </c>
      <c r="I1315" s="145" t="s">
        <v>39</v>
      </c>
      <c r="J1315" s="17" t="s">
        <v>3668</v>
      </c>
      <c r="K1315" s="17" t="s">
        <v>3666</v>
      </c>
      <c r="L1315" s="17" t="s">
        <v>39</v>
      </c>
      <c r="M1315" s="16">
        <v>345901012158834</v>
      </c>
      <c r="N1315" s="16">
        <v>358480082113228</v>
      </c>
      <c r="O1315" s="16" t="s">
        <v>39</v>
      </c>
      <c r="P1315" s="17" t="s">
        <v>799</v>
      </c>
      <c r="Q1315" s="17" t="s">
        <v>4174</v>
      </c>
      <c r="R1315" s="18" t="s">
        <v>39</v>
      </c>
      <c r="S1315" s="19" t="s">
        <v>3584</v>
      </c>
      <c r="T1315" s="17"/>
      <c r="U1315" s="66"/>
    </row>
    <row r="1316" spans="2:21" s="15" customFormat="1" ht="29" x14ac:dyDescent="0.35">
      <c r="B1316" s="64">
        <v>45744</v>
      </c>
      <c r="C1316" s="17">
        <v>1210</v>
      </c>
      <c r="D1316" s="85" t="s">
        <v>3669</v>
      </c>
      <c r="E1316" s="85" t="s">
        <v>3584</v>
      </c>
      <c r="F1316" s="85" t="s">
        <v>1468</v>
      </c>
      <c r="G1316" s="17" t="s">
        <v>1805</v>
      </c>
      <c r="H1316" s="17" t="s">
        <v>1930</v>
      </c>
      <c r="I1316" s="145" t="s">
        <v>39</v>
      </c>
      <c r="J1316" s="17" t="s">
        <v>3672</v>
      </c>
      <c r="K1316" s="14" t="s">
        <v>1056</v>
      </c>
      <c r="L1316" s="17" t="s">
        <v>39</v>
      </c>
      <c r="M1316" s="16">
        <v>345901012471613</v>
      </c>
      <c r="N1316" s="16">
        <v>867553050397561</v>
      </c>
      <c r="O1316" s="16" t="s">
        <v>3671</v>
      </c>
      <c r="P1316" s="17" t="s">
        <v>3670</v>
      </c>
      <c r="Q1316" s="17" t="s">
        <v>4174</v>
      </c>
      <c r="R1316" s="18" t="s">
        <v>39</v>
      </c>
      <c r="S1316" s="19" t="s">
        <v>3584</v>
      </c>
      <c r="T1316" s="17"/>
      <c r="U1316" s="66"/>
    </row>
    <row r="1317" spans="2:21" s="15" customFormat="1" ht="29" x14ac:dyDescent="0.35">
      <c r="B1317" s="64">
        <v>45744</v>
      </c>
      <c r="C1317" s="17">
        <v>1211</v>
      </c>
      <c r="D1317" s="85" t="s">
        <v>3673</v>
      </c>
      <c r="E1317" s="85" t="s">
        <v>3584</v>
      </c>
      <c r="F1317" s="85" t="s">
        <v>1468</v>
      </c>
      <c r="G1317" s="17" t="s">
        <v>1805</v>
      </c>
      <c r="H1317" s="17" t="s">
        <v>1930</v>
      </c>
      <c r="I1317" s="145" t="s">
        <v>39</v>
      </c>
      <c r="J1317" s="17" t="s">
        <v>3676</v>
      </c>
      <c r="K1317" s="17" t="s">
        <v>1059</v>
      </c>
      <c r="L1317" s="17" t="s">
        <v>39</v>
      </c>
      <c r="M1317" s="16">
        <v>345901012164810</v>
      </c>
      <c r="N1317" s="16">
        <v>864352043823996</v>
      </c>
      <c r="O1317" s="16" t="s">
        <v>3675</v>
      </c>
      <c r="P1317" s="17" t="s">
        <v>3674</v>
      </c>
      <c r="Q1317" s="17" t="s">
        <v>4174</v>
      </c>
      <c r="R1317" s="18" t="s">
        <v>39</v>
      </c>
      <c r="S1317" s="19" t="s">
        <v>3584</v>
      </c>
      <c r="T1317" s="19"/>
      <c r="U1317" s="66"/>
    </row>
    <row r="1318" spans="2:21" s="15" customFormat="1" ht="29" x14ac:dyDescent="0.35">
      <c r="B1318" s="64">
        <v>45744</v>
      </c>
      <c r="C1318" s="17">
        <v>1212</v>
      </c>
      <c r="D1318" s="85" t="s">
        <v>3677</v>
      </c>
      <c r="E1318" s="85" t="s">
        <v>3584</v>
      </c>
      <c r="F1318" s="85" t="s">
        <v>1468</v>
      </c>
      <c r="G1318" s="17" t="s">
        <v>1805</v>
      </c>
      <c r="H1318" s="17" t="s">
        <v>1930</v>
      </c>
      <c r="I1318" s="145" t="s">
        <v>39</v>
      </c>
      <c r="J1318" s="17" t="s">
        <v>3680</v>
      </c>
      <c r="K1318" s="14" t="s">
        <v>1060</v>
      </c>
      <c r="L1318" s="17" t="s">
        <v>39</v>
      </c>
      <c r="M1318" s="16">
        <v>345901012257115</v>
      </c>
      <c r="N1318" s="16">
        <v>864352043811173</v>
      </c>
      <c r="O1318" s="16" t="s">
        <v>3679</v>
      </c>
      <c r="P1318" s="17" t="s">
        <v>3678</v>
      </c>
      <c r="Q1318" s="17" t="s">
        <v>4174</v>
      </c>
      <c r="R1318" s="18" t="s">
        <v>39</v>
      </c>
      <c r="S1318" s="19" t="s">
        <v>3584</v>
      </c>
      <c r="T1318" s="17"/>
      <c r="U1318" s="66"/>
    </row>
    <row r="1319" spans="2:21" s="15" customFormat="1" ht="29" x14ac:dyDescent="0.35">
      <c r="B1319" s="64">
        <v>45744</v>
      </c>
      <c r="C1319" s="17">
        <v>1213</v>
      </c>
      <c r="D1319" s="85" t="s">
        <v>3681</v>
      </c>
      <c r="E1319" s="85" t="s">
        <v>3584</v>
      </c>
      <c r="F1319" s="85" t="s">
        <v>1468</v>
      </c>
      <c r="G1319" s="17" t="s">
        <v>1805</v>
      </c>
      <c r="H1319" s="17" t="s">
        <v>1930</v>
      </c>
      <c r="I1319" s="145" t="s">
        <v>39</v>
      </c>
      <c r="J1319" s="17" t="s">
        <v>3684</v>
      </c>
      <c r="K1319" s="95" t="s">
        <v>1064</v>
      </c>
      <c r="L1319" s="17" t="s">
        <v>39</v>
      </c>
      <c r="M1319" s="16">
        <v>345901012473185</v>
      </c>
      <c r="N1319" s="16">
        <v>865011032237076</v>
      </c>
      <c r="O1319" s="16" t="s">
        <v>3683</v>
      </c>
      <c r="P1319" s="17" t="s">
        <v>3682</v>
      </c>
      <c r="Q1319" s="17" t="s">
        <v>4174</v>
      </c>
      <c r="R1319" s="18" t="s">
        <v>39</v>
      </c>
      <c r="S1319" s="19" t="s">
        <v>3584</v>
      </c>
      <c r="T1319" s="17"/>
      <c r="U1319" s="66"/>
    </row>
    <row r="1320" spans="2:21" s="15" customFormat="1" ht="29" x14ac:dyDescent="0.35">
      <c r="B1320" s="64">
        <v>45744</v>
      </c>
      <c r="C1320" s="17">
        <v>1214</v>
      </c>
      <c r="D1320" s="85" t="s">
        <v>3685</v>
      </c>
      <c r="E1320" s="85" t="s">
        <v>3584</v>
      </c>
      <c r="F1320" s="85" t="s">
        <v>1468</v>
      </c>
      <c r="G1320" s="17" t="s">
        <v>1805</v>
      </c>
      <c r="H1320" s="17" t="s">
        <v>1930</v>
      </c>
      <c r="I1320" s="145" t="s">
        <v>39</v>
      </c>
      <c r="J1320" s="17" t="s">
        <v>26</v>
      </c>
      <c r="K1320" s="17" t="s">
        <v>3686</v>
      </c>
      <c r="L1320" s="17" t="s">
        <v>39</v>
      </c>
      <c r="M1320" s="16">
        <v>345901012591009</v>
      </c>
      <c r="N1320" s="16">
        <v>863844051165881</v>
      </c>
      <c r="O1320" s="16" t="s">
        <v>39</v>
      </c>
      <c r="P1320" s="17" t="s">
        <v>786</v>
      </c>
      <c r="Q1320" s="17" t="s">
        <v>4174</v>
      </c>
      <c r="R1320" s="18" t="s">
        <v>39</v>
      </c>
      <c r="S1320" s="19" t="s">
        <v>3584</v>
      </c>
      <c r="T1320" s="17"/>
      <c r="U1320" s="66"/>
    </row>
    <row r="1321" spans="2:21" s="15" customFormat="1" ht="29" x14ac:dyDescent="0.35">
      <c r="B1321" s="64">
        <v>45744</v>
      </c>
      <c r="C1321" s="17">
        <v>1215</v>
      </c>
      <c r="D1321" s="85" t="s">
        <v>3687</v>
      </c>
      <c r="E1321" s="85" t="s">
        <v>3584</v>
      </c>
      <c r="F1321" s="85" t="s">
        <v>1468</v>
      </c>
      <c r="G1321" s="17" t="s">
        <v>1805</v>
      </c>
      <c r="H1321" s="17" t="s">
        <v>1930</v>
      </c>
      <c r="I1321" s="145" t="s">
        <v>39</v>
      </c>
      <c r="J1321" s="17" t="s">
        <v>3690</v>
      </c>
      <c r="K1321" s="95" t="s">
        <v>1073</v>
      </c>
      <c r="L1321" s="17" t="s">
        <v>39</v>
      </c>
      <c r="M1321" s="16">
        <v>345901012471657</v>
      </c>
      <c r="N1321" s="16">
        <v>865011031939326</v>
      </c>
      <c r="O1321" s="16" t="s">
        <v>3689</v>
      </c>
      <c r="P1321" s="17" t="s">
        <v>3688</v>
      </c>
      <c r="Q1321" s="17" t="s">
        <v>4174</v>
      </c>
      <c r="R1321" s="18" t="s">
        <v>39</v>
      </c>
      <c r="S1321" s="19" t="s">
        <v>3584</v>
      </c>
      <c r="T1321" s="17"/>
      <c r="U1321" s="66"/>
    </row>
    <row r="1322" spans="2:21" s="15" customFormat="1" ht="29" x14ac:dyDescent="0.35">
      <c r="B1322" s="64">
        <v>45744</v>
      </c>
      <c r="C1322" s="17">
        <v>1216</v>
      </c>
      <c r="D1322" s="85" t="s">
        <v>3691</v>
      </c>
      <c r="E1322" s="85" t="s">
        <v>3584</v>
      </c>
      <c r="F1322" s="85" t="s">
        <v>1468</v>
      </c>
      <c r="G1322" s="17" t="s">
        <v>1805</v>
      </c>
      <c r="H1322" s="17" t="s">
        <v>1930</v>
      </c>
      <c r="I1322" s="145" t="s">
        <v>39</v>
      </c>
      <c r="J1322" s="17" t="s">
        <v>26</v>
      </c>
      <c r="K1322" s="17" t="s">
        <v>1074</v>
      </c>
      <c r="L1322" s="17" t="s">
        <v>39</v>
      </c>
      <c r="M1322" s="16">
        <v>345901012471635</v>
      </c>
      <c r="N1322" s="16">
        <v>865011032715188</v>
      </c>
      <c r="O1322" s="16" t="s">
        <v>781</v>
      </c>
      <c r="P1322" s="17" t="s">
        <v>39</v>
      </c>
      <c r="Q1322" s="17" t="s">
        <v>4174</v>
      </c>
      <c r="R1322" s="18" t="s">
        <v>39</v>
      </c>
      <c r="S1322" s="19" t="s">
        <v>3584</v>
      </c>
      <c r="T1322" s="17"/>
      <c r="U1322" s="66"/>
    </row>
    <row r="1323" spans="2:21" s="15" customFormat="1" ht="29" x14ac:dyDescent="0.35">
      <c r="B1323" s="64">
        <v>45744</v>
      </c>
      <c r="C1323" s="17">
        <v>1217</v>
      </c>
      <c r="D1323" s="85" t="s">
        <v>3693</v>
      </c>
      <c r="E1323" s="85" t="s">
        <v>3584</v>
      </c>
      <c r="F1323" s="85" t="s">
        <v>1468</v>
      </c>
      <c r="G1323" s="17" t="s">
        <v>1805</v>
      </c>
      <c r="H1323" s="17" t="s">
        <v>1930</v>
      </c>
      <c r="I1323" s="145" t="s">
        <v>39</v>
      </c>
      <c r="J1323" s="17" t="s">
        <v>3694</v>
      </c>
      <c r="K1323" s="17" t="s">
        <v>3692</v>
      </c>
      <c r="L1323" s="17" t="s">
        <v>39</v>
      </c>
      <c r="M1323" s="38" t="s">
        <v>4182</v>
      </c>
      <c r="N1323" s="16">
        <v>865011031930432</v>
      </c>
      <c r="O1323" s="16" t="s">
        <v>39</v>
      </c>
      <c r="P1323" s="17" t="s">
        <v>746</v>
      </c>
      <c r="Q1323" s="17" t="s">
        <v>4174</v>
      </c>
      <c r="R1323" s="18" t="s">
        <v>39</v>
      </c>
      <c r="S1323" s="19" t="s">
        <v>3584</v>
      </c>
      <c r="T1323" s="17"/>
      <c r="U1323" s="66"/>
    </row>
    <row r="1324" spans="2:21" s="15" customFormat="1" ht="29" x14ac:dyDescent="0.35">
      <c r="B1324" s="64">
        <v>45744</v>
      </c>
      <c r="C1324" s="17">
        <v>1218</v>
      </c>
      <c r="D1324" s="85" t="s">
        <v>3696</v>
      </c>
      <c r="E1324" s="85" t="s">
        <v>3584</v>
      </c>
      <c r="F1324" s="85" t="s">
        <v>1468</v>
      </c>
      <c r="G1324" s="17" t="s">
        <v>1805</v>
      </c>
      <c r="H1324" s="17" t="s">
        <v>1930</v>
      </c>
      <c r="I1324" s="145" t="s">
        <v>39</v>
      </c>
      <c r="J1324" s="17" t="s">
        <v>26</v>
      </c>
      <c r="K1324" s="17" t="s">
        <v>3695</v>
      </c>
      <c r="L1324" s="17" t="s">
        <v>39</v>
      </c>
      <c r="M1324" s="38" t="s">
        <v>4183</v>
      </c>
      <c r="N1324" s="16">
        <v>865011031932867</v>
      </c>
      <c r="O1324" s="16" t="s">
        <v>39</v>
      </c>
      <c r="P1324" s="17" t="s">
        <v>729</v>
      </c>
      <c r="Q1324" s="17" t="s">
        <v>4174</v>
      </c>
      <c r="R1324" s="18" t="s">
        <v>39</v>
      </c>
      <c r="S1324" s="19" t="s">
        <v>3584</v>
      </c>
      <c r="T1324" s="17"/>
      <c r="U1324" s="66"/>
    </row>
    <row r="1325" spans="2:21" s="15" customFormat="1" ht="29" x14ac:dyDescent="0.35">
      <c r="B1325" s="64">
        <v>45744</v>
      </c>
      <c r="C1325" s="17">
        <v>1219</v>
      </c>
      <c r="D1325" s="85" t="s">
        <v>3698</v>
      </c>
      <c r="E1325" s="85" t="s">
        <v>3584</v>
      </c>
      <c r="F1325" s="85" t="s">
        <v>1468</v>
      </c>
      <c r="G1325" s="17" t="s">
        <v>1805</v>
      </c>
      <c r="H1325" s="17" t="s">
        <v>1930</v>
      </c>
      <c r="I1325" s="145" t="s">
        <v>39</v>
      </c>
      <c r="J1325" s="17" t="s">
        <v>26</v>
      </c>
      <c r="K1325" s="17" t="s">
        <v>3697</v>
      </c>
      <c r="L1325" s="17" t="s">
        <v>39</v>
      </c>
      <c r="M1325" s="16">
        <v>345901012255296</v>
      </c>
      <c r="N1325" s="16">
        <v>863844051167721</v>
      </c>
      <c r="O1325" s="16" t="s">
        <v>796</v>
      </c>
      <c r="P1325" s="17" t="s">
        <v>39</v>
      </c>
      <c r="Q1325" s="17" t="s">
        <v>4174</v>
      </c>
      <c r="R1325" s="18" t="s">
        <v>39</v>
      </c>
      <c r="S1325" s="19" t="s">
        <v>3584</v>
      </c>
      <c r="T1325" s="17"/>
      <c r="U1325" s="66"/>
    </row>
    <row r="1326" spans="2:21" s="15" customFormat="1" ht="29" x14ac:dyDescent="0.35">
      <c r="B1326" s="64">
        <v>45744</v>
      </c>
      <c r="C1326" s="17">
        <v>1220</v>
      </c>
      <c r="D1326" s="85" t="s">
        <v>3699</v>
      </c>
      <c r="E1326" s="85" t="s">
        <v>3584</v>
      </c>
      <c r="F1326" s="85" t="s">
        <v>1468</v>
      </c>
      <c r="G1326" s="17" t="s">
        <v>1805</v>
      </c>
      <c r="H1326" s="17" t="s">
        <v>1930</v>
      </c>
      <c r="I1326" s="145" t="s">
        <v>39</v>
      </c>
      <c r="J1326" s="17" t="s">
        <v>26</v>
      </c>
      <c r="K1326" s="14" t="s">
        <v>1089</v>
      </c>
      <c r="L1326" s="17" t="s">
        <v>39</v>
      </c>
      <c r="M1326" s="38" t="s">
        <v>4184</v>
      </c>
      <c r="N1326" s="16">
        <v>865011031932917</v>
      </c>
      <c r="O1326" s="16" t="s">
        <v>3701</v>
      </c>
      <c r="P1326" s="17" t="s">
        <v>3700</v>
      </c>
      <c r="Q1326" s="17" t="s">
        <v>4174</v>
      </c>
      <c r="R1326" s="18" t="s">
        <v>39</v>
      </c>
      <c r="S1326" s="19" t="s">
        <v>3584</v>
      </c>
      <c r="T1326" s="17"/>
      <c r="U1326" s="66"/>
    </row>
    <row r="1327" spans="2:21" s="15" customFormat="1" ht="29" x14ac:dyDescent="0.35">
      <c r="B1327" s="64">
        <v>45744</v>
      </c>
      <c r="C1327" s="17">
        <v>1221</v>
      </c>
      <c r="D1327" s="85" t="s">
        <v>3702</v>
      </c>
      <c r="E1327" s="85" t="s">
        <v>3584</v>
      </c>
      <c r="F1327" s="85" t="s">
        <v>1468</v>
      </c>
      <c r="G1327" s="17" t="s">
        <v>1805</v>
      </c>
      <c r="H1327" s="17" t="s">
        <v>1930</v>
      </c>
      <c r="I1327" s="145" t="s">
        <v>39</v>
      </c>
      <c r="J1327" s="17" t="s">
        <v>3703</v>
      </c>
      <c r="K1327" s="14" t="s">
        <v>1109</v>
      </c>
      <c r="L1327" s="17" t="s">
        <v>39</v>
      </c>
      <c r="M1327" s="38" t="s">
        <v>4185</v>
      </c>
      <c r="N1327" s="16">
        <v>864606045288767</v>
      </c>
      <c r="O1327" s="16" t="s">
        <v>713</v>
      </c>
      <c r="P1327" s="17" t="s">
        <v>39</v>
      </c>
      <c r="Q1327" s="17" t="s">
        <v>4174</v>
      </c>
      <c r="R1327" s="18" t="s">
        <v>39</v>
      </c>
      <c r="S1327" s="19" t="s">
        <v>3584</v>
      </c>
      <c r="T1327" s="17"/>
      <c r="U1327" s="66"/>
    </row>
    <row r="1328" spans="2:21" s="15" customFormat="1" ht="29" x14ac:dyDescent="0.35">
      <c r="B1328" s="64">
        <v>45744</v>
      </c>
      <c r="C1328" s="17">
        <v>1222</v>
      </c>
      <c r="D1328" s="85" t="s">
        <v>3704</v>
      </c>
      <c r="E1328" s="85" t="s">
        <v>3584</v>
      </c>
      <c r="F1328" s="85" t="s">
        <v>1468</v>
      </c>
      <c r="G1328" s="17" t="s">
        <v>1805</v>
      </c>
      <c r="H1328" s="17" t="s">
        <v>1930</v>
      </c>
      <c r="I1328" s="145" t="s">
        <v>39</v>
      </c>
      <c r="J1328" s="17" t="s">
        <v>3707</v>
      </c>
      <c r="K1328" s="14" t="s">
        <v>1110</v>
      </c>
      <c r="L1328" s="17" t="s">
        <v>39</v>
      </c>
      <c r="M1328" s="38" t="s">
        <v>4186</v>
      </c>
      <c r="N1328" s="16">
        <v>863844052850887</v>
      </c>
      <c r="O1328" s="16" t="s">
        <v>3706</v>
      </c>
      <c r="P1328" s="17" t="s">
        <v>3705</v>
      </c>
      <c r="Q1328" s="17" t="s">
        <v>4174</v>
      </c>
      <c r="R1328" s="18" t="s">
        <v>39</v>
      </c>
      <c r="S1328" s="19" t="s">
        <v>3584</v>
      </c>
      <c r="T1328" s="17"/>
      <c r="U1328" s="66"/>
    </row>
    <row r="1329" spans="2:21" s="15" customFormat="1" ht="29" x14ac:dyDescent="0.35">
      <c r="B1329" s="64">
        <v>45744</v>
      </c>
      <c r="C1329" s="17">
        <v>1223</v>
      </c>
      <c r="D1329" s="85" t="s">
        <v>3708</v>
      </c>
      <c r="E1329" s="85" t="s">
        <v>3584</v>
      </c>
      <c r="F1329" s="85" t="s">
        <v>1468</v>
      </c>
      <c r="G1329" s="17" t="s">
        <v>1805</v>
      </c>
      <c r="H1329" s="17" t="s">
        <v>1930</v>
      </c>
      <c r="I1329" s="145" t="s">
        <v>39</v>
      </c>
      <c r="J1329" s="17" t="s">
        <v>3712</v>
      </c>
      <c r="K1329" s="17" t="s">
        <v>3709</v>
      </c>
      <c r="L1329" s="17" t="s">
        <v>39</v>
      </c>
      <c r="M1329" s="38" t="s">
        <v>4187</v>
      </c>
      <c r="N1329" s="16">
        <v>863844052847990</v>
      </c>
      <c r="O1329" s="16" t="s">
        <v>3711</v>
      </c>
      <c r="P1329" s="17" t="s">
        <v>3710</v>
      </c>
      <c r="Q1329" s="17" t="s">
        <v>4174</v>
      </c>
      <c r="R1329" s="18" t="s">
        <v>39</v>
      </c>
      <c r="S1329" s="19" t="s">
        <v>3584</v>
      </c>
      <c r="T1329" s="17"/>
      <c r="U1329" s="66"/>
    </row>
    <row r="1330" spans="2:21" s="15" customFormat="1" ht="29" x14ac:dyDescent="0.35">
      <c r="B1330" s="64">
        <v>45744</v>
      </c>
      <c r="C1330" s="17">
        <v>1224</v>
      </c>
      <c r="D1330" s="85" t="s">
        <v>3713</v>
      </c>
      <c r="E1330" s="85" t="s">
        <v>3584</v>
      </c>
      <c r="F1330" s="85" t="s">
        <v>1468</v>
      </c>
      <c r="G1330" s="17" t="s">
        <v>1805</v>
      </c>
      <c r="H1330" s="17" t="s">
        <v>1930</v>
      </c>
      <c r="I1330" s="145" t="s">
        <v>39</v>
      </c>
      <c r="J1330" s="17" t="s">
        <v>26</v>
      </c>
      <c r="K1330" s="17" t="s">
        <v>3714</v>
      </c>
      <c r="L1330" s="17" t="s">
        <v>39</v>
      </c>
      <c r="M1330" s="38">
        <v>8115257466</v>
      </c>
      <c r="N1330" s="16">
        <v>359857084513977</v>
      </c>
      <c r="O1330" s="16" t="s">
        <v>679</v>
      </c>
      <c r="P1330" s="17" t="s">
        <v>39</v>
      </c>
      <c r="Q1330" s="17" t="s">
        <v>4174</v>
      </c>
      <c r="R1330" s="18" t="s">
        <v>39</v>
      </c>
      <c r="S1330" s="19" t="s">
        <v>3584</v>
      </c>
      <c r="T1330" s="17"/>
      <c r="U1330" s="66"/>
    </row>
    <row r="1331" spans="2:21" s="15" customFormat="1" ht="29" x14ac:dyDescent="0.35">
      <c r="B1331" s="64">
        <v>45744</v>
      </c>
      <c r="C1331" s="17">
        <v>1225</v>
      </c>
      <c r="D1331" s="85" t="s">
        <v>3715</v>
      </c>
      <c r="E1331" s="85" t="s">
        <v>3584</v>
      </c>
      <c r="F1331" s="85" t="s">
        <v>1468</v>
      </c>
      <c r="G1331" s="17" t="s">
        <v>1805</v>
      </c>
      <c r="H1331" s="17" t="s">
        <v>1930</v>
      </c>
      <c r="I1331" s="145" t="s">
        <v>39</v>
      </c>
      <c r="J1331" s="17" t="s">
        <v>24</v>
      </c>
      <c r="K1331" s="17" t="s">
        <v>1130</v>
      </c>
      <c r="L1331" s="17" t="s">
        <v>39</v>
      </c>
      <c r="M1331" s="16">
        <v>8123554944</v>
      </c>
      <c r="N1331" s="16">
        <v>359857084510346</v>
      </c>
      <c r="O1331" s="16" t="s">
        <v>671</v>
      </c>
      <c r="P1331" s="17" t="s">
        <v>39</v>
      </c>
      <c r="Q1331" s="17" t="s">
        <v>4174</v>
      </c>
      <c r="R1331" s="18" t="s">
        <v>39</v>
      </c>
      <c r="S1331" s="19" t="s">
        <v>3584</v>
      </c>
      <c r="T1331" s="17"/>
      <c r="U1331" s="66"/>
    </row>
    <row r="1332" spans="2:21" s="15" customFormat="1" ht="29" x14ac:dyDescent="0.35">
      <c r="B1332" s="64">
        <v>45744</v>
      </c>
      <c r="C1332" s="17">
        <v>1226</v>
      </c>
      <c r="D1332" s="85" t="s">
        <v>3716</v>
      </c>
      <c r="E1332" s="85" t="s">
        <v>3584</v>
      </c>
      <c r="F1332" s="85" t="s">
        <v>1468</v>
      </c>
      <c r="G1332" s="17" t="s">
        <v>1805</v>
      </c>
      <c r="H1332" s="17" t="s">
        <v>1930</v>
      </c>
      <c r="I1332" s="145" t="s">
        <v>39</v>
      </c>
      <c r="J1332" s="17" t="s">
        <v>3717</v>
      </c>
      <c r="K1332" s="14" t="s">
        <v>1135</v>
      </c>
      <c r="L1332" s="17" t="s">
        <v>39</v>
      </c>
      <c r="M1332" s="16">
        <v>8110388135</v>
      </c>
      <c r="N1332" s="16">
        <v>359857084616317</v>
      </c>
      <c r="O1332" s="16" t="s">
        <v>662</v>
      </c>
      <c r="P1332" s="17" t="s">
        <v>39</v>
      </c>
      <c r="Q1332" s="17" t="s">
        <v>4174</v>
      </c>
      <c r="R1332" s="18" t="s">
        <v>39</v>
      </c>
      <c r="S1332" s="19" t="s">
        <v>3584</v>
      </c>
      <c r="T1332" s="17"/>
      <c r="U1332" s="66"/>
    </row>
    <row r="1333" spans="2:21" s="15" customFormat="1" ht="29" x14ac:dyDescent="0.35">
      <c r="B1333" s="64">
        <v>45744</v>
      </c>
      <c r="C1333" s="17">
        <v>1227</v>
      </c>
      <c r="D1333" s="85" t="s">
        <v>3718</v>
      </c>
      <c r="E1333" s="85" t="s">
        <v>3584</v>
      </c>
      <c r="F1333" s="85" t="s">
        <v>1468</v>
      </c>
      <c r="G1333" s="17" t="s">
        <v>1805</v>
      </c>
      <c r="H1333" s="17" t="s">
        <v>1930</v>
      </c>
      <c r="I1333" s="145" t="s">
        <v>39</v>
      </c>
      <c r="J1333" s="17" t="s">
        <v>3719</v>
      </c>
      <c r="K1333" s="17" t="s">
        <v>1138</v>
      </c>
      <c r="L1333" s="17" t="s">
        <v>39</v>
      </c>
      <c r="M1333" s="16">
        <v>8128755023</v>
      </c>
      <c r="N1333" s="16">
        <v>865011032921521</v>
      </c>
      <c r="O1333" s="16" t="s">
        <v>4188</v>
      </c>
      <c r="P1333" s="17" t="s">
        <v>39</v>
      </c>
      <c r="Q1333" s="17" t="s">
        <v>4174</v>
      </c>
      <c r="R1333" s="18" t="s">
        <v>39</v>
      </c>
      <c r="S1333" s="19" t="s">
        <v>3584</v>
      </c>
      <c r="T1333" s="17"/>
      <c r="U1333" s="66"/>
    </row>
    <row r="1334" spans="2:21" s="15" customFormat="1" ht="29" x14ac:dyDescent="0.35">
      <c r="B1334" s="64">
        <v>45744</v>
      </c>
      <c r="C1334" s="17">
        <v>1228</v>
      </c>
      <c r="D1334" s="85" t="s">
        <v>3720</v>
      </c>
      <c r="E1334" s="85" t="s">
        <v>3584</v>
      </c>
      <c r="F1334" s="85" t="s">
        <v>1468</v>
      </c>
      <c r="G1334" s="17" t="s">
        <v>1805</v>
      </c>
      <c r="H1334" s="17" t="s">
        <v>1930</v>
      </c>
      <c r="I1334" s="145" t="s">
        <v>39</v>
      </c>
      <c r="J1334" s="17" t="s">
        <v>3721</v>
      </c>
      <c r="K1334" s="14" t="s">
        <v>1140</v>
      </c>
      <c r="L1334" s="17" t="s">
        <v>39</v>
      </c>
      <c r="M1334" s="16">
        <v>8118003972</v>
      </c>
      <c r="N1334" s="16">
        <v>865011033544496</v>
      </c>
      <c r="O1334" s="16" t="s">
        <v>39</v>
      </c>
      <c r="P1334" s="17" t="s">
        <v>653</v>
      </c>
      <c r="Q1334" s="17" t="s">
        <v>4174</v>
      </c>
      <c r="R1334" s="18" t="s">
        <v>39</v>
      </c>
      <c r="S1334" s="19" t="s">
        <v>3584</v>
      </c>
      <c r="T1334" s="17"/>
      <c r="U1334" s="66"/>
    </row>
    <row r="1335" spans="2:21" s="15" customFormat="1" ht="29" x14ac:dyDescent="0.35">
      <c r="B1335" s="64">
        <v>45744</v>
      </c>
      <c r="C1335" s="17">
        <v>1229</v>
      </c>
      <c r="D1335" s="85" t="s">
        <v>3722</v>
      </c>
      <c r="E1335" s="85" t="s">
        <v>3584</v>
      </c>
      <c r="F1335" s="85" t="s">
        <v>1468</v>
      </c>
      <c r="G1335" s="17" t="s">
        <v>1805</v>
      </c>
      <c r="H1335" s="17" t="s">
        <v>1930</v>
      </c>
      <c r="I1335" s="145" t="s">
        <v>39</v>
      </c>
      <c r="J1335" s="17" t="s">
        <v>3723</v>
      </c>
      <c r="K1335" s="14" t="s">
        <v>1143</v>
      </c>
      <c r="L1335" s="17" t="s">
        <v>39</v>
      </c>
      <c r="M1335" s="16">
        <v>8118247470</v>
      </c>
      <c r="N1335" s="16">
        <v>865011034235680</v>
      </c>
      <c r="O1335" s="16" t="s">
        <v>647</v>
      </c>
      <c r="P1335" s="17" t="s">
        <v>39</v>
      </c>
      <c r="Q1335" s="17" t="s">
        <v>4174</v>
      </c>
      <c r="R1335" s="18" t="s">
        <v>39</v>
      </c>
      <c r="S1335" s="19" t="s">
        <v>3584</v>
      </c>
      <c r="T1335" s="17"/>
      <c r="U1335" s="66"/>
    </row>
    <row r="1336" spans="2:21" s="15" customFormat="1" ht="29" x14ac:dyDescent="0.35">
      <c r="B1336" s="64">
        <v>45744</v>
      </c>
      <c r="C1336" s="17">
        <v>1230</v>
      </c>
      <c r="D1336" s="85" t="s">
        <v>3724</v>
      </c>
      <c r="E1336" s="85" t="s">
        <v>3584</v>
      </c>
      <c r="F1336" s="85" t="s">
        <v>1468</v>
      </c>
      <c r="G1336" s="17" t="s">
        <v>1805</v>
      </c>
      <c r="H1336" s="17" t="s">
        <v>1930</v>
      </c>
      <c r="I1336" s="145" t="s">
        <v>39</v>
      </c>
      <c r="J1336" s="17" t="s">
        <v>3726</v>
      </c>
      <c r="K1336" s="17" t="s">
        <v>1144</v>
      </c>
      <c r="L1336" s="17" t="s">
        <v>39</v>
      </c>
      <c r="M1336" s="16">
        <v>8118247494</v>
      </c>
      <c r="N1336" s="16">
        <v>865011034235144</v>
      </c>
      <c r="O1336" s="16" t="s">
        <v>3725</v>
      </c>
      <c r="P1336" s="17" t="s">
        <v>4189</v>
      </c>
      <c r="Q1336" s="17" t="s">
        <v>4174</v>
      </c>
      <c r="R1336" s="18" t="s">
        <v>39</v>
      </c>
      <c r="S1336" s="19" t="s">
        <v>3584</v>
      </c>
      <c r="T1336" s="17"/>
      <c r="U1336" s="66"/>
    </row>
    <row r="1337" spans="2:21" s="15" customFormat="1" ht="29" x14ac:dyDescent="0.35">
      <c r="B1337" s="64">
        <v>45744</v>
      </c>
      <c r="C1337" s="17">
        <v>1231</v>
      </c>
      <c r="D1337" s="85" t="s">
        <v>3727</v>
      </c>
      <c r="E1337" s="85" t="s">
        <v>3584</v>
      </c>
      <c r="F1337" s="85" t="s">
        <v>1468</v>
      </c>
      <c r="G1337" s="17" t="s">
        <v>1805</v>
      </c>
      <c r="H1337" s="17" t="s">
        <v>1930</v>
      </c>
      <c r="I1337" s="145" t="s">
        <v>39</v>
      </c>
      <c r="J1337" s="17" t="s">
        <v>3730</v>
      </c>
      <c r="K1337" s="17" t="s">
        <v>1146</v>
      </c>
      <c r="L1337" s="17" t="s">
        <v>39</v>
      </c>
      <c r="M1337" s="16">
        <v>8128610114</v>
      </c>
      <c r="N1337" s="16">
        <v>865011034234709</v>
      </c>
      <c r="O1337" s="16" t="s">
        <v>3729</v>
      </c>
      <c r="P1337" s="17" t="s">
        <v>3728</v>
      </c>
      <c r="Q1337" s="17" t="s">
        <v>4174</v>
      </c>
      <c r="R1337" s="18" t="s">
        <v>39</v>
      </c>
      <c r="S1337" s="19" t="s">
        <v>3584</v>
      </c>
      <c r="T1337" s="17"/>
      <c r="U1337" s="66"/>
    </row>
    <row r="1338" spans="2:21" s="15" customFormat="1" ht="29" x14ac:dyDescent="0.35">
      <c r="B1338" s="64">
        <v>45744</v>
      </c>
      <c r="C1338" s="17">
        <v>1232</v>
      </c>
      <c r="D1338" s="85" t="s">
        <v>3731</v>
      </c>
      <c r="E1338" s="85" t="s">
        <v>3584</v>
      </c>
      <c r="F1338" s="85" t="s">
        <v>1468</v>
      </c>
      <c r="G1338" s="17" t="s">
        <v>1805</v>
      </c>
      <c r="H1338" s="17" t="s">
        <v>1930</v>
      </c>
      <c r="I1338" s="145" t="s">
        <v>39</v>
      </c>
      <c r="J1338" s="17" t="s">
        <v>24</v>
      </c>
      <c r="K1338" s="14" t="s">
        <v>1150</v>
      </c>
      <c r="L1338" s="17" t="s">
        <v>39</v>
      </c>
      <c r="M1338" s="16">
        <v>8118003974</v>
      </c>
      <c r="N1338" s="16">
        <v>863844053083967</v>
      </c>
      <c r="O1338" s="16" t="s">
        <v>641</v>
      </c>
      <c r="P1338" s="17" t="s">
        <v>39</v>
      </c>
      <c r="Q1338" s="17" t="s">
        <v>4174</v>
      </c>
      <c r="R1338" s="18" t="s">
        <v>39</v>
      </c>
      <c r="S1338" s="19" t="s">
        <v>3584</v>
      </c>
      <c r="T1338" s="17"/>
      <c r="U1338" s="66"/>
    </row>
    <row r="1339" spans="2:21" s="15" customFormat="1" ht="29" x14ac:dyDescent="0.35">
      <c r="B1339" s="64">
        <v>45744</v>
      </c>
      <c r="C1339" s="17">
        <v>1233</v>
      </c>
      <c r="D1339" s="85" t="s">
        <v>3732</v>
      </c>
      <c r="E1339" s="85" t="s">
        <v>3584</v>
      </c>
      <c r="F1339" s="85" t="s">
        <v>1468</v>
      </c>
      <c r="G1339" s="17" t="s">
        <v>1805</v>
      </c>
      <c r="H1339" s="17" t="s">
        <v>1930</v>
      </c>
      <c r="I1339" s="145" t="s">
        <v>39</v>
      </c>
      <c r="J1339" s="17" t="s">
        <v>3735</v>
      </c>
      <c r="K1339" s="17" t="s">
        <v>1152</v>
      </c>
      <c r="L1339" s="17" t="s">
        <v>39</v>
      </c>
      <c r="M1339" s="16">
        <v>8126201676</v>
      </c>
      <c r="N1339" s="16">
        <v>863844053081581</v>
      </c>
      <c r="O1339" s="16" t="s">
        <v>3734</v>
      </c>
      <c r="P1339" s="17" t="s">
        <v>3733</v>
      </c>
      <c r="Q1339" s="17" t="s">
        <v>4174</v>
      </c>
      <c r="R1339" s="18" t="s">
        <v>39</v>
      </c>
      <c r="S1339" s="19" t="s">
        <v>3584</v>
      </c>
      <c r="T1339" s="17"/>
      <c r="U1339" s="66"/>
    </row>
    <row r="1340" spans="2:21" s="15" customFormat="1" ht="29" x14ac:dyDescent="0.35">
      <c r="B1340" s="64">
        <v>45744</v>
      </c>
      <c r="C1340" s="17">
        <v>1234</v>
      </c>
      <c r="D1340" s="85" t="s">
        <v>3736</v>
      </c>
      <c r="E1340" s="85" t="s">
        <v>3584</v>
      </c>
      <c r="F1340" s="85" t="s">
        <v>1468</v>
      </c>
      <c r="G1340" s="17" t="s">
        <v>1805</v>
      </c>
      <c r="H1340" s="17" t="s">
        <v>1930</v>
      </c>
      <c r="I1340" s="145" t="s">
        <v>39</v>
      </c>
      <c r="J1340" s="17" t="s">
        <v>3737</v>
      </c>
      <c r="K1340" s="17" t="s">
        <v>1153</v>
      </c>
      <c r="L1340" s="17" t="s">
        <v>39</v>
      </c>
      <c r="M1340" s="16">
        <v>8119824274</v>
      </c>
      <c r="N1340" s="16">
        <v>865284040172953</v>
      </c>
      <c r="O1340" s="16" t="s">
        <v>638</v>
      </c>
      <c r="P1340" s="17" t="s">
        <v>39</v>
      </c>
      <c r="Q1340" s="17" t="s">
        <v>4174</v>
      </c>
      <c r="R1340" s="18" t="s">
        <v>39</v>
      </c>
      <c r="S1340" s="19" t="s">
        <v>3584</v>
      </c>
      <c r="T1340" s="17"/>
      <c r="U1340" s="66"/>
    </row>
    <row r="1341" spans="2:21" s="15" customFormat="1" ht="29" x14ac:dyDescent="0.35">
      <c r="B1341" s="64">
        <v>45744</v>
      </c>
      <c r="C1341" s="17">
        <v>1235</v>
      </c>
      <c r="D1341" s="85" t="s">
        <v>3738</v>
      </c>
      <c r="E1341" s="85" t="s">
        <v>3584</v>
      </c>
      <c r="F1341" s="85" t="s">
        <v>1468</v>
      </c>
      <c r="G1341" s="17" t="s">
        <v>1805</v>
      </c>
      <c r="H1341" s="17" t="s">
        <v>1930</v>
      </c>
      <c r="I1341" s="145" t="s">
        <v>39</v>
      </c>
      <c r="J1341" s="17" t="s">
        <v>3739</v>
      </c>
      <c r="K1341" s="95" t="s">
        <v>1157</v>
      </c>
      <c r="L1341" s="17" t="s">
        <v>39</v>
      </c>
      <c r="M1341" s="16">
        <v>8120010345</v>
      </c>
      <c r="N1341" s="16">
        <v>865011033832123</v>
      </c>
      <c r="O1341" s="16" t="s">
        <v>617</v>
      </c>
      <c r="P1341" s="17" t="s">
        <v>39</v>
      </c>
      <c r="Q1341" s="17" t="s">
        <v>4174</v>
      </c>
      <c r="R1341" s="18" t="s">
        <v>39</v>
      </c>
      <c r="S1341" s="19" t="s">
        <v>3584</v>
      </c>
      <c r="T1341" s="17"/>
      <c r="U1341" s="66"/>
    </row>
    <row r="1342" spans="2:21" s="15" customFormat="1" ht="29" x14ac:dyDescent="0.35">
      <c r="B1342" s="64">
        <v>45744</v>
      </c>
      <c r="C1342" s="17">
        <v>1236</v>
      </c>
      <c r="D1342" s="85" t="s">
        <v>3740</v>
      </c>
      <c r="E1342" s="85" t="s">
        <v>3584</v>
      </c>
      <c r="F1342" s="85" t="s">
        <v>1468</v>
      </c>
      <c r="G1342" s="17" t="s">
        <v>1805</v>
      </c>
      <c r="H1342" s="17" t="s">
        <v>1930</v>
      </c>
      <c r="I1342" s="145" t="s">
        <v>39</v>
      </c>
      <c r="J1342" s="17" t="s">
        <v>3741</v>
      </c>
      <c r="K1342" s="14" t="s">
        <v>1158</v>
      </c>
      <c r="L1342" s="17" t="s">
        <v>39</v>
      </c>
      <c r="M1342" s="16">
        <v>8120013075</v>
      </c>
      <c r="N1342" s="16">
        <v>863844053084544</v>
      </c>
      <c r="O1342" s="16" t="s">
        <v>607</v>
      </c>
      <c r="P1342" s="17" t="s">
        <v>39</v>
      </c>
      <c r="Q1342" s="17" t="s">
        <v>4174</v>
      </c>
      <c r="R1342" s="18" t="s">
        <v>39</v>
      </c>
      <c r="S1342" s="19" t="s">
        <v>3584</v>
      </c>
      <c r="T1342" s="17"/>
      <c r="U1342" s="66"/>
    </row>
    <row r="1343" spans="2:21" s="15" customFormat="1" ht="29" x14ac:dyDescent="0.35">
      <c r="B1343" s="64">
        <v>45744</v>
      </c>
      <c r="C1343" s="17">
        <v>1237</v>
      </c>
      <c r="D1343" s="85" t="s">
        <v>3742</v>
      </c>
      <c r="E1343" s="85" t="s">
        <v>3584</v>
      </c>
      <c r="F1343" s="85" t="s">
        <v>1468</v>
      </c>
      <c r="G1343" s="17" t="s">
        <v>1805</v>
      </c>
      <c r="H1343" s="17" t="s">
        <v>1930</v>
      </c>
      <c r="I1343" s="145" t="s">
        <v>39</v>
      </c>
      <c r="J1343" s="17" t="s">
        <v>3744</v>
      </c>
      <c r="K1343" s="17" t="s">
        <v>1160</v>
      </c>
      <c r="L1343" s="17" t="s">
        <v>39</v>
      </c>
      <c r="M1343" s="16">
        <v>8128616948</v>
      </c>
      <c r="N1343" s="16">
        <v>865011033829517</v>
      </c>
      <c r="O1343" s="16" t="s">
        <v>3743</v>
      </c>
      <c r="P1343" s="17" t="s">
        <v>39</v>
      </c>
      <c r="Q1343" s="17" t="s">
        <v>4174</v>
      </c>
      <c r="R1343" s="18" t="s">
        <v>39</v>
      </c>
      <c r="S1343" s="19" t="s">
        <v>3584</v>
      </c>
      <c r="T1343" s="17"/>
      <c r="U1343" s="66"/>
    </row>
    <row r="1344" spans="2:21" s="15" customFormat="1" ht="29" x14ac:dyDescent="0.35">
      <c r="B1344" s="64">
        <v>45744</v>
      </c>
      <c r="C1344" s="17">
        <v>1238</v>
      </c>
      <c r="D1344" s="85" t="s">
        <v>3745</v>
      </c>
      <c r="E1344" s="85" t="s">
        <v>3584</v>
      </c>
      <c r="F1344" s="85" t="s">
        <v>1468</v>
      </c>
      <c r="G1344" s="17" t="s">
        <v>1805</v>
      </c>
      <c r="H1344" s="17" t="s">
        <v>1930</v>
      </c>
      <c r="I1344" s="145" t="s">
        <v>39</v>
      </c>
      <c r="J1344" s="17" t="s">
        <v>4191</v>
      </c>
      <c r="K1344" s="17" t="s">
        <v>3746</v>
      </c>
      <c r="L1344" s="17" t="s">
        <v>39</v>
      </c>
      <c r="M1344" s="16">
        <v>8135514808</v>
      </c>
      <c r="N1344" s="16">
        <v>865011033829954</v>
      </c>
      <c r="O1344" s="16" t="s">
        <v>4193</v>
      </c>
      <c r="P1344" s="17" t="s">
        <v>4192</v>
      </c>
      <c r="Q1344" s="17" t="s">
        <v>4174</v>
      </c>
      <c r="R1344" s="18" t="s">
        <v>39</v>
      </c>
      <c r="S1344" s="19" t="s">
        <v>3584</v>
      </c>
      <c r="T1344" s="17"/>
      <c r="U1344" s="66"/>
    </row>
    <row r="1345" spans="2:22" s="15" customFormat="1" ht="29" x14ac:dyDescent="0.35">
      <c r="B1345" s="64">
        <v>45744</v>
      </c>
      <c r="C1345" s="17">
        <v>1239</v>
      </c>
      <c r="D1345" s="85" t="s">
        <v>3747</v>
      </c>
      <c r="E1345" s="85" t="s">
        <v>3584</v>
      </c>
      <c r="F1345" s="85" t="s">
        <v>1468</v>
      </c>
      <c r="G1345" s="17" t="s">
        <v>1805</v>
      </c>
      <c r="H1345" s="17" t="s">
        <v>1930</v>
      </c>
      <c r="I1345" s="145" t="s">
        <v>39</v>
      </c>
      <c r="J1345" s="17" t="s">
        <v>4194</v>
      </c>
      <c r="K1345" s="17" t="s">
        <v>3748</v>
      </c>
      <c r="L1345" s="17" t="s">
        <v>39</v>
      </c>
      <c r="M1345" s="16">
        <v>8123421858</v>
      </c>
      <c r="N1345" s="16">
        <v>865011033829939</v>
      </c>
      <c r="O1345" s="16" t="s">
        <v>39</v>
      </c>
      <c r="P1345" s="17" t="s">
        <v>39</v>
      </c>
      <c r="Q1345" s="17" t="s">
        <v>4174</v>
      </c>
      <c r="R1345" s="18" t="s">
        <v>39</v>
      </c>
      <c r="S1345" s="19" t="s">
        <v>3584</v>
      </c>
      <c r="T1345" s="17"/>
      <c r="U1345" s="66"/>
    </row>
    <row r="1346" spans="2:22" s="15" customFormat="1" ht="29" x14ac:dyDescent="0.35">
      <c r="B1346" s="64">
        <v>45744</v>
      </c>
      <c r="C1346" s="17">
        <v>1240</v>
      </c>
      <c r="D1346" s="85" t="s">
        <v>3749</v>
      </c>
      <c r="E1346" s="85" t="s">
        <v>3584</v>
      </c>
      <c r="F1346" s="85" t="s">
        <v>1468</v>
      </c>
      <c r="G1346" s="17" t="s">
        <v>1805</v>
      </c>
      <c r="H1346" s="17" t="s">
        <v>1930</v>
      </c>
      <c r="I1346" s="145" t="s">
        <v>39</v>
      </c>
      <c r="J1346" s="17" t="s">
        <v>3750</v>
      </c>
      <c r="K1346" s="14" t="s">
        <v>1168</v>
      </c>
      <c r="L1346" s="17" t="s">
        <v>39</v>
      </c>
      <c r="M1346" s="16">
        <v>8126201797</v>
      </c>
      <c r="N1346" s="16">
        <v>863844053083934</v>
      </c>
      <c r="O1346" s="16" t="s">
        <v>583</v>
      </c>
      <c r="P1346" s="17" t="s">
        <v>39</v>
      </c>
      <c r="Q1346" s="17" t="s">
        <v>4174</v>
      </c>
      <c r="R1346" s="18" t="s">
        <v>39</v>
      </c>
      <c r="S1346" s="19" t="s">
        <v>3584</v>
      </c>
      <c r="T1346" s="17"/>
      <c r="U1346" s="66"/>
    </row>
    <row r="1347" spans="2:22" s="15" customFormat="1" ht="29" x14ac:dyDescent="0.35">
      <c r="B1347" s="64">
        <v>45744</v>
      </c>
      <c r="C1347" s="17">
        <v>1241</v>
      </c>
      <c r="D1347" s="85" t="s">
        <v>3751</v>
      </c>
      <c r="E1347" s="85" t="s">
        <v>3584</v>
      </c>
      <c r="F1347" s="85" t="s">
        <v>1468</v>
      </c>
      <c r="G1347" s="17" t="s">
        <v>1805</v>
      </c>
      <c r="H1347" s="17" t="s">
        <v>1930</v>
      </c>
      <c r="I1347" s="145" t="s">
        <v>39</v>
      </c>
      <c r="J1347" s="17" t="s">
        <v>3752</v>
      </c>
      <c r="K1347" s="17" t="s">
        <v>1166</v>
      </c>
      <c r="L1347" s="17" t="s">
        <v>39</v>
      </c>
      <c r="M1347" s="16">
        <v>8135516740</v>
      </c>
      <c r="N1347" s="16">
        <v>865011033832404</v>
      </c>
      <c r="O1347" s="16" t="s">
        <v>39</v>
      </c>
      <c r="P1347" s="17" t="s">
        <v>580</v>
      </c>
      <c r="Q1347" s="17" t="s">
        <v>4174</v>
      </c>
      <c r="R1347" s="18" t="s">
        <v>39</v>
      </c>
      <c r="S1347" s="19" t="s">
        <v>3584</v>
      </c>
      <c r="T1347" s="17"/>
      <c r="U1347" s="66"/>
    </row>
    <row r="1348" spans="2:22" s="15" customFormat="1" ht="29" x14ac:dyDescent="0.35">
      <c r="B1348" s="64">
        <v>45744</v>
      </c>
      <c r="C1348" s="17">
        <v>1242</v>
      </c>
      <c r="D1348" s="85" t="s">
        <v>3753</v>
      </c>
      <c r="E1348" s="85" t="s">
        <v>3584</v>
      </c>
      <c r="F1348" s="85" t="s">
        <v>1468</v>
      </c>
      <c r="G1348" s="17" t="s">
        <v>1805</v>
      </c>
      <c r="H1348" s="17" t="s">
        <v>1930</v>
      </c>
      <c r="I1348" s="145" t="s">
        <v>39</v>
      </c>
      <c r="J1348" s="17" t="s">
        <v>2822</v>
      </c>
      <c r="K1348" s="17" t="s">
        <v>1171</v>
      </c>
      <c r="L1348" s="17" t="s">
        <v>39</v>
      </c>
      <c r="M1348" s="16">
        <v>8135514804</v>
      </c>
      <c r="N1348" s="16">
        <v>865011033830929</v>
      </c>
      <c r="O1348" s="16" t="s">
        <v>576</v>
      </c>
      <c r="P1348" s="17" t="s">
        <v>39</v>
      </c>
      <c r="Q1348" s="17" t="s">
        <v>4174</v>
      </c>
      <c r="R1348" s="18" t="s">
        <v>39</v>
      </c>
      <c r="S1348" s="19" t="s">
        <v>3584</v>
      </c>
      <c r="T1348" s="17"/>
      <c r="U1348" s="66"/>
    </row>
    <row r="1349" spans="2:22" s="15" customFormat="1" ht="29" x14ac:dyDescent="0.35">
      <c r="B1349" s="64">
        <v>45744</v>
      </c>
      <c r="C1349" s="17">
        <v>1243</v>
      </c>
      <c r="D1349" s="85" t="s">
        <v>3754</v>
      </c>
      <c r="E1349" s="85" t="s">
        <v>3584</v>
      </c>
      <c r="F1349" s="85" t="s">
        <v>1468</v>
      </c>
      <c r="G1349" s="17" t="s">
        <v>1805</v>
      </c>
      <c r="H1349" s="17" t="s">
        <v>1930</v>
      </c>
      <c r="I1349" s="145" t="s">
        <v>39</v>
      </c>
      <c r="J1349" s="17" t="s">
        <v>3758</v>
      </c>
      <c r="K1349" s="17" t="s">
        <v>3755</v>
      </c>
      <c r="L1349" s="17" t="s">
        <v>39</v>
      </c>
      <c r="M1349" s="16">
        <v>8261715038</v>
      </c>
      <c r="N1349" s="16">
        <v>359857084508431</v>
      </c>
      <c r="O1349" s="16" t="s">
        <v>3757</v>
      </c>
      <c r="P1349" s="17" t="s">
        <v>3756</v>
      </c>
      <c r="Q1349" s="17" t="s">
        <v>4174</v>
      </c>
      <c r="R1349" s="18" t="s">
        <v>39</v>
      </c>
      <c r="S1349" s="19" t="s">
        <v>3584</v>
      </c>
      <c r="T1349" s="17"/>
      <c r="U1349" s="66"/>
    </row>
    <row r="1350" spans="2:22" s="15" customFormat="1" ht="29" x14ac:dyDescent="0.35">
      <c r="B1350" s="64">
        <v>45744</v>
      </c>
      <c r="C1350" s="17">
        <v>1244</v>
      </c>
      <c r="D1350" s="85" t="s">
        <v>3759</v>
      </c>
      <c r="E1350" s="85" t="s">
        <v>3584</v>
      </c>
      <c r="F1350" s="85" t="s">
        <v>1468</v>
      </c>
      <c r="G1350" s="17" t="s">
        <v>1805</v>
      </c>
      <c r="H1350" s="17" t="s">
        <v>1930</v>
      </c>
      <c r="I1350" s="145" t="s">
        <v>39</v>
      </c>
      <c r="J1350" s="17" t="s">
        <v>2824</v>
      </c>
      <c r="K1350" s="17" t="s">
        <v>3760</v>
      </c>
      <c r="L1350" s="17" t="s">
        <v>39</v>
      </c>
      <c r="M1350" s="16">
        <v>8130722728</v>
      </c>
      <c r="N1350" s="16">
        <v>864893030920303</v>
      </c>
      <c r="O1350" s="16" t="s">
        <v>574</v>
      </c>
      <c r="P1350" s="17" t="s">
        <v>39</v>
      </c>
      <c r="Q1350" s="17" t="s">
        <v>4174</v>
      </c>
      <c r="R1350" s="18" t="s">
        <v>39</v>
      </c>
      <c r="S1350" s="19" t="s">
        <v>3584</v>
      </c>
      <c r="T1350" s="17"/>
      <c r="U1350" s="66"/>
    </row>
    <row r="1351" spans="2:22" s="15" customFormat="1" ht="29" x14ac:dyDescent="0.35">
      <c r="B1351" s="64">
        <v>45744</v>
      </c>
      <c r="C1351" s="17">
        <v>1245</v>
      </c>
      <c r="D1351" s="85" t="s">
        <v>3761</v>
      </c>
      <c r="E1351" s="85" t="s">
        <v>3584</v>
      </c>
      <c r="F1351" s="85" t="s">
        <v>1468</v>
      </c>
      <c r="G1351" s="17" t="s">
        <v>1805</v>
      </c>
      <c r="H1351" s="17" t="s">
        <v>1930</v>
      </c>
      <c r="I1351" s="145" t="s">
        <v>39</v>
      </c>
      <c r="J1351" s="17" t="s">
        <v>3763</v>
      </c>
      <c r="K1351" s="17" t="s">
        <v>3762</v>
      </c>
      <c r="L1351" s="17" t="s">
        <v>39</v>
      </c>
      <c r="M1351" s="16">
        <v>8135516713</v>
      </c>
      <c r="N1351" s="16">
        <v>865011033828402</v>
      </c>
      <c r="O1351" s="16" t="s">
        <v>39</v>
      </c>
      <c r="P1351" s="17" t="s">
        <v>571</v>
      </c>
      <c r="Q1351" s="17" t="s">
        <v>4174</v>
      </c>
      <c r="R1351" s="18" t="s">
        <v>39</v>
      </c>
      <c r="S1351" s="19" t="s">
        <v>3584</v>
      </c>
      <c r="T1351" s="17"/>
      <c r="U1351" s="66"/>
    </row>
    <row r="1352" spans="2:22" s="15" customFormat="1" ht="29" x14ac:dyDescent="0.35">
      <c r="B1352" s="64">
        <v>45744</v>
      </c>
      <c r="C1352" s="17">
        <v>1246</v>
      </c>
      <c r="D1352" s="85" t="s">
        <v>3764</v>
      </c>
      <c r="E1352" s="85" t="s">
        <v>3584</v>
      </c>
      <c r="F1352" s="85" t="s">
        <v>1468</v>
      </c>
      <c r="G1352" s="17" t="s">
        <v>1805</v>
      </c>
      <c r="H1352" s="17" t="s">
        <v>1930</v>
      </c>
      <c r="I1352" s="145" t="s">
        <v>39</v>
      </c>
      <c r="J1352" s="17" t="s">
        <v>3765</v>
      </c>
      <c r="K1352" s="17" t="s">
        <v>1180</v>
      </c>
      <c r="L1352" s="17" t="s">
        <v>39</v>
      </c>
      <c r="M1352" s="16">
        <v>8135518626</v>
      </c>
      <c r="N1352" s="16">
        <v>865011033832388</v>
      </c>
      <c r="O1352" s="16" t="s">
        <v>567</v>
      </c>
      <c r="P1352" s="17" t="s">
        <v>39</v>
      </c>
      <c r="Q1352" s="17" t="s">
        <v>4174</v>
      </c>
      <c r="R1352" s="18" t="s">
        <v>39</v>
      </c>
      <c r="S1352" s="19" t="s">
        <v>3584</v>
      </c>
      <c r="T1352" s="17"/>
      <c r="U1352" s="66"/>
    </row>
    <row r="1353" spans="2:22" s="15" customFormat="1" ht="29" x14ac:dyDescent="0.35">
      <c r="B1353" s="64">
        <v>45744</v>
      </c>
      <c r="C1353" s="17">
        <v>1247</v>
      </c>
      <c r="D1353" s="85" t="s">
        <v>3766</v>
      </c>
      <c r="E1353" s="85" t="s">
        <v>3584</v>
      </c>
      <c r="F1353" s="85" t="s">
        <v>1468</v>
      </c>
      <c r="G1353" s="17" t="s">
        <v>1805</v>
      </c>
      <c r="H1353" s="17" t="s">
        <v>1930</v>
      </c>
      <c r="I1353" s="145" t="s">
        <v>39</v>
      </c>
      <c r="J1353" s="17" t="s">
        <v>3769</v>
      </c>
      <c r="K1353" s="14" t="s">
        <v>4196</v>
      </c>
      <c r="L1353" s="17" t="s">
        <v>39</v>
      </c>
      <c r="M1353" s="16">
        <v>8184664711</v>
      </c>
      <c r="N1353" s="16">
        <v>865011031935431</v>
      </c>
      <c r="O1353" s="16" t="s">
        <v>3768</v>
      </c>
      <c r="P1353" s="17" t="s">
        <v>3767</v>
      </c>
      <c r="Q1353" s="17" t="s">
        <v>4174</v>
      </c>
      <c r="R1353" s="18" t="s">
        <v>39</v>
      </c>
      <c r="S1353" s="19" t="s">
        <v>3584</v>
      </c>
      <c r="T1353" s="17"/>
      <c r="U1353" s="66"/>
    </row>
    <row r="1354" spans="2:22" s="15" customFormat="1" ht="29" x14ac:dyDescent="0.35">
      <c r="B1354" s="64">
        <v>45744</v>
      </c>
      <c r="C1354" s="17">
        <v>1248</v>
      </c>
      <c r="D1354" s="85" t="s">
        <v>3770</v>
      </c>
      <c r="E1354" s="85" t="s">
        <v>3584</v>
      </c>
      <c r="F1354" s="85" t="s">
        <v>1468</v>
      </c>
      <c r="G1354" s="17" t="s">
        <v>1805</v>
      </c>
      <c r="H1354" s="17" t="s">
        <v>1930</v>
      </c>
      <c r="I1354" s="145" t="s">
        <v>39</v>
      </c>
      <c r="J1354" s="17" t="s">
        <v>3771</v>
      </c>
      <c r="K1354" s="17" t="s">
        <v>1185</v>
      </c>
      <c r="L1354" s="17" t="s">
        <v>39</v>
      </c>
      <c r="M1354" s="16">
        <v>8112814639</v>
      </c>
      <c r="N1354" s="16">
        <v>863844052820880</v>
      </c>
      <c r="O1354" s="14" t="s">
        <v>557</v>
      </c>
      <c r="P1354" s="17" t="s">
        <v>39</v>
      </c>
      <c r="Q1354" s="17" t="s">
        <v>4174</v>
      </c>
      <c r="R1354" s="18" t="s">
        <v>39</v>
      </c>
      <c r="S1354" s="19" t="s">
        <v>3584</v>
      </c>
      <c r="T1354" s="17"/>
      <c r="U1354" s="66"/>
      <c r="V1354" s="15" t="s">
        <v>3772</v>
      </c>
    </row>
    <row r="1355" spans="2:22" s="15" customFormat="1" ht="29" x14ac:dyDescent="0.35">
      <c r="B1355" s="64">
        <v>45744</v>
      </c>
      <c r="C1355" s="17">
        <v>1249</v>
      </c>
      <c r="D1355" s="85" t="s">
        <v>2851</v>
      </c>
      <c r="E1355" s="85" t="s">
        <v>3584</v>
      </c>
      <c r="F1355" s="85" t="s">
        <v>1468</v>
      </c>
      <c r="G1355" s="17" t="s">
        <v>1805</v>
      </c>
      <c r="H1355" s="17" t="s">
        <v>1930</v>
      </c>
      <c r="I1355" s="145" t="s">
        <v>39</v>
      </c>
      <c r="J1355" s="17" t="s">
        <v>3773</v>
      </c>
      <c r="K1355" s="17" t="s">
        <v>1184</v>
      </c>
      <c r="L1355" s="17" t="s">
        <v>39</v>
      </c>
      <c r="M1355" s="16">
        <v>8120010213</v>
      </c>
      <c r="N1355" s="16">
        <v>865011034235326</v>
      </c>
      <c r="O1355" s="16" t="s">
        <v>554</v>
      </c>
      <c r="P1355" s="17" t="s">
        <v>39</v>
      </c>
      <c r="Q1355" s="17" t="s">
        <v>4174</v>
      </c>
      <c r="R1355" s="18" t="s">
        <v>39</v>
      </c>
      <c r="S1355" s="19" t="s">
        <v>3584</v>
      </c>
      <c r="T1355" s="17"/>
      <c r="U1355" s="66"/>
    </row>
    <row r="1356" spans="2:22" s="15" customFormat="1" ht="29" x14ac:dyDescent="0.35">
      <c r="B1356" s="64">
        <v>45744</v>
      </c>
      <c r="C1356" s="17">
        <v>1250</v>
      </c>
      <c r="D1356" s="85" t="s">
        <v>3774</v>
      </c>
      <c r="E1356" s="85" t="s">
        <v>3584</v>
      </c>
      <c r="F1356" s="85" t="s">
        <v>1468</v>
      </c>
      <c r="G1356" s="17" t="s">
        <v>1805</v>
      </c>
      <c r="H1356" s="17" t="s">
        <v>1930</v>
      </c>
      <c r="I1356" s="145" t="s">
        <v>39</v>
      </c>
      <c r="J1356" s="17" t="s">
        <v>3775</v>
      </c>
      <c r="K1356" s="14" t="s">
        <v>1190</v>
      </c>
      <c r="L1356" s="17" t="s">
        <v>39</v>
      </c>
      <c r="M1356" s="16">
        <v>8182596321</v>
      </c>
      <c r="N1356" s="16">
        <v>863844055238692</v>
      </c>
      <c r="O1356" s="16" t="s">
        <v>551</v>
      </c>
      <c r="P1356" s="17" t="s">
        <v>39</v>
      </c>
      <c r="Q1356" s="17" t="s">
        <v>4174</v>
      </c>
      <c r="R1356" s="18" t="s">
        <v>39</v>
      </c>
      <c r="S1356" s="19" t="s">
        <v>3584</v>
      </c>
      <c r="T1356" s="17"/>
      <c r="U1356" s="66"/>
    </row>
    <row r="1357" spans="2:22" s="15" customFormat="1" ht="29" x14ac:dyDescent="0.35">
      <c r="B1357" s="64">
        <v>45744</v>
      </c>
      <c r="C1357" s="17">
        <v>1251</v>
      </c>
      <c r="D1357" s="85" t="s">
        <v>3776</v>
      </c>
      <c r="E1357" s="85" t="s">
        <v>3584</v>
      </c>
      <c r="F1357" s="85" t="s">
        <v>1468</v>
      </c>
      <c r="G1357" s="17" t="s">
        <v>1805</v>
      </c>
      <c r="H1357" s="17" t="s">
        <v>1930</v>
      </c>
      <c r="I1357" s="145" t="s">
        <v>39</v>
      </c>
      <c r="J1357" s="17" t="s">
        <v>3778</v>
      </c>
      <c r="K1357" s="95" t="s">
        <v>3777</v>
      </c>
      <c r="L1357" s="17" t="s">
        <v>39</v>
      </c>
      <c r="M1357" s="16">
        <v>8118220662</v>
      </c>
      <c r="N1357" s="16">
        <v>865011034398660</v>
      </c>
      <c r="O1357" s="16" t="s">
        <v>529</v>
      </c>
      <c r="P1357" s="17" t="s">
        <v>39</v>
      </c>
      <c r="Q1357" s="17" t="s">
        <v>4174</v>
      </c>
      <c r="R1357" s="18" t="s">
        <v>39</v>
      </c>
      <c r="S1357" s="19" t="s">
        <v>3584</v>
      </c>
      <c r="T1357" s="17"/>
      <c r="U1357" s="66"/>
    </row>
    <row r="1358" spans="2:22" s="15" customFormat="1" ht="29" x14ac:dyDescent="0.35">
      <c r="B1358" s="64">
        <v>45744</v>
      </c>
      <c r="C1358" s="17">
        <v>1252</v>
      </c>
      <c r="D1358" s="85" t="s">
        <v>3779</v>
      </c>
      <c r="E1358" s="85" t="s">
        <v>3584</v>
      </c>
      <c r="F1358" s="85" t="s">
        <v>1468</v>
      </c>
      <c r="G1358" s="17" t="s">
        <v>1805</v>
      </c>
      <c r="H1358" s="17" t="s">
        <v>1930</v>
      </c>
      <c r="I1358" s="145" t="s">
        <v>39</v>
      </c>
      <c r="J1358" s="17" t="s">
        <v>2876</v>
      </c>
      <c r="K1358" s="14" t="s">
        <v>1198</v>
      </c>
      <c r="L1358" s="17" t="s">
        <v>39</v>
      </c>
      <c r="M1358" s="16">
        <v>8126213320</v>
      </c>
      <c r="N1358" s="16">
        <v>865011034399163</v>
      </c>
      <c r="O1358" s="16" t="s">
        <v>525</v>
      </c>
      <c r="P1358" s="17" t="s">
        <v>39</v>
      </c>
      <c r="Q1358" s="17" t="s">
        <v>4174</v>
      </c>
      <c r="R1358" s="18" t="s">
        <v>39</v>
      </c>
      <c r="S1358" s="19" t="s">
        <v>3584</v>
      </c>
      <c r="T1358" s="17"/>
      <c r="U1358" s="66"/>
    </row>
    <row r="1359" spans="2:22" s="15" customFormat="1" ht="29" x14ac:dyDescent="0.35">
      <c r="B1359" s="64">
        <v>45744</v>
      </c>
      <c r="C1359" s="17">
        <v>1253</v>
      </c>
      <c r="D1359" s="85" t="s">
        <v>3780</v>
      </c>
      <c r="E1359" s="85" t="s">
        <v>3584</v>
      </c>
      <c r="F1359" s="85" t="s">
        <v>1468</v>
      </c>
      <c r="G1359" s="17" t="s">
        <v>1805</v>
      </c>
      <c r="H1359" s="17" t="s">
        <v>1930</v>
      </c>
      <c r="I1359" s="145" t="s">
        <v>39</v>
      </c>
      <c r="J1359" s="17" t="s">
        <v>26</v>
      </c>
      <c r="K1359" s="17" t="s">
        <v>1203</v>
      </c>
      <c r="L1359" s="17" t="s">
        <v>39</v>
      </c>
      <c r="M1359" s="16">
        <v>8182580739</v>
      </c>
      <c r="N1359" s="16">
        <v>865011034400078</v>
      </c>
      <c r="O1359" s="16" t="s">
        <v>510</v>
      </c>
      <c r="P1359" s="17" t="s">
        <v>39</v>
      </c>
      <c r="Q1359" s="17" t="s">
        <v>4174</v>
      </c>
      <c r="R1359" s="18" t="s">
        <v>39</v>
      </c>
      <c r="S1359" s="19" t="s">
        <v>3584</v>
      </c>
      <c r="T1359" s="17"/>
      <c r="U1359" s="66"/>
    </row>
    <row r="1360" spans="2:22" s="15" customFormat="1" ht="29" x14ac:dyDescent="0.35">
      <c r="B1360" s="64">
        <v>45744</v>
      </c>
      <c r="C1360" s="17">
        <v>1254</v>
      </c>
      <c r="D1360" s="85" t="s">
        <v>3782</v>
      </c>
      <c r="E1360" s="85" t="s">
        <v>3584</v>
      </c>
      <c r="F1360" s="85" t="s">
        <v>1468</v>
      </c>
      <c r="G1360" s="17" t="s">
        <v>1805</v>
      </c>
      <c r="H1360" s="17" t="s">
        <v>1930</v>
      </c>
      <c r="I1360" s="145" t="s">
        <v>39</v>
      </c>
      <c r="J1360" s="17" t="s">
        <v>26</v>
      </c>
      <c r="K1360" s="17" t="s">
        <v>3781</v>
      </c>
      <c r="L1360" s="17" t="s">
        <v>39</v>
      </c>
      <c r="M1360" s="38" t="s">
        <v>4200</v>
      </c>
      <c r="N1360" s="16">
        <v>863844052849715</v>
      </c>
      <c r="O1360" s="16" t="s">
        <v>39</v>
      </c>
      <c r="P1360" s="17" t="s">
        <v>496</v>
      </c>
      <c r="Q1360" s="17" t="s">
        <v>4174</v>
      </c>
      <c r="R1360" s="18" t="s">
        <v>39</v>
      </c>
      <c r="S1360" s="19" t="s">
        <v>3584</v>
      </c>
      <c r="T1360" s="17"/>
      <c r="U1360" s="66"/>
    </row>
    <row r="1361" spans="2:21" s="15" customFormat="1" ht="29" x14ac:dyDescent="0.35">
      <c r="B1361" s="64">
        <v>45744</v>
      </c>
      <c r="C1361" s="17">
        <v>1255</v>
      </c>
      <c r="D1361" s="85" t="s">
        <v>3783</v>
      </c>
      <c r="E1361" s="85" t="s">
        <v>3584</v>
      </c>
      <c r="F1361" s="85" t="s">
        <v>1468</v>
      </c>
      <c r="G1361" s="17" t="s">
        <v>1805</v>
      </c>
      <c r="H1361" s="17" t="s">
        <v>1930</v>
      </c>
      <c r="I1361" s="145" t="s">
        <v>39</v>
      </c>
      <c r="J1361" s="17" t="s">
        <v>26</v>
      </c>
      <c r="K1361" s="17" t="s">
        <v>3784</v>
      </c>
      <c r="L1361" s="17" t="s">
        <v>39</v>
      </c>
      <c r="M1361" s="16">
        <v>8135518627</v>
      </c>
      <c r="N1361" s="16">
        <v>865284040164182</v>
      </c>
      <c r="O1361" s="16" t="s">
        <v>39</v>
      </c>
      <c r="P1361" s="17" t="s">
        <v>492</v>
      </c>
      <c r="Q1361" s="17" t="s">
        <v>4174</v>
      </c>
      <c r="R1361" s="18" t="s">
        <v>39</v>
      </c>
      <c r="S1361" s="19" t="s">
        <v>3584</v>
      </c>
      <c r="T1361" s="17"/>
      <c r="U1361" s="66"/>
    </row>
    <row r="1362" spans="2:21" s="15" customFormat="1" ht="29" x14ac:dyDescent="0.35">
      <c r="B1362" s="64">
        <v>45744</v>
      </c>
      <c r="C1362" s="17">
        <v>1256</v>
      </c>
      <c r="D1362" s="85" t="s">
        <v>3785</v>
      </c>
      <c r="E1362" s="85" t="s">
        <v>3584</v>
      </c>
      <c r="F1362" s="85" t="s">
        <v>1468</v>
      </c>
      <c r="G1362" s="17" t="s">
        <v>1805</v>
      </c>
      <c r="H1362" s="17" t="s">
        <v>1930</v>
      </c>
      <c r="I1362" s="145" t="s">
        <v>39</v>
      </c>
      <c r="J1362" s="17" t="s">
        <v>3789</v>
      </c>
      <c r="K1362" s="17" t="s">
        <v>3786</v>
      </c>
      <c r="L1362" s="17" t="s">
        <v>39</v>
      </c>
      <c r="M1362" s="16">
        <v>8135516718</v>
      </c>
      <c r="N1362" s="16">
        <v>865011033828857</v>
      </c>
      <c r="O1362" s="16" t="s">
        <v>3788</v>
      </c>
      <c r="P1362" s="17" t="s">
        <v>3787</v>
      </c>
      <c r="Q1362" s="17" t="s">
        <v>4174</v>
      </c>
      <c r="R1362" s="18" t="s">
        <v>39</v>
      </c>
      <c r="S1362" s="19" t="s">
        <v>3584</v>
      </c>
      <c r="T1362" s="17"/>
      <c r="U1362" s="66"/>
    </row>
    <row r="1363" spans="2:21" s="15" customFormat="1" ht="29" x14ac:dyDescent="0.35">
      <c r="B1363" s="64">
        <v>45744</v>
      </c>
      <c r="C1363" s="17">
        <v>1257</v>
      </c>
      <c r="D1363" s="85" t="s">
        <v>3790</v>
      </c>
      <c r="E1363" s="85" t="s">
        <v>3584</v>
      </c>
      <c r="F1363" s="85" t="s">
        <v>1468</v>
      </c>
      <c r="G1363" s="17" t="s">
        <v>1805</v>
      </c>
      <c r="H1363" s="17" t="s">
        <v>1930</v>
      </c>
      <c r="I1363" s="145" t="s">
        <v>39</v>
      </c>
      <c r="J1363" s="17" t="s">
        <v>26</v>
      </c>
      <c r="K1363" s="17" t="s">
        <v>3791</v>
      </c>
      <c r="L1363" s="17" t="s">
        <v>39</v>
      </c>
      <c r="M1363" s="16">
        <v>8121917585</v>
      </c>
      <c r="N1363" s="16">
        <v>865011034400334</v>
      </c>
      <c r="O1363" s="16" t="s">
        <v>476</v>
      </c>
      <c r="P1363" s="17" t="s">
        <v>39</v>
      </c>
      <c r="Q1363" s="17" t="s">
        <v>4174</v>
      </c>
      <c r="R1363" s="18" t="s">
        <v>39</v>
      </c>
      <c r="S1363" s="19" t="s">
        <v>3584</v>
      </c>
      <c r="T1363" s="17"/>
      <c r="U1363" s="66"/>
    </row>
    <row r="1364" spans="2:21" s="15" customFormat="1" ht="29" x14ac:dyDescent="0.35">
      <c r="B1364" s="64">
        <v>45744</v>
      </c>
      <c r="C1364" s="17">
        <v>1258</v>
      </c>
      <c r="D1364" s="85" t="s">
        <v>3793</v>
      </c>
      <c r="E1364" s="85" t="s">
        <v>3584</v>
      </c>
      <c r="F1364" s="85" t="s">
        <v>1468</v>
      </c>
      <c r="G1364" s="17" t="s">
        <v>1805</v>
      </c>
      <c r="H1364" s="17" t="s">
        <v>1930</v>
      </c>
      <c r="I1364" s="145" t="s">
        <v>39</v>
      </c>
      <c r="J1364" s="17" t="s">
        <v>2905</v>
      </c>
      <c r="K1364" s="17" t="s">
        <v>3792</v>
      </c>
      <c r="L1364" s="17" t="s">
        <v>39</v>
      </c>
      <c r="M1364" s="16">
        <v>8135518618</v>
      </c>
      <c r="N1364" s="16">
        <v>865011031939672</v>
      </c>
      <c r="O1364" s="16" t="s">
        <v>455</v>
      </c>
      <c r="P1364" s="17" t="s">
        <v>39</v>
      </c>
      <c r="Q1364" s="17" t="s">
        <v>4174</v>
      </c>
      <c r="R1364" s="18" t="s">
        <v>39</v>
      </c>
      <c r="S1364" s="19" t="s">
        <v>3584</v>
      </c>
      <c r="T1364" s="17"/>
      <c r="U1364" s="66"/>
    </row>
    <row r="1365" spans="2:21" s="15" customFormat="1" ht="29" x14ac:dyDescent="0.35">
      <c r="B1365" s="64">
        <v>45744</v>
      </c>
      <c r="C1365" s="17">
        <v>1259</v>
      </c>
      <c r="D1365" s="85" t="s">
        <v>3795</v>
      </c>
      <c r="E1365" s="85" t="s">
        <v>3584</v>
      </c>
      <c r="F1365" s="85" t="s">
        <v>1468</v>
      </c>
      <c r="G1365" s="17" t="s">
        <v>1805</v>
      </c>
      <c r="H1365" s="17" t="s">
        <v>1930</v>
      </c>
      <c r="I1365" s="145" t="s">
        <v>39</v>
      </c>
      <c r="J1365" s="17" t="s">
        <v>26</v>
      </c>
      <c r="K1365" s="17" t="s">
        <v>3794</v>
      </c>
      <c r="L1365" s="17" t="s">
        <v>39</v>
      </c>
      <c r="M1365" s="16">
        <v>8118227425</v>
      </c>
      <c r="N1365" s="16">
        <v>865011034400342</v>
      </c>
      <c r="O1365" s="16" t="s">
        <v>442</v>
      </c>
      <c r="P1365" s="17" t="s">
        <v>39</v>
      </c>
      <c r="Q1365" s="17" t="s">
        <v>4174</v>
      </c>
      <c r="R1365" s="18" t="s">
        <v>39</v>
      </c>
      <c r="S1365" s="19" t="s">
        <v>3584</v>
      </c>
      <c r="T1365" s="17"/>
      <c r="U1365" s="66"/>
    </row>
    <row r="1366" spans="2:21" s="15" customFormat="1" ht="29" x14ac:dyDescent="0.35">
      <c r="B1366" s="64">
        <v>45744</v>
      </c>
      <c r="C1366" s="17">
        <v>1260</v>
      </c>
      <c r="D1366" s="85" t="s">
        <v>3796</v>
      </c>
      <c r="E1366" s="85" t="s">
        <v>3584</v>
      </c>
      <c r="F1366" s="85" t="s">
        <v>1468</v>
      </c>
      <c r="G1366" s="17" t="s">
        <v>1805</v>
      </c>
      <c r="H1366" s="17" t="s">
        <v>1930</v>
      </c>
      <c r="I1366" s="145" t="s">
        <v>39</v>
      </c>
      <c r="J1366" s="17" t="s">
        <v>26</v>
      </c>
      <c r="K1366" s="17" t="s">
        <v>1222</v>
      </c>
      <c r="L1366" s="17" t="s">
        <v>39</v>
      </c>
      <c r="M1366" s="16">
        <v>8135518602</v>
      </c>
      <c r="N1366" s="38" t="s">
        <v>4210</v>
      </c>
      <c r="O1366" s="16" t="s">
        <v>440</v>
      </c>
      <c r="P1366" s="17" t="s">
        <v>39</v>
      </c>
      <c r="Q1366" s="17" t="s">
        <v>4174</v>
      </c>
      <c r="R1366" s="18" t="s">
        <v>39</v>
      </c>
      <c r="S1366" s="19" t="s">
        <v>3584</v>
      </c>
      <c r="T1366" s="17"/>
      <c r="U1366" s="66"/>
    </row>
    <row r="1367" spans="2:21" s="15" customFormat="1" ht="29" x14ac:dyDescent="0.35">
      <c r="B1367" s="64">
        <v>45744</v>
      </c>
      <c r="C1367" s="17">
        <v>1261</v>
      </c>
      <c r="D1367" s="85" t="s">
        <v>3797</v>
      </c>
      <c r="E1367" s="85" t="s">
        <v>3584</v>
      </c>
      <c r="F1367" s="85" t="s">
        <v>1468</v>
      </c>
      <c r="G1367" s="17" t="s">
        <v>1805</v>
      </c>
      <c r="H1367" s="17" t="s">
        <v>1930</v>
      </c>
      <c r="I1367" s="145" t="s">
        <v>39</v>
      </c>
      <c r="J1367" s="17" t="s">
        <v>3801</v>
      </c>
      <c r="K1367" s="17" t="s">
        <v>3798</v>
      </c>
      <c r="L1367" s="17" t="s">
        <v>39</v>
      </c>
      <c r="M1367" s="16">
        <v>345901014438521</v>
      </c>
      <c r="N1367" s="16">
        <v>863844052847685</v>
      </c>
      <c r="O1367" s="16" t="s">
        <v>3800</v>
      </c>
      <c r="P1367" s="17" t="s">
        <v>3799</v>
      </c>
      <c r="Q1367" s="17" t="s">
        <v>4174</v>
      </c>
      <c r="R1367" s="18" t="s">
        <v>39</v>
      </c>
      <c r="S1367" s="19" t="s">
        <v>3584</v>
      </c>
      <c r="T1367" s="17"/>
      <c r="U1367" s="66"/>
    </row>
    <row r="1368" spans="2:21" s="15" customFormat="1" ht="29" x14ac:dyDescent="0.35">
      <c r="B1368" s="64">
        <v>45744</v>
      </c>
      <c r="C1368" s="17">
        <v>1262</v>
      </c>
      <c r="D1368" s="85" t="s">
        <v>3802</v>
      </c>
      <c r="E1368" s="85" t="s">
        <v>3584</v>
      </c>
      <c r="F1368" s="85" t="s">
        <v>1468</v>
      </c>
      <c r="G1368" s="17" t="s">
        <v>1805</v>
      </c>
      <c r="H1368" s="17" t="s">
        <v>1930</v>
      </c>
      <c r="I1368" s="145" t="s">
        <v>39</v>
      </c>
      <c r="J1368" s="17" t="s">
        <v>3803</v>
      </c>
      <c r="K1368" s="14" t="s">
        <v>1230</v>
      </c>
      <c r="L1368" s="17" t="s">
        <v>39</v>
      </c>
      <c r="M1368" s="16">
        <v>8181615688</v>
      </c>
      <c r="N1368" s="16">
        <v>865011031971287</v>
      </c>
      <c r="O1368" s="16" t="s">
        <v>421</v>
      </c>
      <c r="P1368" s="17" t="s">
        <v>39</v>
      </c>
      <c r="Q1368" s="17" t="s">
        <v>4174</v>
      </c>
      <c r="R1368" s="18" t="s">
        <v>39</v>
      </c>
      <c r="S1368" s="19" t="s">
        <v>3584</v>
      </c>
      <c r="T1368" s="17"/>
      <c r="U1368" s="66"/>
    </row>
    <row r="1369" spans="2:21" s="15" customFormat="1" ht="29" x14ac:dyDescent="0.35">
      <c r="B1369" s="64">
        <v>45744</v>
      </c>
      <c r="C1369" s="17">
        <v>1263</v>
      </c>
      <c r="D1369" s="85" t="s">
        <v>3804</v>
      </c>
      <c r="E1369" s="85" t="s">
        <v>3584</v>
      </c>
      <c r="F1369" s="85" t="s">
        <v>1468</v>
      </c>
      <c r="G1369" s="17" t="s">
        <v>1805</v>
      </c>
      <c r="H1369" s="17" t="s">
        <v>1930</v>
      </c>
      <c r="I1369" s="145" t="s">
        <v>39</v>
      </c>
      <c r="J1369" s="17" t="s">
        <v>3807</v>
      </c>
      <c r="K1369" s="14" t="s">
        <v>1231</v>
      </c>
      <c r="L1369" s="17" t="s">
        <v>39</v>
      </c>
      <c r="M1369" s="16">
        <v>8126311141</v>
      </c>
      <c r="N1369" s="16">
        <v>865011030429253</v>
      </c>
      <c r="O1369" s="16" t="s">
        <v>3806</v>
      </c>
      <c r="P1369" s="17" t="s">
        <v>3805</v>
      </c>
      <c r="Q1369" s="17" t="s">
        <v>4174</v>
      </c>
      <c r="R1369" s="18" t="s">
        <v>39</v>
      </c>
      <c r="S1369" s="19" t="s">
        <v>3584</v>
      </c>
      <c r="T1369" s="17"/>
      <c r="U1369" s="66"/>
    </row>
    <row r="1370" spans="2:21" s="15" customFormat="1" ht="29" x14ac:dyDescent="0.35">
      <c r="B1370" s="64">
        <v>45744</v>
      </c>
      <c r="C1370" s="17">
        <v>1264</v>
      </c>
      <c r="D1370" s="85" t="s">
        <v>3809</v>
      </c>
      <c r="E1370" s="85" t="s">
        <v>3584</v>
      </c>
      <c r="F1370" s="85" t="s">
        <v>1468</v>
      </c>
      <c r="G1370" s="17" t="s">
        <v>1805</v>
      </c>
      <c r="H1370" s="17" t="s">
        <v>1930</v>
      </c>
      <c r="I1370" s="145" t="s">
        <v>39</v>
      </c>
      <c r="J1370" s="17" t="s">
        <v>26</v>
      </c>
      <c r="K1370" s="17" t="s">
        <v>3808</v>
      </c>
      <c r="L1370" s="17" t="s">
        <v>39</v>
      </c>
      <c r="M1370" s="16">
        <v>8126210845</v>
      </c>
      <c r="N1370" s="16">
        <v>865011034397126</v>
      </c>
      <c r="O1370" s="16" t="s">
        <v>3811</v>
      </c>
      <c r="P1370" s="17" t="s">
        <v>3810</v>
      </c>
      <c r="Q1370" s="17" t="s">
        <v>4174</v>
      </c>
      <c r="R1370" s="18" t="s">
        <v>39</v>
      </c>
      <c r="S1370" s="19" t="s">
        <v>3584</v>
      </c>
      <c r="T1370" s="17"/>
      <c r="U1370" s="66"/>
    </row>
    <row r="1371" spans="2:21" s="15" customFormat="1" ht="29" x14ac:dyDescent="0.35">
      <c r="B1371" s="64">
        <v>45744</v>
      </c>
      <c r="C1371" s="17">
        <v>1265</v>
      </c>
      <c r="D1371" s="85" t="s">
        <v>3812</v>
      </c>
      <c r="E1371" s="85" t="s">
        <v>3584</v>
      </c>
      <c r="F1371" s="85" t="s">
        <v>1468</v>
      </c>
      <c r="G1371" s="17" t="s">
        <v>1805</v>
      </c>
      <c r="H1371" s="17" t="s">
        <v>1930</v>
      </c>
      <c r="I1371" s="145" t="s">
        <v>39</v>
      </c>
      <c r="J1371" s="17" t="s">
        <v>26</v>
      </c>
      <c r="K1371" s="14" t="s">
        <v>1240</v>
      </c>
      <c r="L1371" s="17" t="s">
        <v>39</v>
      </c>
      <c r="M1371" s="16">
        <v>8116006937</v>
      </c>
      <c r="N1371" s="16">
        <v>865011034400292</v>
      </c>
      <c r="O1371" s="16" t="s">
        <v>39</v>
      </c>
      <c r="P1371" s="17" t="s">
        <v>3813</v>
      </c>
      <c r="Q1371" s="17" t="s">
        <v>4174</v>
      </c>
      <c r="R1371" s="18" t="s">
        <v>39</v>
      </c>
      <c r="S1371" s="19" t="s">
        <v>3584</v>
      </c>
      <c r="T1371" s="17"/>
      <c r="U1371" s="66"/>
    </row>
    <row r="1372" spans="2:21" s="15" customFormat="1" ht="29" x14ac:dyDescent="0.35">
      <c r="B1372" s="64">
        <v>45744</v>
      </c>
      <c r="C1372" s="17">
        <v>1266</v>
      </c>
      <c r="D1372" s="85" t="s">
        <v>3814</v>
      </c>
      <c r="E1372" s="85" t="s">
        <v>3584</v>
      </c>
      <c r="F1372" s="85" t="s">
        <v>1468</v>
      </c>
      <c r="G1372" s="17" t="s">
        <v>1805</v>
      </c>
      <c r="H1372" s="17" t="s">
        <v>1930</v>
      </c>
      <c r="I1372" s="145" t="s">
        <v>39</v>
      </c>
      <c r="J1372" s="17" t="s">
        <v>3817</v>
      </c>
      <c r="K1372" s="14" t="s">
        <v>1241</v>
      </c>
      <c r="L1372" s="17" t="s">
        <v>39</v>
      </c>
      <c r="M1372" s="16">
        <v>8116006961</v>
      </c>
      <c r="N1372" s="16">
        <v>865011034399247</v>
      </c>
      <c r="O1372" s="16" t="s">
        <v>3816</v>
      </c>
      <c r="P1372" s="17" t="s">
        <v>3815</v>
      </c>
      <c r="Q1372" s="17" t="s">
        <v>4174</v>
      </c>
      <c r="R1372" s="18" t="s">
        <v>39</v>
      </c>
      <c r="S1372" s="19" t="s">
        <v>3584</v>
      </c>
      <c r="T1372" s="17"/>
      <c r="U1372" s="66"/>
    </row>
    <row r="1373" spans="2:21" s="15" customFormat="1" ht="29" x14ac:dyDescent="0.35">
      <c r="B1373" s="64">
        <v>45744</v>
      </c>
      <c r="C1373" s="17">
        <v>1267</v>
      </c>
      <c r="D1373" s="85" t="s">
        <v>3818</v>
      </c>
      <c r="E1373" s="85" t="s">
        <v>3584</v>
      </c>
      <c r="F1373" s="85" t="s">
        <v>1468</v>
      </c>
      <c r="G1373" s="17" t="s">
        <v>1805</v>
      </c>
      <c r="H1373" s="17" t="s">
        <v>1930</v>
      </c>
      <c r="I1373" s="145" t="s">
        <v>39</v>
      </c>
      <c r="J1373" s="17" t="s">
        <v>3819</v>
      </c>
      <c r="K1373" s="14" t="s">
        <v>1247</v>
      </c>
      <c r="L1373" s="17" t="s">
        <v>39</v>
      </c>
      <c r="M1373" s="16">
        <v>8118011424</v>
      </c>
      <c r="N1373" s="16">
        <v>865011034738899</v>
      </c>
      <c r="O1373" s="16" t="s">
        <v>393</v>
      </c>
      <c r="P1373" s="17" t="s">
        <v>39</v>
      </c>
      <c r="Q1373" s="17" t="s">
        <v>4174</v>
      </c>
      <c r="R1373" s="18" t="s">
        <v>39</v>
      </c>
      <c r="S1373" s="19" t="s">
        <v>3584</v>
      </c>
      <c r="T1373" s="17"/>
      <c r="U1373" s="66"/>
    </row>
    <row r="1374" spans="2:21" s="15" customFormat="1" ht="29" x14ac:dyDescent="0.35">
      <c r="B1374" s="64">
        <v>45744</v>
      </c>
      <c r="C1374" s="17">
        <v>1268</v>
      </c>
      <c r="D1374" s="85" t="s">
        <v>4211</v>
      </c>
      <c r="E1374" s="85" t="s">
        <v>3584</v>
      </c>
      <c r="F1374" s="85" t="s">
        <v>1468</v>
      </c>
      <c r="G1374" s="17" t="s">
        <v>1805</v>
      </c>
      <c r="H1374" s="17" t="s">
        <v>1930</v>
      </c>
      <c r="I1374" s="145" t="s">
        <v>39</v>
      </c>
      <c r="J1374" s="17" t="s">
        <v>382</v>
      </c>
      <c r="K1374" s="17" t="s">
        <v>3820</v>
      </c>
      <c r="L1374" s="17" t="s">
        <v>39</v>
      </c>
      <c r="M1374" s="16">
        <v>8116007024</v>
      </c>
      <c r="N1374" s="16">
        <v>865011034738782</v>
      </c>
      <c r="O1374" s="16" t="s">
        <v>39</v>
      </c>
      <c r="P1374" s="17" t="s">
        <v>381</v>
      </c>
      <c r="Q1374" s="17" t="s">
        <v>4174</v>
      </c>
      <c r="R1374" s="18" t="s">
        <v>39</v>
      </c>
      <c r="S1374" s="19" t="s">
        <v>3584</v>
      </c>
      <c r="T1374" s="17"/>
      <c r="U1374" s="66"/>
    </row>
    <row r="1375" spans="2:21" s="15" customFormat="1" ht="29" x14ac:dyDescent="0.35">
      <c r="B1375" s="64">
        <v>45744</v>
      </c>
      <c r="C1375" s="17">
        <v>1269</v>
      </c>
      <c r="D1375" s="85" t="s">
        <v>3821</v>
      </c>
      <c r="E1375" s="85" t="s">
        <v>3584</v>
      </c>
      <c r="F1375" s="85" t="s">
        <v>1468</v>
      </c>
      <c r="G1375" s="17" t="s">
        <v>1805</v>
      </c>
      <c r="H1375" s="17" t="s">
        <v>1930</v>
      </c>
      <c r="I1375" s="145" t="s">
        <v>39</v>
      </c>
      <c r="J1375" s="14" t="s">
        <v>376</v>
      </c>
      <c r="K1375" s="14" t="s">
        <v>1254</v>
      </c>
      <c r="L1375" s="17" t="s">
        <v>39</v>
      </c>
      <c r="M1375" s="16">
        <v>8135516683</v>
      </c>
      <c r="N1375" s="16">
        <v>865011033828758</v>
      </c>
      <c r="O1375" s="16" t="s">
        <v>3822</v>
      </c>
      <c r="P1375" s="17" t="s">
        <v>39</v>
      </c>
      <c r="Q1375" s="17" t="s">
        <v>4174</v>
      </c>
      <c r="R1375" s="18" t="s">
        <v>39</v>
      </c>
      <c r="S1375" s="19" t="s">
        <v>3584</v>
      </c>
      <c r="T1375" s="17"/>
      <c r="U1375" s="66"/>
    </row>
    <row r="1376" spans="2:21" s="15" customFormat="1" ht="29" x14ac:dyDescent="0.35">
      <c r="B1376" s="64">
        <v>45744</v>
      </c>
      <c r="C1376" s="17">
        <v>1270</v>
      </c>
      <c r="D1376" s="85" t="s">
        <v>3823</v>
      </c>
      <c r="E1376" s="85" t="s">
        <v>3584</v>
      </c>
      <c r="F1376" s="85" t="s">
        <v>1468</v>
      </c>
      <c r="G1376" s="17" t="s">
        <v>1805</v>
      </c>
      <c r="H1376" s="17" t="s">
        <v>1930</v>
      </c>
      <c r="I1376" s="145" t="s">
        <v>39</v>
      </c>
      <c r="J1376" s="17" t="s">
        <v>24</v>
      </c>
      <c r="K1376" s="14" t="s">
        <v>1255</v>
      </c>
      <c r="L1376" s="17" t="s">
        <v>39</v>
      </c>
      <c r="M1376" s="16">
        <v>8128601971</v>
      </c>
      <c r="N1376" s="16">
        <v>865011034739566</v>
      </c>
      <c r="O1376" s="16" t="s">
        <v>3825</v>
      </c>
      <c r="P1376" s="17" t="s">
        <v>3824</v>
      </c>
      <c r="Q1376" s="17" t="s">
        <v>4174</v>
      </c>
      <c r="R1376" s="18" t="s">
        <v>39</v>
      </c>
      <c r="S1376" s="19" t="s">
        <v>3584</v>
      </c>
      <c r="T1376" s="17"/>
      <c r="U1376" s="66"/>
    </row>
    <row r="1377" spans="2:21" s="15" customFormat="1" ht="29" x14ac:dyDescent="0.35">
      <c r="B1377" s="64">
        <v>45744</v>
      </c>
      <c r="C1377" s="17">
        <v>1271</v>
      </c>
      <c r="D1377" s="85" t="s">
        <v>3826</v>
      </c>
      <c r="E1377" s="85" t="s">
        <v>3584</v>
      </c>
      <c r="F1377" s="85" t="s">
        <v>1468</v>
      </c>
      <c r="G1377" s="17" t="s">
        <v>1805</v>
      </c>
      <c r="H1377" s="17" t="s">
        <v>1930</v>
      </c>
      <c r="I1377" s="145" t="s">
        <v>39</v>
      </c>
      <c r="J1377" s="17" t="s">
        <v>3827</v>
      </c>
      <c r="K1377" s="17" t="s">
        <v>1257</v>
      </c>
      <c r="L1377" s="17" t="s">
        <v>39</v>
      </c>
      <c r="M1377" s="16">
        <v>8128601964</v>
      </c>
      <c r="N1377" s="16">
        <v>865011034741406</v>
      </c>
      <c r="O1377" s="14" t="s">
        <v>4212</v>
      </c>
      <c r="P1377" s="17" t="s">
        <v>39</v>
      </c>
      <c r="Q1377" s="17" t="s">
        <v>4174</v>
      </c>
      <c r="R1377" s="18" t="s">
        <v>39</v>
      </c>
      <c r="S1377" s="19" t="s">
        <v>3584</v>
      </c>
      <c r="T1377" s="17"/>
      <c r="U1377" s="66"/>
    </row>
    <row r="1378" spans="2:21" s="15" customFormat="1" ht="29" x14ac:dyDescent="0.35">
      <c r="B1378" s="64">
        <v>45744</v>
      </c>
      <c r="C1378" s="17">
        <v>1272</v>
      </c>
      <c r="D1378" s="85" t="s">
        <v>3829</v>
      </c>
      <c r="E1378" s="85" t="s">
        <v>3584</v>
      </c>
      <c r="F1378" s="85" t="s">
        <v>1468</v>
      </c>
      <c r="G1378" s="17" t="s">
        <v>1805</v>
      </c>
      <c r="H1378" s="17" t="s">
        <v>1930</v>
      </c>
      <c r="I1378" s="145" t="s">
        <v>39</v>
      </c>
      <c r="J1378" s="17" t="s">
        <v>3832</v>
      </c>
      <c r="K1378" s="17" t="s">
        <v>3828</v>
      </c>
      <c r="L1378" s="17" t="s">
        <v>39</v>
      </c>
      <c r="M1378" s="16">
        <v>8120013129</v>
      </c>
      <c r="N1378" s="16">
        <v>865011034739871</v>
      </c>
      <c r="O1378" s="16" t="s">
        <v>3831</v>
      </c>
      <c r="P1378" s="17" t="s">
        <v>3830</v>
      </c>
      <c r="Q1378" s="17" t="s">
        <v>4174</v>
      </c>
      <c r="R1378" s="18" t="s">
        <v>39</v>
      </c>
      <c r="S1378" s="19" t="s">
        <v>3584</v>
      </c>
      <c r="T1378" s="17"/>
      <c r="U1378" s="66"/>
    </row>
    <row r="1379" spans="2:21" s="15" customFormat="1" ht="29" x14ac:dyDescent="0.35">
      <c r="B1379" s="64">
        <v>45744</v>
      </c>
      <c r="C1379" s="17">
        <v>1273</v>
      </c>
      <c r="D1379" s="85" t="s">
        <v>3833</v>
      </c>
      <c r="E1379" s="85" t="s">
        <v>3584</v>
      </c>
      <c r="F1379" s="85" t="s">
        <v>1468</v>
      </c>
      <c r="G1379" s="17" t="s">
        <v>1805</v>
      </c>
      <c r="H1379" s="17" t="s">
        <v>1930</v>
      </c>
      <c r="I1379" s="145" t="s">
        <v>39</v>
      </c>
      <c r="J1379" s="17" t="s">
        <v>26</v>
      </c>
      <c r="K1379" s="17" t="s">
        <v>1265</v>
      </c>
      <c r="L1379" s="17" t="s">
        <v>39</v>
      </c>
      <c r="M1379" s="16">
        <v>8134058890</v>
      </c>
      <c r="N1379" s="16">
        <v>865011034749136</v>
      </c>
      <c r="O1379" s="16" t="s">
        <v>359</v>
      </c>
      <c r="P1379" s="17" t="s">
        <v>39</v>
      </c>
      <c r="Q1379" s="17" t="s">
        <v>4174</v>
      </c>
      <c r="R1379" s="18" t="s">
        <v>39</v>
      </c>
      <c r="S1379" s="19" t="s">
        <v>3584</v>
      </c>
      <c r="T1379" s="17"/>
      <c r="U1379" s="66"/>
    </row>
    <row r="1380" spans="2:21" s="15" customFormat="1" ht="29" x14ac:dyDescent="0.35">
      <c r="B1380" s="64">
        <v>45744</v>
      </c>
      <c r="C1380" s="17">
        <v>1274</v>
      </c>
      <c r="D1380" s="85" t="s">
        <v>3834</v>
      </c>
      <c r="E1380" s="85" t="s">
        <v>3584</v>
      </c>
      <c r="F1380" s="85" t="s">
        <v>1468</v>
      </c>
      <c r="G1380" s="17" t="s">
        <v>1805</v>
      </c>
      <c r="H1380" s="17" t="s">
        <v>1930</v>
      </c>
      <c r="I1380" s="145" t="s">
        <v>39</v>
      </c>
      <c r="J1380" s="17" t="s">
        <v>26</v>
      </c>
      <c r="K1380" s="17" t="s">
        <v>1268</v>
      </c>
      <c r="L1380" s="17" t="s">
        <v>39</v>
      </c>
      <c r="M1380" s="16">
        <v>8110449057</v>
      </c>
      <c r="N1380" s="16">
        <v>865011034749086</v>
      </c>
      <c r="O1380" s="16" t="s">
        <v>352</v>
      </c>
      <c r="P1380" s="17" t="s">
        <v>39</v>
      </c>
      <c r="Q1380" s="17" t="s">
        <v>4174</v>
      </c>
      <c r="R1380" s="18" t="s">
        <v>39</v>
      </c>
      <c r="S1380" s="19" t="s">
        <v>3584</v>
      </c>
      <c r="T1380" s="17"/>
      <c r="U1380" s="66"/>
    </row>
    <row r="1381" spans="2:21" s="15" customFormat="1" ht="29" x14ac:dyDescent="0.35">
      <c r="B1381" s="64">
        <v>45744</v>
      </c>
      <c r="C1381" s="17">
        <v>1275</v>
      </c>
      <c r="D1381" s="85" t="s">
        <v>3836</v>
      </c>
      <c r="E1381" s="85" t="s">
        <v>3584</v>
      </c>
      <c r="F1381" s="85" t="s">
        <v>1468</v>
      </c>
      <c r="G1381" s="17" t="s">
        <v>1805</v>
      </c>
      <c r="H1381" s="17" t="s">
        <v>1930</v>
      </c>
      <c r="I1381" s="145" t="s">
        <v>39</v>
      </c>
      <c r="J1381" s="17" t="s">
        <v>26</v>
      </c>
      <c r="K1381" s="17" t="s">
        <v>3835</v>
      </c>
      <c r="L1381" s="17" t="s">
        <v>39</v>
      </c>
      <c r="M1381" s="16">
        <v>8120013066</v>
      </c>
      <c r="N1381" s="16">
        <v>864606047594386</v>
      </c>
      <c r="O1381" s="16" t="s">
        <v>39</v>
      </c>
      <c r="P1381" s="17" t="s">
        <v>349</v>
      </c>
      <c r="Q1381" s="17" t="s">
        <v>4174</v>
      </c>
      <c r="R1381" s="18" t="s">
        <v>39</v>
      </c>
      <c r="S1381" s="19" t="s">
        <v>3584</v>
      </c>
      <c r="T1381" s="17"/>
      <c r="U1381" s="66"/>
    </row>
    <row r="1382" spans="2:21" s="15" customFormat="1" ht="29" x14ac:dyDescent="0.35">
      <c r="B1382" s="64">
        <v>45744</v>
      </c>
      <c r="C1382" s="17">
        <v>1276</v>
      </c>
      <c r="D1382" s="85" t="s">
        <v>3837</v>
      </c>
      <c r="E1382" s="85" t="s">
        <v>3584</v>
      </c>
      <c r="F1382" s="85" t="s">
        <v>1468</v>
      </c>
      <c r="G1382" s="17" t="s">
        <v>1805</v>
      </c>
      <c r="H1382" s="17" t="s">
        <v>1930</v>
      </c>
      <c r="I1382" s="145" t="s">
        <v>39</v>
      </c>
      <c r="J1382" s="17" t="s">
        <v>26</v>
      </c>
      <c r="K1382" s="17" t="s">
        <v>1275</v>
      </c>
      <c r="L1382" s="17" t="s">
        <v>39</v>
      </c>
      <c r="M1382" s="16">
        <v>8120166371</v>
      </c>
      <c r="N1382" s="16">
        <v>862193028142206</v>
      </c>
      <c r="O1382" s="16" t="s">
        <v>3839</v>
      </c>
      <c r="P1382" s="17" t="s">
        <v>3838</v>
      </c>
      <c r="Q1382" s="17" t="s">
        <v>4174</v>
      </c>
      <c r="R1382" s="18" t="s">
        <v>39</v>
      </c>
      <c r="S1382" s="19" t="s">
        <v>3584</v>
      </c>
      <c r="T1382" s="17"/>
      <c r="U1382" s="66"/>
    </row>
    <row r="1383" spans="2:21" s="15" customFormat="1" ht="29" x14ac:dyDescent="0.35">
      <c r="B1383" s="64">
        <v>45744</v>
      </c>
      <c r="C1383" s="17">
        <v>1277</v>
      </c>
      <c r="D1383" s="85" t="s">
        <v>3841</v>
      </c>
      <c r="E1383" s="85" t="s">
        <v>3584</v>
      </c>
      <c r="F1383" s="85" t="s">
        <v>1468</v>
      </c>
      <c r="G1383" s="17" t="s">
        <v>1805</v>
      </c>
      <c r="H1383" s="17" t="s">
        <v>1930</v>
      </c>
      <c r="I1383" s="145" t="s">
        <v>39</v>
      </c>
      <c r="J1383" s="17" t="s">
        <v>24</v>
      </c>
      <c r="K1383" s="95" t="s">
        <v>3840</v>
      </c>
      <c r="L1383" s="17" t="s">
        <v>39</v>
      </c>
      <c r="M1383" s="16">
        <v>8118241462</v>
      </c>
      <c r="N1383" s="16">
        <v>863844051238373</v>
      </c>
      <c r="O1383" s="16" t="s">
        <v>3843</v>
      </c>
      <c r="P1383" s="17" t="s">
        <v>3842</v>
      </c>
      <c r="Q1383" s="17" t="s">
        <v>4174</v>
      </c>
      <c r="R1383" s="18" t="s">
        <v>39</v>
      </c>
      <c r="S1383" s="19" t="s">
        <v>3584</v>
      </c>
      <c r="T1383" s="17"/>
      <c r="U1383" s="66"/>
    </row>
    <row r="1384" spans="2:21" s="15" customFormat="1" ht="29" x14ac:dyDescent="0.35">
      <c r="B1384" s="64">
        <v>45744</v>
      </c>
      <c r="C1384" s="17">
        <v>1278</v>
      </c>
      <c r="D1384" s="85" t="s">
        <v>3845</v>
      </c>
      <c r="E1384" s="85" t="s">
        <v>3584</v>
      </c>
      <c r="F1384" s="85" t="s">
        <v>1468</v>
      </c>
      <c r="G1384" s="17" t="s">
        <v>1805</v>
      </c>
      <c r="H1384" s="17" t="s">
        <v>1930</v>
      </c>
      <c r="I1384" s="145" t="s">
        <v>39</v>
      </c>
      <c r="J1384" s="17" t="s">
        <v>26</v>
      </c>
      <c r="K1384" s="17" t="s">
        <v>3844</v>
      </c>
      <c r="L1384" s="17" t="s">
        <v>39</v>
      </c>
      <c r="M1384" s="16">
        <v>8123544892</v>
      </c>
      <c r="N1384" s="16">
        <v>868034000292227</v>
      </c>
      <c r="O1384" s="16" t="s">
        <v>3847</v>
      </c>
      <c r="P1384" s="17" t="s">
        <v>3846</v>
      </c>
      <c r="Q1384" s="17" t="s">
        <v>4174</v>
      </c>
      <c r="R1384" s="18" t="s">
        <v>39</v>
      </c>
      <c r="S1384" s="19" t="s">
        <v>3584</v>
      </c>
      <c r="T1384" s="17"/>
      <c r="U1384" s="66"/>
    </row>
    <row r="1385" spans="2:21" s="15" customFormat="1" ht="29" x14ac:dyDescent="0.35">
      <c r="B1385" s="64">
        <v>45744</v>
      </c>
      <c r="C1385" s="17">
        <v>1279</v>
      </c>
      <c r="D1385" s="85" t="s">
        <v>3848</v>
      </c>
      <c r="E1385" s="85" t="s">
        <v>3584</v>
      </c>
      <c r="F1385" s="85" t="s">
        <v>1468</v>
      </c>
      <c r="G1385" s="17" t="s">
        <v>1805</v>
      </c>
      <c r="H1385" s="17" t="s">
        <v>1930</v>
      </c>
      <c r="I1385" s="145" t="s">
        <v>39</v>
      </c>
      <c r="J1385" s="17" t="s">
        <v>26</v>
      </c>
      <c r="K1385" s="14" t="s">
        <v>1280</v>
      </c>
      <c r="L1385" s="17" t="s">
        <v>39</v>
      </c>
      <c r="M1385" s="16">
        <v>8120302330</v>
      </c>
      <c r="N1385" s="38" t="s">
        <v>4214</v>
      </c>
      <c r="O1385" s="16" t="s">
        <v>3850</v>
      </c>
      <c r="P1385" s="17" t="s">
        <v>3849</v>
      </c>
      <c r="Q1385" s="17" t="s">
        <v>4174</v>
      </c>
      <c r="R1385" s="18" t="s">
        <v>39</v>
      </c>
      <c r="S1385" s="19" t="s">
        <v>3584</v>
      </c>
      <c r="T1385" s="17"/>
      <c r="U1385" s="66"/>
    </row>
    <row r="1386" spans="2:21" s="15" customFormat="1" ht="29" x14ac:dyDescent="0.35">
      <c r="B1386" s="64">
        <v>45744</v>
      </c>
      <c r="C1386" s="17">
        <v>1280</v>
      </c>
      <c r="D1386" s="85" t="s">
        <v>3852</v>
      </c>
      <c r="E1386" s="85" t="s">
        <v>3584</v>
      </c>
      <c r="F1386" s="85" t="s">
        <v>1468</v>
      </c>
      <c r="G1386" s="17" t="s">
        <v>1805</v>
      </c>
      <c r="H1386" s="17" t="s">
        <v>1930</v>
      </c>
      <c r="I1386" s="145" t="s">
        <v>39</v>
      </c>
      <c r="J1386" s="17" t="s">
        <v>26</v>
      </c>
      <c r="K1386" s="17" t="s">
        <v>3851</v>
      </c>
      <c r="L1386" s="17" t="s">
        <v>39</v>
      </c>
      <c r="M1386" s="16">
        <v>8180772262</v>
      </c>
      <c r="N1386" s="16">
        <v>863756050044745</v>
      </c>
      <c r="O1386" s="16" t="s">
        <v>3853</v>
      </c>
      <c r="P1386" s="14" t="s">
        <v>4215</v>
      </c>
      <c r="Q1386" s="17" t="s">
        <v>4174</v>
      </c>
      <c r="R1386" s="18" t="s">
        <v>39</v>
      </c>
      <c r="S1386" s="19" t="s">
        <v>3584</v>
      </c>
      <c r="T1386" s="17"/>
      <c r="U1386" s="66"/>
    </row>
    <row r="1387" spans="2:21" s="15" customFormat="1" ht="29" x14ac:dyDescent="0.35">
      <c r="B1387" s="64">
        <v>45744</v>
      </c>
      <c r="C1387" s="17">
        <v>1281</v>
      </c>
      <c r="D1387" s="85" t="s">
        <v>3854</v>
      </c>
      <c r="E1387" s="85" t="s">
        <v>3584</v>
      </c>
      <c r="F1387" s="85" t="s">
        <v>1468</v>
      </c>
      <c r="G1387" s="17" t="s">
        <v>1805</v>
      </c>
      <c r="H1387" s="17" t="s">
        <v>1930</v>
      </c>
      <c r="I1387" s="145" t="s">
        <v>39</v>
      </c>
      <c r="J1387" s="17" t="s">
        <v>26</v>
      </c>
      <c r="K1387" s="17" t="s">
        <v>3855</v>
      </c>
      <c r="L1387" s="17" t="s">
        <v>39</v>
      </c>
      <c r="M1387" s="16">
        <v>8123530336</v>
      </c>
      <c r="N1387" s="16">
        <v>863756050059776</v>
      </c>
      <c r="O1387" s="16" t="s">
        <v>3857</v>
      </c>
      <c r="P1387" s="17" t="s">
        <v>3856</v>
      </c>
      <c r="Q1387" s="17" t="s">
        <v>4174</v>
      </c>
      <c r="R1387" s="18" t="s">
        <v>39</v>
      </c>
      <c r="S1387" s="19" t="s">
        <v>3584</v>
      </c>
      <c r="T1387" s="17"/>
      <c r="U1387" s="66"/>
    </row>
    <row r="1388" spans="2:21" s="15" customFormat="1" ht="29" x14ac:dyDescent="0.35">
      <c r="B1388" s="64">
        <v>45744</v>
      </c>
      <c r="C1388" s="17">
        <v>1282</v>
      </c>
      <c r="D1388" s="85" t="s">
        <v>3859</v>
      </c>
      <c r="E1388" s="85" t="s">
        <v>3584</v>
      </c>
      <c r="F1388" s="85" t="s">
        <v>1468</v>
      </c>
      <c r="G1388" s="17" t="s">
        <v>1805</v>
      </c>
      <c r="H1388" s="17" t="s">
        <v>1930</v>
      </c>
      <c r="I1388" s="145" t="s">
        <v>39</v>
      </c>
      <c r="J1388" s="17" t="s">
        <v>24</v>
      </c>
      <c r="K1388" s="17" t="s">
        <v>3858</v>
      </c>
      <c r="L1388" s="17" t="s">
        <v>39</v>
      </c>
      <c r="M1388" s="16">
        <v>8116039768</v>
      </c>
      <c r="N1388" s="16">
        <v>863756050045593</v>
      </c>
      <c r="O1388" s="16" t="s">
        <v>3860</v>
      </c>
      <c r="P1388" s="14" t="s">
        <v>4216</v>
      </c>
      <c r="Q1388" s="17" t="s">
        <v>4174</v>
      </c>
      <c r="R1388" s="18" t="s">
        <v>39</v>
      </c>
      <c r="S1388" s="19" t="s">
        <v>3584</v>
      </c>
      <c r="T1388" s="17"/>
      <c r="U1388" s="66"/>
    </row>
    <row r="1389" spans="2:21" s="15" customFormat="1" ht="29" x14ac:dyDescent="0.35">
      <c r="B1389" s="64">
        <v>45744</v>
      </c>
      <c r="C1389" s="17">
        <v>1283</v>
      </c>
      <c r="D1389" s="85" t="s">
        <v>3862</v>
      </c>
      <c r="E1389" s="85" t="s">
        <v>3584</v>
      </c>
      <c r="F1389" s="85" t="s">
        <v>1468</v>
      </c>
      <c r="G1389" s="17" t="s">
        <v>1805</v>
      </c>
      <c r="H1389" s="17" t="s">
        <v>1930</v>
      </c>
      <c r="I1389" s="145" t="s">
        <v>39</v>
      </c>
      <c r="J1389" s="17" t="s">
        <v>26</v>
      </c>
      <c r="K1389" s="17" t="s">
        <v>3861</v>
      </c>
      <c r="L1389" s="17" t="s">
        <v>39</v>
      </c>
      <c r="M1389" s="16">
        <v>8126310857</v>
      </c>
      <c r="N1389" s="16">
        <v>863756050056525</v>
      </c>
      <c r="O1389" s="16" t="s">
        <v>3864</v>
      </c>
      <c r="P1389" s="17" t="s">
        <v>3863</v>
      </c>
      <c r="Q1389" s="17" t="s">
        <v>4174</v>
      </c>
      <c r="R1389" s="18" t="s">
        <v>39</v>
      </c>
      <c r="S1389" s="19" t="s">
        <v>3584</v>
      </c>
      <c r="T1389" s="17"/>
      <c r="U1389" s="66"/>
    </row>
    <row r="1390" spans="2:21" s="15" customFormat="1" ht="29" x14ac:dyDescent="0.35">
      <c r="B1390" s="64">
        <v>45744</v>
      </c>
      <c r="C1390" s="17">
        <v>1284</v>
      </c>
      <c r="D1390" s="85" t="s">
        <v>3866</v>
      </c>
      <c r="E1390" s="85" t="s">
        <v>3584</v>
      </c>
      <c r="F1390" s="85" t="s">
        <v>1468</v>
      </c>
      <c r="G1390" s="17" t="s">
        <v>1805</v>
      </c>
      <c r="H1390" s="17" t="s">
        <v>1930</v>
      </c>
      <c r="I1390" s="145" t="s">
        <v>39</v>
      </c>
      <c r="J1390" s="17" t="s">
        <v>26</v>
      </c>
      <c r="K1390" s="17" t="s">
        <v>3865</v>
      </c>
      <c r="L1390" s="17" t="s">
        <v>39</v>
      </c>
      <c r="M1390" s="16">
        <v>8118226605</v>
      </c>
      <c r="N1390" s="16">
        <v>863756050072779</v>
      </c>
      <c r="O1390" s="16" t="s">
        <v>3868</v>
      </c>
      <c r="P1390" s="17" t="s">
        <v>3867</v>
      </c>
      <c r="Q1390" s="17" t="s">
        <v>4174</v>
      </c>
      <c r="R1390" s="18" t="s">
        <v>39</v>
      </c>
      <c r="S1390" s="19" t="s">
        <v>3584</v>
      </c>
      <c r="T1390" s="17"/>
      <c r="U1390" s="66"/>
    </row>
    <row r="1391" spans="2:21" s="15" customFormat="1" ht="29" x14ac:dyDescent="0.35">
      <c r="B1391" s="64">
        <v>45744</v>
      </c>
      <c r="C1391" s="17">
        <v>1285</v>
      </c>
      <c r="D1391" s="85" t="s">
        <v>3870</v>
      </c>
      <c r="E1391" s="85" t="s">
        <v>3584</v>
      </c>
      <c r="F1391" s="85" t="s">
        <v>1468</v>
      </c>
      <c r="G1391" s="17" t="s">
        <v>1805</v>
      </c>
      <c r="H1391" s="17" t="s">
        <v>1930</v>
      </c>
      <c r="I1391" s="145" t="s">
        <v>39</v>
      </c>
      <c r="J1391" s="17" t="s">
        <v>26</v>
      </c>
      <c r="K1391" s="17" t="s">
        <v>3869</v>
      </c>
      <c r="L1391" s="17" t="s">
        <v>39</v>
      </c>
      <c r="M1391" s="16">
        <v>8116008105</v>
      </c>
      <c r="N1391" s="16">
        <v>868166052932365</v>
      </c>
      <c r="O1391" s="16" t="s">
        <v>3872</v>
      </c>
      <c r="P1391" s="17" t="s">
        <v>3871</v>
      </c>
      <c r="Q1391" s="17" t="s">
        <v>4174</v>
      </c>
      <c r="R1391" s="18" t="s">
        <v>39</v>
      </c>
      <c r="S1391" s="19" t="s">
        <v>3584</v>
      </c>
      <c r="T1391" s="17"/>
      <c r="U1391" s="66"/>
    </row>
    <row r="1392" spans="2:21" s="15" customFormat="1" ht="29" x14ac:dyDescent="0.35">
      <c r="B1392" s="64">
        <v>45744</v>
      </c>
      <c r="C1392" s="17">
        <v>1286</v>
      </c>
      <c r="D1392" s="85" t="s">
        <v>3873</v>
      </c>
      <c r="E1392" s="85" t="s">
        <v>3584</v>
      </c>
      <c r="F1392" s="85" t="s">
        <v>1468</v>
      </c>
      <c r="G1392" s="17" t="s">
        <v>1805</v>
      </c>
      <c r="H1392" s="17" t="s">
        <v>1930</v>
      </c>
      <c r="I1392" s="145" t="s">
        <v>39</v>
      </c>
      <c r="J1392" s="17" t="s">
        <v>24</v>
      </c>
      <c r="K1392" s="14" t="s">
        <v>1291</v>
      </c>
      <c r="L1392" s="17" t="s">
        <v>39</v>
      </c>
      <c r="M1392" s="16">
        <v>8116006510</v>
      </c>
      <c r="N1392" s="16">
        <v>863756050059586</v>
      </c>
      <c r="O1392" s="16" t="s">
        <v>3875</v>
      </c>
      <c r="P1392" s="17" t="s">
        <v>3874</v>
      </c>
      <c r="Q1392" s="17" t="s">
        <v>4174</v>
      </c>
      <c r="R1392" s="18" t="s">
        <v>39</v>
      </c>
      <c r="S1392" s="19" t="s">
        <v>3584</v>
      </c>
      <c r="T1392" s="17"/>
      <c r="U1392" s="66"/>
    </row>
    <row r="1393" spans="2:21" s="15" customFormat="1" ht="29" x14ac:dyDescent="0.35">
      <c r="B1393" s="64">
        <v>45744</v>
      </c>
      <c r="C1393" s="17">
        <v>1287</v>
      </c>
      <c r="D1393" s="85" t="s">
        <v>3876</v>
      </c>
      <c r="E1393" s="85" t="s">
        <v>3584</v>
      </c>
      <c r="F1393" s="85" t="s">
        <v>1468</v>
      </c>
      <c r="G1393" s="17" t="s">
        <v>1805</v>
      </c>
      <c r="H1393" s="17" t="s">
        <v>1930</v>
      </c>
      <c r="I1393" s="145" t="s">
        <v>39</v>
      </c>
      <c r="J1393" s="17" t="s">
        <v>26</v>
      </c>
      <c r="K1393" s="17" t="s">
        <v>4217</v>
      </c>
      <c r="L1393" s="17" t="s">
        <v>39</v>
      </c>
      <c r="M1393" s="16">
        <v>8118249772</v>
      </c>
      <c r="N1393" s="16">
        <v>863756050122574</v>
      </c>
      <c r="O1393" s="16" t="s">
        <v>39</v>
      </c>
      <c r="P1393" s="17" t="s">
        <v>295</v>
      </c>
      <c r="Q1393" s="17" t="s">
        <v>4174</v>
      </c>
      <c r="R1393" s="18" t="s">
        <v>39</v>
      </c>
      <c r="S1393" s="19" t="s">
        <v>3584</v>
      </c>
      <c r="T1393" s="17"/>
      <c r="U1393" s="66"/>
    </row>
    <row r="1394" spans="2:21" s="15" customFormat="1" ht="29" x14ac:dyDescent="0.35">
      <c r="B1394" s="64">
        <v>45744</v>
      </c>
      <c r="C1394" s="17">
        <v>1288</v>
      </c>
      <c r="D1394" s="85" t="s">
        <v>3877</v>
      </c>
      <c r="E1394" s="85" t="s">
        <v>3584</v>
      </c>
      <c r="F1394" s="85" t="s">
        <v>1468</v>
      </c>
      <c r="G1394" s="17" t="s">
        <v>1805</v>
      </c>
      <c r="H1394" s="17" t="s">
        <v>1930</v>
      </c>
      <c r="I1394" s="145" t="s">
        <v>39</v>
      </c>
      <c r="J1394" s="17" t="s">
        <v>26</v>
      </c>
      <c r="K1394" s="17" t="s">
        <v>1296</v>
      </c>
      <c r="L1394" s="17" t="s">
        <v>39</v>
      </c>
      <c r="M1394" s="16">
        <v>8119774805</v>
      </c>
      <c r="N1394" s="16">
        <v>863756050113235</v>
      </c>
      <c r="O1394" s="16" t="s">
        <v>271</v>
      </c>
      <c r="P1394" s="17" t="s">
        <v>39</v>
      </c>
      <c r="Q1394" s="17" t="s">
        <v>4174</v>
      </c>
      <c r="R1394" s="18" t="s">
        <v>39</v>
      </c>
      <c r="S1394" s="19" t="s">
        <v>3584</v>
      </c>
      <c r="T1394" s="17"/>
      <c r="U1394" s="66"/>
    </row>
    <row r="1395" spans="2:21" s="15" customFormat="1" ht="29" x14ac:dyDescent="0.35">
      <c r="B1395" s="64">
        <v>45744</v>
      </c>
      <c r="C1395" s="17">
        <v>1289</v>
      </c>
      <c r="D1395" s="85" t="s">
        <v>3878</v>
      </c>
      <c r="E1395" s="85" t="s">
        <v>3584</v>
      </c>
      <c r="F1395" s="85" t="s">
        <v>1468</v>
      </c>
      <c r="G1395" s="17" t="s">
        <v>1805</v>
      </c>
      <c r="H1395" s="17" t="s">
        <v>1930</v>
      </c>
      <c r="I1395" s="145" t="s">
        <v>39</v>
      </c>
      <c r="J1395" s="17" t="s">
        <v>26</v>
      </c>
      <c r="K1395" s="17" t="s">
        <v>1303</v>
      </c>
      <c r="L1395" s="17" t="s">
        <v>39</v>
      </c>
      <c r="M1395" s="16">
        <v>8180209186</v>
      </c>
      <c r="N1395" s="16">
        <v>359857083953190</v>
      </c>
      <c r="O1395" s="16" t="s">
        <v>39</v>
      </c>
      <c r="P1395" s="17" t="s">
        <v>256</v>
      </c>
      <c r="Q1395" s="17" t="s">
        <v>4174</v>
      </c>
      <c r="R1395" s="18" t="s">
        <v>39</v>
      </c>
      <c r="S1395" s="19" t="s">
        <v>3584</v>
      </c>
      <c r="T1395" s="17"/>
      <c r="U1395" s="66"/>
    </row>
    <row r="1396" spans="2:21" s="15" customFormat="1" ht="29" x14ac:dyDescent="0.35">
      <c r="B1396" s="64">
        <v>45744</v>
      </c>
      <c r="C1396" s="17">
        <v>1290</v>
      </c>
      <c r="D1396" s="85" t="s">
        <v>3879</v>
      </c>
      <c r="E1396" s="85" t="s">
        <v>3584</v>
      </c>
      <c r="F1396" s="85" t="s">
        <v>1468</v>
      </c>
      <c r="G1396" s="17" t="s">
        <v>1805</v>
      </c>
      <c r="H1396" s="17" t="s">
        <v>1930</v>
      </c>
      <c r="I1396" s="145" t="s">
        <v>39</v>
      </c>
      <c r="J1396" s="17" t="s">
        <v>26</v>
      </c>
      <c r="K1396" s="58" t="s">
        <v>1313</v>
      </c>
      <c r="L1396" s="17" t="s">
        <v>39</v>
      </c>
      <c r="M1396" s="16">
        <v>8134058863</v>
      </c>
      <c r="N1396" s="16">
        <v>869220040532156</v>
      </c>
      <c r="O1396" s="16" t="s">
        <v>3881</v>
      </c>
      <c r="P1396" s="17" t="s">
        <v>3880</v>
      </c>
      <c r="Q1396" s="17" t="s">
        <v>4174</v>
      </c>
      <c r="R1396" s="18" t="s">
        <v>39</v>
      </c>
      <c r="S1396" s="19" t="s">
        <v>3584</v>
      </c>
      <c r="T1396" s="17"/>
      <c r="U1396" s="66"/>
    </row>
    <row r="1397" spans="2:21" s="15" customFormat="1" ht="29" x14ac:dyDescent="0.35">
      <c r="B1397" s="64">
        <v>45744</v>
      </c>
      <c r="C1397" s="17">
        <v>1291</v>
      </c>
      <c r="D1397" s="85" t="s">
        <v>3882</v>
      </c>
      <c r="E1397" s="85" t="s">
        <v>3584</v>
      </c>
      <c r="F1397" s="85" t="s">
        <v>1468</v>
      </c>
      <c r="G1397" s="17" t="s">
        <v>1805</v>
      </c>
      <c r="H1397" s="17" t="s">
        <v>1930</v>
      </c>
      <c r="I1397" s="145" t="s">
        <v>39</v>
      </c>
      <c r="J1397" s="17" t="s">
        <v>26</v>
      </c>
      <c r="K1397" s="17" t="s">
        <v>1314</v>
      </c>
      <c r="L1397" s="17" t="s">
        <v>39</v>
      </c>
      <c r="M1397" s="16">
        <v>8123210884</v>
      </c>
      <c r="N1397" s="16">
        <v>869220040532479</v>
      </c>
      <c r="O1397" s="16" t="s">
        <v>3177</v>
      </c>
      <c r="P1397" s="17" t="s">
        <v>3176</v>
      </c>
      <c r="Q1397" s="17" t="s">
        <v>4174</v>
      </c>
      <c r="R1397" s="18" t="s">
        <v>39</v>
      </c>
      <c r="S1397" s="19" t="s">
        <v>3584</v>
      </c>
      <c r="T1397" s="17"/>
      <c r="U1397" s="66"/>
    </row>
    <row r="1398" spans="2:21" s="15" customFormat="1" ht="29" x14ac:dyDescent="0.35">
      <c r="B1398" s="64">
        <v>45744</v>
      </c>
      <c r="C1398" s="17">
        <v>1292</v>
      </c>
      <c r="D1398" s="85" t="s">
        <v>3883</v>
      </c>
      <c r="E1398" s="85" t="s">
        <v>3584</v>
      </c>
      <c r="F1398" s="85" t="s">
        <v>1468</v>
      </c>
      <c r="G1398" s="17" t="s">
        <v>1805</v>
      </c>
      <c r="H1398" s="17" t="s">
        <v>1930</v>
      </c>
      <c r="I1398" s="145" t="s">
        <v>39</v>
      </c>
      <c r="J1398" s="17" t="s">
        <v>26</v>
      </c>
      <c r="K1398" s="17" t="s">
        <v>3885</v>
      </c>
      <c r="L1398" s="17" t="s">
        <v>39</v>
      </c>
      <c r="M1398" s="16">
        <v>8123211478</v>
      </c>
      <c r="N1398" s="16">
        <v>869220040534582</v>
      </c>
      <c r="O1398" s="16" t="s">
        <v>234</v>
      </c>
      <c r="P1398" s="17" t="s">
        <v>39</v>
      </c>
      <c r="Q1398" s="17" t="s">
        <v>4174</v>
      </c>
      <c r="R1398" s="18" t="s">
        <v>39</v>
      </c>
      <c r="S1398" s="19" t="s">
        <v>3584</v>
      </c>
      <c r="T1398" s="17"/>
      <c r="U1398" s="66"/>
    </row>
    <row r="1399" spans="2:21" s="15" customFormat="1" ht="29" x14ac:dyDescent="0.35">
      <c r="B1399" s="64">
        <v>45744</v>
      </c>
      <c r="C1399" s="17">
        <v>1293</v>
      </c>
      <c r="D1399" s="85" t="s">
        <v>3884</v>
      </c>
      <c r="E1399" s="85" t="s">
        <v>3584</v>
      </c>
      <c r="F1399" s="85" t="s">
        <v>1468</v>
      </c>
      <c r="G1399" s="17" t="s">
        <v>1805</v>
      </c>
      <c r="H1399" s="17" t="s">
        <v>1930</v>
      </c>
      <c r="I1399" s="145" t="s">
        <v>39</v>
      </c>
      <c r="J1399" s="17" t="s">
        <v>26</v>
      </c>
      <c r="K1399" s="17" t="s">
        <v>1318</v>
      </c>
      <c r="L1399" s="17" t="s">
        <v>39</v>
      </c>
      <c r="M1399" s="16">
        <v>8126201678</v>
      </c>
      <c r="N1399" s="16">
        <v>868166053906053</v>
      </c>
      <c r="O1399" s="16" t="s">
        <v>228</v>
      </c>
      <c r="P1399" s="17" t="s">
        <v>39</v>
      </c>
      <c r="Q1399" s="17" t="s">
        <v>4174</v>
      </c>
      <c r="R1399" s="18" t="s">
        <v>39</v>
      </c>
      <c r="S1399" s="19" t="s">
        <v>3584</v>
      </c>
      <c r="T1399" s="17"/>
      <c r="U1399" s="66"/>
    </row>
    <row r="1400" spans="2:21" s="15" customFormat="1" ht="29" x14ac:dyDescent="0.35">
      <c r="B1400" s="64">
        <v>45744</v>
      </c>
      <c r="C1400" s="17">
        <v>1294</v>
      </c>
      <c r="D1400" s="85" t="s">
        <v>3886</v>
      </c>
      <c r="E1400" s="85" t="s">
        <v>3584</v>
      </c>
      <c r="F1400" s="85" t="s">
        <v>1468</v>
      </c>
      <c r="G1400" s="17" t="s">
        <v>1805</v>
      </c>
      <c r="H1400" s="17" t="s">
        <v>1930</v>
      </c>
      <c r="I1400" s="145" t="s">
        <v>39</v>
      </c>
      <c r="J1400" s="17" t="s">
        <v>26</v>
      </c>
      <c r="K1400" s="95" t="s">
        <v>1320</v>
      </c>
      <c r="L1400" s="17" t="s">
        <v>39</v>
      </c>
      <c r="M1400" s="16">
        <v>8120305289</v>
      </c>
      <c r="N1400" s="16">
        <v>863844052820856</v>
      </c>
      <c r="O1400" s="16" t="s">
        <v>3888</v>
      </c>
      <c r="P1400" s="17" t="s">
        <v>3887</v>
      </c>
      <c r="Q1400" s="17" t="s">
        <v>4174</v>
      </c>
      <c r="R1400" s="18" t="s">
        <v>39</v>
      </c>
      <c r="S1400" s="19" t="s">
        <v>3584</v>
      </c>
      <c r="T1400" s="17"/>
      <c r="U1400" s="66"/>
    </row>
    <row r="1401" spans="2:21" s="15" customFormat="1" ht="29" x14ac:dyDescent="0.35">
      <c r="B1401" s="64">
        <v>45744</v>
      </c>
      <c r="C1401" s="17">
        <v>1295</v>
      </c>
      <c r="D1401" s="85" t="s">
        <v>3889</v>
      </c>
      <c r="E1401" s="85" t="s">
        <v>3584</v>
      </c>
      <c r="F1401" s="85" t="s">
        <v>1468</v>
      </c>
      <c r="G1401" s="17" t="s">
        <v>1805</v>
      </c>
      <c r="H1401" s="17" t="s">
        <v>1930</v>
      </c>
      <c r="I1401" s="145" t="s">
        <v>39</v>
      </c>
      <c r="J1401" s="17" t="s">
        <v>74</v>
      </c>
      <c r="K1401" s="58" t="s">
        <v>1322</v>
      </c>
      <c r="L1401" s="17" t="s">
        <v>39</v>
      </c>
      <c r="M1401" s="16">
        <v>8110770067</v>
      </c>
      <c r="N1401" s="16">
        <v>865011034400326</v>
      </c>
      <c r="O1401" s="16" t="s">
        <v>39</v>
      </c>
      <c r="P1401" s="17" t="s">
        <v>3890</v>
      </c>
      <c r="Q1401" s="17" t="s">
        <v>4174</v>
      </c>
      <c r="R1401" s="18" t="s">
        <v>39</v>
      </c>
      <c r="S1401" s="19" t="s">
        <v>3584</v>
      </c>
      <c r="T1401" s="17"/>
      <c r="U1401" s="66"/>
    </row>
    <row r="1402" spans="2:21" s="15" customFormat="1" ht="29" x14ac:dyDescent="0.35">
      <c r="B1402" s="64">
        <v>45744</v>
      </c>
      <c r="C1402" s="17">
        <v>1296</v>
      </c>
      <c r="D1402" s="85" t="s">
        <v>3891</v>
      </c>
      <c r="E1402" s="85" t="s">
        <v>3584</v>
      </c>
      <c r="F1402" s="85" t="s">
        <v>1468</v>
      </c>
      <c r="G1402" s="17" t="s">
        <v>1805</v>
      </c>
      <c r="H1402" s="17" t="s">
        <v>1930</v>
      </c>
      <c r="I1402" s="145" t="s">
        <v>39</v>
      </c>
      <c r="J1402" s="17" t="s">
        <v>209</v>
      </c>
      <c r="K1402" s="17" t="s">
        <v>1325</v>
      </c>
      <c r="L1402" s="17" t="s">
        <v>39</v>
      </c>
      <c r="M1402" s="16">
        <v>8120324958</v>
      </c>
      <c r="N1402" s="16">
        <v>869220040534111</v>
      </c>
      <c r="O1402" s="16" t="s">
        <v>3893</v>
      </c>
      <c r="P1402" s="17" t="s">
        <v>3892</v>
      </c>
      <c r="Q1402" s="17" t="s">
        <v>4174</v>
      </c>
      <c r="R1402" s="18" t="s">
        <v>39</v>
      </c>
      <c r="S1402" s="19" t="s">
        <v>3584</v>
      </c>
      <c r="T1402" s="17"/>
      <c r="U1402" s="66"/>
    </row>
    <row r="1403" spans="2:21" s="15" customFormat="1" ht="29" x14ac:dyDescent="0.35">
      <c r="B1403" s="64">
        <v>45744</v>
      </c>
      <c r="C1403" s="17">
        <v>1297</v>
      </c>
      <c r="D1403" s="85" t="s">
        <v>3895</v>
      </c>
      <c r="E1403" s="85" t="s">
        <v>3584</v>
      </c>
      <c r="F1403" s="85" t="s">
        <v>1468</v>
      </c>
      <c r="G1403" s="17" t="s">
        <v>1805</v>
      </c>
      <c r="H1403" s="17" t="s">
        <v>1930</v>
      </c>
      <c r="I1403" s="145" t="s">
        <v>39</v>
      </c>
      <c r="J1403" s="17" t="s">
        <v>26</v>
      </c>
      <c r="K1403" s="17" t="s">
        <v>3894</v>
      </c>
      <c r="L1403" s="17" t="s">
        <v>39</v>
      </c>
      <c r="M1403" s="16">
        <v>8123218992</v>
      </c>
      <c r="N1403" s="16">
        <v>865011034742545</v>
      </c>
      <c r="O1403" s="16" t="s">
        <v>208</v>
      </c>
      <c r="P1403" s="17" t="s">
        <v>39</v>
      </c>
      <c r="Q1403" s="17" t="s">
        <v>4174</v>
      </c>
      <c r="R1403" s="18" t="s">
        <v>39</v>
      </c>
      <c r="S1403" s="19" t="s">
        <v>3584</v>
      </c>
      <c r="T1403" s="17"/>
      <c r="U1403" s="66"/>
    </row>
    <row r="1404" spans="2:21" s="15" customFormat="1" ht="29" x14ac:dyDescent="0.35">
      <c r="B1404" s="64">
        <v>45744</v>
      </c>
      <c r="C1404" s="17">
        <v>1298</v>
      </c>
      <c r="D1404" s="85" t="s">
        <v>3897</v>
      </c>
      <c r="E1404" s="85" t="s">
        <v>3584</v>
      </c>
      <c r="F1404" s="85" t="s">
        <v>1468</v>
      </c>
      <c r="G1404" s="17" t="s">
        <v>1805</v>
      </c>
      <c r="H1404" s="17" t="s">
        <v>1930</v>
      </c>
      <c r="I1404" s="145" t="s">
        <v>39</v>
      </c>
      <c r="J1404" s="17" t="s">
        <v>3899</v>
      </c>
      <c r="K1404" s="17" t="s">
        <v>3896</v>
      </c>
      <c r="L1404" s="17" t="s">
        <v>39</v>
      </c>
      <c r="M1404" s="16">
        <v>8180521025</v>
      </c>
      <c r="N1404" s="16">
        <v>868166053315370</v>
      </c>
      <c r="O1404" s="16" t="s">
        <v>39</v>
      </c>
      <c r="P1404" s="17" t="s">
        <v>3898</v>
      </c>
      <c r="Q1404" s="17" t="s">
        <v>4174</v>
      </c>
      <c r="R1404" s="18" t="s">
        <v>39</v>
      </c>
      <c r="S1404" s="19" t="s">
        <v>3584</v>
      </c>
      <c r="T1404" s="17"/>
      <c r="U1404" s="66"/>
    </row>
    <row r="1405" spans="2:21" s="15" customFormat="1" ht="29" x14ac:dyDescent="0.35">
      <c r="B1405" s="64">
        <v>45744</v>
      </c>
      <c r="C1405" s="17">
        <v>1299</v>
      </c>
      <c r="D1405" s="85" t="s">
        <v>3901</v>
      </c>
      <c r="E1405" s="85" t="s">
        <v>3584</v>
      </c>
      <c r="F1405" s="85" t="s">
        <v>1468</v>
      </c>
      <c r="G1405" s="17" t="s">
        <v>1805</v>
      </c>
      <c r="H1405" s="17" t="s">
        <v>1930</v>
      </c>
      <c r="I1405" s="145" t="s">
        <v>39</v>
      </c>
      <c r="J1405" s="17" t="s">
        <v>26</v>
      </c>
      <c r="K1405" s="17" t="s">
        <v>3900</v>
      </c>
      <c r="L1405" s="17" t="s">
        <v>39</v>
      </c>
      <c r="M1405" s="16">
        <v>8116007045</v>
      </c>
      <c r="N1405" s="16">
        <v>359857084513480</v>
      </c>
      <c r="O1405" s="16" t="s">
        <v>196</v>
      </c>
      <c r="P1405" s="17" t="s">
        <v>39</v>
      </c>
      <c r="Q1405" s="17" t="s">
        <v>4174</v>
      </c>
      <c r="R1405" s="18" t="s">
        <v>39</v>
      </c>
      <c r="S1405" s="19" t="s">
        <v>3584</v>
      </c>
      <c r="T1405" s="17"/>
      <c r="U1405" s="66"/>
    </row>
    <row r="1406" spans="2:21" s="15" customFormat="1" ht="29" x14ac:dyDescent="0.35">
      <c r="B1406" s="64">
        <v>45744</v>
      </c>
      <c r="C1406" s="17">
        <v>1300</v>
      </c>
      <c r="D1406" s="85" t="s">
        <v>3902</v>
      </c>
      <c r="E1406" s="85" t="s">
        <v>3584</v>
      </c>
      <c r="F1406" s="85" t="s">
        <v>1468</v>
      </c>
      <c r="G1406" s="17" t="s">
        <v>1805</v>
      </c>
      <c r="H1406" s="17" t="s">
        <v>1930</v>
      </c>
      <c r="I1406" s="145" t="s">
        <v>39</v>
      </c>
      <c r="J1406" s="17" t="s">
        <v>26</v>
      </c>
      <c r="K1406" s="17" t="s">
        <v>1330</v>
      </c>
      <c r="L1406" s="17" t="s">
        <v>39</v>
      </c>
      <c r="M1406" s="16">
        <v>8126220342</v>
      </c>
      <c r="N1406" s="16">
        <v>868166053314845</v>
      </c>
      <c r="O1406" s="16" t="s">
        <v>3904</v>
      </c>
      <c r="P1406" s="17" t="s">
        <v>3903</v>
      </c>
      <c r="Q1406" s="17" t="s">
        <v>4174</v>
      </c>
      <c r="R1406" s="18" t="s">
        <v>39</v>
      </c>
      <c r="S1406" s="19" t="s">
        <v>3584</v>
      </c>
      <c r="T1406" s="17"/>
      <c r="U1406" s="66"/>
    </row>
    <row r="1407" spans="2:21" s="15" customFormat="1" ht="29" x14ac:dyDescent="0.35">
      <c r="B1407" s="64">
        <v>45744</v>
      </c>
      <c r="C1407" s="17">
        <v>1301</v>
      </c>
      <c r="D1407" s="85" t="s">
        <v>3905</v>
      </c>
      <c r="E1407" s="85" t="s">
        <v>3584</v>
      </c>
      <c r="F1407" s="85" t="s">
        <v>1468</v>
      </c>
      <c r="G1407" s="17" t="s">
        <v>1805</v>
      </c>
      <c r="H1407" s="17" t="s">
        <v>1930</v>
      </c>
      <c r="I1407" s="144" t="s">
        <v>39</v>
      </c>
      <c r="J1407" s="14" t="s">
        <v>173</v>
      </c>
      <c r="K1407" s="17" t="s">
        <v>1338</v>
      </c>
      <c r="L1407" s="17" t="s">
        <v>39</v>
      </c>
      <c r="M1407" s="16">
        <v>8119887372</v>
      </c>
      <c r="N1407" s="16">
        <v>863756050122632</v>
      </c>
      <c r="O1407" s="16" t="s">
        <v>3907</v>
      </c>
      <c r="P1407" s="17" t="s">
        <v>3906</v>
      </c>
      <c r="Q1407" s="17" t="s">
        <v>4174</v>
      </c>
      <c r="R1407" s="18" t="s">
        <v>39</v>
      </c>
      <c r="S1407" s="19" t="s">
        <v>3584</v>
      </c>
      <c r="T1407" s="17"/>
      <c r="U1407" s="66"/>
    </row>
    <row r="1408" spans="2:21" s="15" customFormat="1" ht="29" x14ac:dyDescent="0.35">
      <c r="B1408" s="64">
        <v>45744</v>
      </c>
      <c r="C1408" s="17">
        <v>1302</v>
      </c>
      <c r="D1408" s="85" t="s">
        <v>3908</v>
      </c>
      <c r="E1408" s="85" t="s">
        <v>3584</v>
      </c>
      <c r="F1408" s="85" t="s">
        <v>1468</v>
      </c>
      <c r="G1408" s="17" t="s">
        <v>1805</v>
      </c>
      <c r="H1408" s="17" t="s">
        <v>1930</v>
      </c>
      <c r="I1408" s="145" t="s">
        <v>39</v>
      </c>
      <c r="J1408" s="14" t="s">
        <v>164</v>
      </c>
      <c r="K1408" s="17" t="s">
        <v>1341</v>
      </c>
      <c r="L1408" s="17" t="s">
        <v>39</v>
      </c>
      <c r="M1408" s="16">
        <v>8134058885</v>
      </c>
      <c r="N1408" s="16">
        <v>868166053312799</v>
      </c>
      <c r="O1408" s="16" t="s">
        <v>3910</v>
      </c>
      <c r="P1408" s="17" t="s">
        <v>3909</v>
      </c>
      <c r="Q1408" s="17" t="s">
        <v>4174</v>
      </c>
      <c r="R1408" s="18" t="s">
        <v>39</v>
      </c>
      <c r="S1408" s="19" t="s">
        <v>3584</v>
      </c>
      <c r="T1408" s="17"/>
      <c r="U1408" s="66"/>
    </row>
    <row r="1409" spans="2:21" s="15" customFormat="1" ht="29" x14ac:dyDescent="0.35">
      <c r="B1409" s="64">
        <v>45744</v>
      </c>
      <c r="C1409" s="17">
        <v>1303</v>
      </c>
      <c r="D1409" s="85" t="s">
        <v>3911</v>
      </c>
      <c r="E1409" s="85" t="s">
        <v>3584</v>
      </c>
      <c r="F1409" s="85" t="s">
        <v>1468</v>
      </c>
      <c r="G1409" s="17" t="s">
        <v>1805</v>
      </c>
      <c r="H1409" s="17" t="s">
        <v>1930</v>
      </c>
      <c r="I1409" s="145" t="s">
        <v>39</v>
      </c>
      <c r="J1409" s="14" t="s">
        <v>163</v>
      </c>
      <c r="K1409" s="17" t="s">
        <v>1342</v>
      </c>
      <c r="L1409" s="17" t="s">
        <v>39</v>
      </c>
      <c r="M1409" s="16">
        <v>8135518603</v>
      </c>
      <c r="N1409" s="16">
        <v>868166053311064</v>
      </c>
      <c r="O1409" s="16" t="s">
        <v>39</v>
      </c>
      <c r="P1409" s="17" t="s">
        <v>162</v>
      </c>
      <c r="Q1409" s="17" t="s">
        <v>4174</v>
      </c>
      <c r="R1409" s="18" t="s">
        <v>39</v>
      </c>
      <c r="S1409" s="19" t="s">
        <v>3584</v>
      </c>
      <c r="T1409" s="17"/>
      <c r="U1409" s="66"/>
    </row>
    <row r="1410" spans="2:21" s="15" customFormat="1" ht="29" x14ac:dyDescent="0.35">
      <c r="B1410" s="64">
        <v>45744</v>
      </c>
      <c r="C1410" s="17">
        <v>1304</v>
      </c>
      <c r="D1410" s="85" t="s">
        <v>3912</v>
      </c>
      <c r="E1410" s="85" t="s">
        <v>3584</v>
      </c>
      <c r="F1410" s="85" t="s">
        <v>1468</v>
      </c>
      <c r="G1410" s="17" t="s">
        <v>1805</v>
      </c>
      <c r="H1410" s="17" t="s">
        <v>1930</v>
      </c>
      <c r="I1410" s="145" t="s">
        <v>39</v>
      </c>
      <c r="J1410" s="17" t="s">
        <v>26</v>
      </c>
      <c r="K1410" s="14" t="s">
        <v>1347</v>
      </c>
      <c r="L1410" s="17" t="s">
        <v>39</v>
      </c>
      <c r="M1410" s="16">
        <v>8120013058</v>
      </c>
      <c r="N1410" s="16">
        <v>865011033031395</v>
      </c>
      <c r="O1410" s="16" t="s">
        <v>3914</v>
      </c>
      <c r="P1410" s="17" t="s">
        <v>3913</v>
      </c>
      <c r="Q1410" s="17" t="s">
        <v>4174</v>
      </c>
      <c r="R1410" s="18" t="s">
        <v>39</v>
      </c>
      <c r="S1410" s="19" t="s">
        <v>3584</v>
      </c>
      <c r="T1410" s="17"/>
      <c r="U1410" s="66"/>
    </row>
    <row r="1411" spans="2:21" s="15" customFormat="1" ht="29" x14ac:dyDescent="0.35">
      <c r="B1411" s="64">
        <v>45744</v>
      </c>
      <c r="C1411" s="17">
        <v>1305</v>
      </c>
      <c r="D1411" s="85" t="s">
        <v>3916</v>
      </c>
      <c r="E1411" s="85" t="s">
        <v>3584</v>
      </c>
      <c r="F1411" s="85" t="s">
        <v>1468</v>
      </c>
      <c r="G1411" s="17" t="s">
        <v>1805</v>
      </c>
      <c r="H1411" s="17" t="s">
        <v>1930</v>
      </c>
      <c r="I1411" s="145" t="s">
        <v>39</v>
      </c>
      <c r="J1411" s="17" t="s">
        <v>26</v>
      </c>
      <c r="K1411" s="17" t="s">
        <v>3915</v>
      </c>
      <c r="L1411" s="17" t="s">
        <v>39</v>
      </c>
      <c r="M1411" s="16">
        <v>8118249878</v>
      </c>
      <c r="N1411" s="16">
        <v>865011032759798</v>
      </c>
      <c r="O1411" s="16" t="s">
        <v>3918</v>
      </c>
      <c r="P1411" s="17" t="s">
        <v>3917</v>
      </c>
      <c r="Q1411" s="17" t="s">
        <v>4174</v>
      </c>
      <c r="R1411" s="18" t="s">
        <v>39</v>
      </c>
      <c r="S1411" s="19" t="s">
        <v>3584</v>
      </c>
      <c r="T1411" s="17"/>
      <c r="U1411" s="66"/>
    </row>
    <row r="1412" spans="2:21" s="15" customFormat="1" ht="29" x14ac:dyDescent="0.35">
      <c r="B1412" s="64">
        <v>45744</v>
      </c>
      <c r="C1412" s="17">
        <v>1306</v>
      </c>
      <c r="D1412" s="85" t="s">
        <v>3919</v>
      </c>
      <c r="E1412" s="85" t="s">
        <v>3584</v>
      </c>
      <c r="F1412" s="85" t="s">
        <v>1468</v>
      </c>
      <c r="G1412" s="17" t="s">
        <v>1805</v>
      </c>
      <c r="H1412" s="17" t="s">
        <v>1930</v>
      </c>
      <c r="I1412" s="145" t="s">
        <v>39</v>
      </c>
      <c r="J1412" s="17" t="s">
        <v>26</v>
      </c>
      <c r="K1412" s="17" t="s">
        <v>1462</v>
      </c>
      <c r="L1412" s="17" t="s">
        <v>39</v>
      </c>
      <c r="M1412" s="16">
        <v>8119085184</v>
      </c>
      <c r="N1412" s="16">
        <v>865011034740945</v>
      </c>
      <c r="O1412" s="16" t="s">
        <v>137</v>
      </c>
      <c r="P1412" s="17" t="s">
        <v>39</v>
      </c>
      <c r="Q1412" s="17" t="s">
        <v>4174</v>
      </c>
      <c r="R1412" s="18" t="s">
        <v>39</v>
      </c>
      <c r="S1412" s="19" t="s">
        <v>3584</v>
      </c>
      <c r="T1412" s="17"/>
      <c r="U1412" s="66"/>
    </row>
    <row r="1413" spans="2:21" s="15" customFormat="1" ht="29" x14ac:dyDescent="0.35">
      <c r="B1413" s="64">
        <v>45744</v>
      </c>
      <c r="C1413" s="17">
        <v>1307</v>
      </c>
      <c r="D1413" s="85" t="s">
        <v>3920</v>
      </c>
      <c r="E1413" s="85" t="s">
        <v>3584</v>
      </c>
      <c r="F1413" s="85" t="s">
        <v>1468</v>
      </c>
      <c r="G1413" s="17" t="s">
        <v>1805</v>
      </c>
      <c r="H1413" s="17" t="s">
        <v>1930</v>
      </c>
      <c r="I1413" s="145" t="s">
        <v>39</v>
      </c>
      <c r="J1413" s="17" t="s">
        <v>26</v>
      </c>
      <c r="K1413" s="17" t="s">
        <v>1356</v>
      </c>
      <c r="L1413" s="17" t="s">
        <v>39</v>
      </c>
      <c r="M1413" s="16">
        <v>8110222686</v>
      </c>
      <c r="N1413" s="16">
        <v>868166053313797</v>
      </c>
      <c r="O1413" s="16" t="s">
        <v>39</v>
      </c>
      <c r="P1413" s="17" t="s">
        <v>135</v>
      </c>
      <c r="Q1413" s="17" t="s">
        <v>4174</v>
      </c>
      <c r="R1413" s="18" t="s">
        <v>39</v>
      </c>
      <c r="S1413" s="19" t="s">
        <v>3584</v>
      </c>
      <c r="T1413" s="17"/>
      <c r="U1413" s="66"/>
    </row>
    <row r="1414" spans="2:21" s="15" customFormat="1" ht="29" x14ac:dyDescent="0.35">
      <c r="B1414" s="64">
        <v>45744</v>
      </c>
      <c r="C1414" s="17">
        <v>1308</v>
      </c>
      <c r="D1414" s="85" t="s">
        <v>3921</v>
      </c>
      <c r="E1414" s="85" t="s">
        <v>3584</v>
      </c>
      <c r="F1414" s="85" t="s">
        <v>1468</v>
      </c>
      <c r="G1414" s="17" t="s">
        <v>1805</v>
      </c>
      <c r="H1414" s="17" t="s">
        <v>1930</v>
      </c>
      <c r="I1414" s="145" t="s">
        <v>39</v>
      </c>
      <c r="J1414" s="17" t="s">
        <v>127</v>
      </c>
      <c r="K1414" s="17" t="s">
        <v>4227</v>
      </c>
      <c r="L1414" s="17" t="s">
        <v>39</v>
      </c>
      <c r="M1414" s="16">
        <v>8112520193</v>
      </c>
      <c r="N1414" s="16">
        <v>868166053312690</v>
      </c>
      <c r="O1414" s="16" t="s">
        <v>3923</v>
      </c>
      <c r="P1414" s="17" t="s">
        <v>3922</v>
      </c>
      <c r="Q1414" s="17" t="s">
        <v>4174</v>
      </c>
      <c r="R1414" s="18" t="s">
        <v>39</v>
      </c>
      <c r="S1414" s="19" t="s">
        <v>3584</v>
      </c>
      <c r="T1414" s="17"/>
      <c r="U1414" s="66"/>
    </row>
    <row r="1415" spans="2:21" s="15" customFormat="1" ht="29" x14ac:dyDescent="0.35">
      <c r="B1415" s="64">
        <v>45744</v>
      </c>
      <c r="C1415" s="17">
        <v>1309</v>
      </c>
      <c r="D1415" s="85" t="s">
        <v>3924</v>
      </c>
      <c r="E1415" s="85" t="s">
        <v>3584</v>
      </c>
      <c r="F1415" s="85" t="s">
        <v>1468</v>
      </c>
      <c r="G1415" s="17" t="s">
        <v>1805</v>
      </c>
      <c r="H1415" s="17" t="s">
        <v>1930</v>
      </c>
      <c r="I1415" s="145" t="s">
        <v>39</v>
      </c>
      <c r="J1415" s="17" t="s">
        <v>26</v>
      </c>
      <c r="K1415" s="95" t="s">
        <v>1357</v>
      </c>
      <c r="L1415" s="17" t="s">
        <v>39</v>
      </c>
      <c r="M1415" s="16">
        <v>8112259758</v>
      </c>
      <c r="N1415" s="16">
        <v>868166053312898</v>
      </c>
      <c r="O1415" s="16" t="s">
        <v>3926</v>
      </c>
      <c r="P1415" s="17" t="s">
        <v>3925</v>
      </c>
      <c r="Q1415" s="17" t="s">
        <v>4174</v>
      </c>
      <c r="R1415" s="18" t="s">
        <v>39</v>
      </c>
      <c r="S1415" s="19" t="s">
        <v>3584</v>
      </c>
      <c r="T1415" s="17"/>
      <c r="U1415" s="66"/>
    </row>
    <row r="1416" spans="2:21" s="15" customFormat="1" ht="29" x14ac:dyDescent="0.35">
      <c r="B1416" s="64">
        <v>45744</v>
      </c>
      <c r="C1416" s="17">
        <v>1310</v>
      </c>
      <c r="D1416" s="85" t="s">
        <v>3927</v>
      </c>
      <c r="E1416" s="85" t="s">
        <v>3584</v>
      </c>
      <c r="F1416" s="85" t="s">
        <v>1468</v>
      </c>
      <c r="G1416" s="17" t="s">
        <v>1805</v>
      </c>
      <c r="H1416" s="17" t="s">
        <v>1930</v>
      </c>
      <c r="I1416" s="145" t="s">
        <v>39</v>
      </c>
      <c r="J1416" s="17" t="s">
        <v>74</v>
      </c>
      <c r="K1416" s="14" t="s">
        <v>1361</v>
      </c>
      <c r="L1416" s="17" t="s">
        <v>39</v>
      </c>
      <c r="M1416" s="16">
        <v>8184659886</v>
      </c>
      <c r="N1416" s="16">
        <v>860896052034808</v>
      </c>
      <c r="O1416" s="16" t="s">
        <v>3929</v>
      </c>
      <c r="P1416" s="17" t="s">
        <v>3928</v>
      </c>
      <c r="Q1416" s="17" t="s">
        <v>4174</v>
      </c>
      <c r="R1416" s="18" t="s">
        <v>39</v>
      </c>
      <c r="S1416" s="19" t="s">
        <v>3584</v>
      </c>
      <c r="T1416" s="17"/>
      <c r="U1416" s="66"/>
    </row>
    <row r="1417" spans="2:21" s="15" customFormat="1" ht="29" x14ac:dyDescent="0.35">
      <c r="B1417" s="64">
        <v>45744</v>
      </c>
      <c r="C1417" s="17">
        <v>1311</v>
      </c>
      <c r="D1417" s="85" t="s">
        <v>3931</v>
      </c>
      <c r="E1417" s="85" t="s">
        <v>3584</v>
      </c>
      <c r="F1417" s="85" t="s">
        <v>1468</v>
      </c>
      <c r="G1417" s="17" t="s">
        <v>1805</v>
      </c>
      <c r="H1417" s="17" t="s">
        <v>1930</v>
      </c>
      <c r="I1417" s="145" t="s">
        <v>39</v>
      </c>
      <c r="J1417" s="17" t="s">
        <v>26</v>
      </c>
      <c r="K1417" s="17" t="s">
        <v>3930</v>
      </c>
      <c r="L1417" s="17" t="s">
        <v>39</v>
      </c>
      <c r="M1417" s="16">
        <v>8135516711</v>
      </c>
      <c r="N1417" s="16">
        <v>869220040811188</v>
      </c>
      <c r="O1417" s="16" t="s">
        <v>39</v>
      </c>
      <c r="P1417" s="17" t="s">
        <v>114</v>
      </c>
      <c r="Q1417" s="17" t="s">
        <v>4174</v>
      </c>
      <c r="R1417" s="18" t="s">
        <v>39</v>
      </c>
      <c r="S1417" s="19" t="s">
        <v>3584</v>
      </c>
      <c r="T1417" s="17"/>
      <c r="U1417" s="66"/>
    </row>
    <row r="1418" spans="2:21" s="15" customFormat="1" ht="29" x14ac:dyDescent="0.35">
      <c r="B1418" s="64">
        <v>45744</v>
      </c>
      <c r="C1418" s="17">
        <v>1312</v>
      </c>
      <c r="D1418" s="85" t="s">
        <v>3932</v>
      </c>
      <c r="E1418" s="85" t="s">
        <v>3584</v>
      </c>
      <c r="F1418" s="85" t="s">
        <v>1468</v>
      </c>
      <c r="G1418" s="17" t="s">
        <v>1805</v>
      </c>
      <c r="H1418" s="17" t="s">
        <v>1930</v>
      </c>
      <c r="I1418" s="145" t="s">
        <v>39</v>
      </c>
      <c r="J1418" s="17" t="s">
        <v>26</v>
      </c>
      <c r="K1418" s="14" t="s">
        <v>1363</v>
      </c>
      <c r="L1418" s="17" t="s">
        <v>39</v>
      </c>
      <c r="M1418" s="16">
        <v>8184662876</v>
      </c>
      <c r="N1418" s="16">
        <v>868166053313961</v>
      </c>
      <c r="O1418" s="16" t="s">
        <v>39</v>
      </c>
      <c r="P1418" s="17" t="s">
        <v>39</v>
      </c>
      <c r="Q1418" s="17" t="s">
        <v>4174</v>
      </c>
      <c r="R1418" s="18" t="s">
        <v>39</v>
      </c>
      <c r="S1418" s="19" t="s">
        <v>3584</v>
      </c>
      <c r="T1418" s="17"/>
      <c r="U1418" s="66"/>
    </row>
    <row r="1419" spans="2:21" s="15" customFormat="1" ht="29" x14ac:dyDescent="0.35">
      <c r="B1419" s="64">
        <v>45744</v>
      </c>
      <c r="C1419" s="17">
        <v>1313</v>
      </c>
      <c r="D1419" s="85" t="s">
        <v>3933</v>
      </c>
      <c r="E1419" s="85" t="s">
        <v>3584</v>
      </c>
      <c r="F1419" s="85" t="s">
        <v>1468</v>
      </c>
      <c r="G1419" s="17" t="s">
        <v>1805</v>
      </c>
      <c r="H1419" s="17" t="s">
        <v>1930</v>
      </c>
      <c r="I1419" s="145" t="s">
        <v>39</v>
      </c>
      <c r="J1419" s="17" t="s">
        <v>110</v>
      </c>
      <c r="K1419" s="14" t="s">
        <v>1364</v>
      </c>
      <c r="L1419" s="17" t="s">
        <v>39</v>
      </c>
      <c r="M1419" s="16">
        <v>8120010061</v>
      </c>
      <c r="N1419" s="16">
        <v>869220040811048</v>
      </c>
      <c r="O1419" s="16" t="s">
        <v>3935</v>
      </c>
      <c r="P1419" s="17" t="s">
        <v>3934</v>
      </c>
      <c r="Q1419" s="17" t="s">
        <v>4174</v>
      </c>
      <c r="R1419" s="18" t="s">
        <v>39</v>
      </c>
      <c r="S1419" s="19" t="s">
        <v>3584</v>
      </c>
      <c r="T1419" s="17"/>
      <c r="U1419" s="66"/>
    </row>
    <row r="1420" spans="2:21" s="15" customFormat="1" ht="29" x14ac:dyDescent="0.35">
      <c r="B1420" s="64">
        <v>45744</v>
      </c>
      <c r="C1420" s="17">
        <v>1314</v>
      </c>
      <c r="D1420" s="85" t="s">
        <v>3936</v>
      </c>
      <c r="E1420" s="85" t="s">
        <v>3584</v>
      </c>
      <c r="F1420" s="85" t="s">
        <v>1468</v>
      </c>
      <c r="G1420" s="17" t="s">
        <v>1805</v>
      </c>
      <c r="H1420" s="17" t="s">
        <v>1930</v>
      </c>
      <c r="I1420" s="145" t="s">
        <v>39</v>
      </c>
      <c r="J1420" s="17" t="s">
        <v>26</v>
      </c>
      <c r="K1420" s="14" t="s">
        <v>1368</v>
      </c>
      <c r="L1420" s="17" t="s">
        <v>39</v>
      </c>
      <c r="M1420" s="16">
        <v>8126201751</v>
      </c>
      <c r="N1420" s="38" t="s">
        <v>4229</v>
      </c>
      <c r="O1420" s="16" t="s">
        <v>100</v>
      </c>
      <c r="P1420" s="17" t="s">
        <v>39</v>
      </c>
      <c r="Q1420" s="17" t="s">
        <v>4174</v>
      </c>
      <c r="R1420" s="18" t="s">
        <v>39</v>
      </c>
      <c r="S1420" s="19" t="s">
        <v>3584</v>
      </c>
      <c r="T1420" s="17"/>
      <c r="U1420" s="66"/>
    </row>
    <row r="1421" spans="2:21" s="15" customFormat="1" ht="29" x14ac:dyDescent="0.35">
      <c r="B1421" s="64">
        <v>45744</v>
      </c>
      <c r="C1421" s="17">
        <v>1315</v>
      </c>
      <c r="D1421" s="85" t="s">
        <v>3937</v>
      </c>
      <c r="E1421" s="85" t="s">
        <v>3584</v>
      </c>
      <c r="F1421" s="85" t="s">
        <v>1468</v>
      </c>
      <c r="G1421" s="17" t="s">
        <v>1805</v>
      </c>
      <c r="H1421" s="17" t="s">
        <v>1930</v>
      </c>
      <c r="I1421" s="145" t="s">
        <v>39</v>
      </c>
      <c r="J1421" s="14" t="s">
        <v>4230</v>
      </c>
      <c r="K1421" s="14" t="s">
        <v>1369</v>
      </c>
      <c r="L1421" s="17" t="s">
        <v>39</v>
      </c>
      <c r="M1421" s="16">
        <v>8126310839</v>
      </c>
      <c r="N1421" s="16">
        <v>869220040810339</v>
      </c>
      <c r="O1421" s="16" t="s">
        <v>3939</v>
      </c>
      <c r="P1421" s="17" t="s">
        <v>3938</v>
      </c>
      <c r="Q1421" s="17" t="s">
        <v>4174</v>
      </c>
      <c r="R1421" s="18" t="s">
        <v>39</v>
      </c>
      <c r="S1421" s="19" t="s">
        <v>3584</v>
      </c>
      <c r="T1421" s="17"/>
      <c r="U1421" s="66"/>
    </row>
    <row r="1422" spans="2:21" s="15" customFormat="1" ht="29" x14ac:dyDescent="0.35">
      <c r="B1422" s="64">
        <v>45744</v>
      </c>
      <c r="C1422" s="17">
        <v>1316</v>
      </c>
      <c r="D1422" s="85" t="s">
        <v>3940</v>
      </c>
      <c r="E1422" s="85" t="s">
        <v>3584</v>
      </c>
      <c r="F1422" s="85" t="s">
        <v>1468</v>
      </c>
      <c r="G1422" s="17" t="s">
        <v>1805</v>
      </c>
      <c r="H1422" s="17" t="s">
        <v>1930</v>
      </c>
      <c r="I1422" s="145" t="s">
        <v>39</v>
      </c>
      <c r="J1422" s="17" t="s">
        <v>90</v>
      </c>
      <c r="K1422" s="17" t="s">
        <v>1371</v>
      </c>
      <c r="L1422" s="17" t="s">
        <v>39</v>
      </c>
      <c r="M1422" s="16">
        <v>8115777719</v>
      </c>
      <c r="N1422" s="16">
        <v>869220040810891</v>
      </c>
      <c r="O1422" s="16" t="s">
        <v>3942</v>
      </c>
      <c r="P1422" s="17" t="s">
        <v>3941</v>
      </c>
      <c r="Q1422" s="17" t="s">
        <v>4174</v>
      </c>
      <c r="R1422" s="18" t="s">
        <v>39</v>
      </c>
      <c r="S1422" s="19" t="s">
        <v>3584</v>
      </c>
      <c r="T1422" s="17"/>
      <c r="U1422" s="66"/>
    </row>
    <row r="1423" spans="2:21" s="15" customFormat="1" ht="29" x14ac:dyDescent="0.35">
      <c r="B1423" s="64">
        <v>45744</v>
      </c>
      <c r="C1423" s="17">
        <v>1317</v>
      </c>
      <c r="D1423" s="85" t="s">
        <v>3943</v>
      </c>
      <c r="E1423" s="85" t="s">
        <v>3584</v>
      </c>
      <c r="F1423" s="85" t="s">
        <v>1468</v>
      </c>
      <c r="G1423" s="17" t="s">
        <v>1805</v>
      </c>
      <c r="H1423" s="17" t="s">
        <v>1930</v>
      </c>
      <c r="I1423" s="145" t="s">
        <v>39</v>
      </c>
      <c r="J1423" s="14" t="s">
        <v>74</v>
      </c>
      <c r="K1423" s="17" t="s">
        <v>1372</v>
      </c>
      <c r="L1423" s="17" t="s">
        <v>39</v>
      </c>
      <c r="M1423" s="16">
        <v>8182544793</v>
      </c>
      <c r="N1423" s="16">
        <v>869220040535647</v>
      </c>
      <c r="O1423" s="14" t="s">
        <v>88</v>
      </c>
      <c r="P1423" s="16" t="s">
        <v>39</v>
      </c>
      <c r="Q1423" s="17" t="s">
        <v>4174</v>
      </c>
      <c r="R1423" s="18" t="s">
        <v>39</v>
      </c>
      <c r="S1423" s="19" t="s">
        <v>3584</v>
      </c>
      <c r="T1423" s="17"/>
      <c r="U1423" s="66"/>
    </row>
    <row r="1424" spans="2:21" s="15" customFormat="1" ht="29" x14ac:dyDescent="0.35">
      <c r="B1424" s="64">
        <v>45744</v>
      </c>
      <c r="C1424" s="17">
        <v>1318</v>
      </c>
      <c r="D1424" s="85" t="s">
        <v>3945</v>
      </c>
      <c r="E1424" s="85" t="s">
        <v>3584</v>
      </c>
      <c r="F1424" s="85" t="s">
        <v>1468</v>
      </c>
      <c r="G1424" s="17" t="s">
        <v>1805</v>
      </c>
      <c r="H1424" s="17" t="s">
        <v>1930</v>
      </c>
      <c r="I1424" s="145" t="s">
        <v>39</v>
      </c>
      <c r="J1424" s="17" t="s">
        <v>24</v>
      </c>
      <c r="K1424" s="17" t="s">
        <v>3944</v>
      </c>
      <c r="L1424" s="17" t="s">
        <v>39</v>
      </c>
      <c r="M1424" s="16">
        <v>8115777974</v>
      </c>
      <c r="N1424" s="16">
        <v>865011031937072</v>
      </c>
      <c r="O1424" s="16" t="s">
        <v>3947</v>
      </c>
      <c r="P1424" s="17" t="s">
        <v>3946</v>
      </c>
      <c r="Q1424" s="17" t="s">
        <v>4174</v>
      </c>
      <c r="R1424" s="18" t="s">
        <v>39</v>
      </c>
      <c r="S1424" s="19" t="s">
        <v>3584</v>
      </c>
      <c r="T1424" s="17"/>
      <c r="U1424" s="66"/>
    </row>
    <row r="1425" spans="2:21" s="15" customFormat="1" ht="29" x14ac:dyDescent="0.35">
      <c r="B1425" s="64">
        <v>45744</v>
      </c>
      <c r="C1425" s="17">
        <v>1319</v>
      </c>
      <c r="D1425" s="85" t="s">
        <v>3948</v>
      </c>
      <c r="E1425" s="85" t="s">
        <v>3584</v>
      </c>
      <c r="F1425" s="85" t="s">
        <v>1468</v>
      </c>
      <c r="G1425" s="17" t="s">
        <v>1805</v>
      </c>
      <c r="H1425" s="17" t="s">
        <v>1930</v>
      </c>
      <c r="I1425" s="145" t="s">
        <v>39</v>
      </c>
      <c r="J1425" s="17" t="s">
        <v>80</v>
      </c>
      <c r="K1425" s="14" t="s">
        <v>1377</v>
      </c>
      <c r="L1425" s="17" t="s">
        <v>39</v>
      </c>
      <c r="M1425" s="16">
        <v>8112147382</v>
      </c>
      <c r="N1425" s="16">
        <v>868166054739891</v>
      </c>
      <c r="O1425" s="16" t="s">
        <v>3950</v>
      </c>
      <c r="P1425" s="17" t="s">
        <v>3949</v>
      </c>
      <c r="Q1425" s="17" t="s">
        <v>4174</v>
      </c>
      <c r="R1425" s="18" t="s">
        <v>39</v>
      </c>
      <c r="S1425" s="19" t="s">
        <v>3584</v>
      </c>
      <c r="T1425" s="17"/>
      <c r="U1425" s="66"/>
    </row>
    <row r="1426" spans="2:21" s="15" customFormat="1" ht="29" x14ac:dyDescent="0.35">
      <c r="B1426" s="64">
        <v>45744</v>
      </c>
      <c r="C1426" s="17">
        <v>1320</v>
      </c>
      <c r="D1426" s="85" t="s">
        <v>3951</v>
      </c>
      <c r="E1426" s="85" t="s">
        <v>3584</v>
      </c>
      <c r="F1426" s="85" t="s">
        <v>1468</v>
      </c>
      <c r="G1426" s="17" t="s">
        <v>1805</v>
      </c>
      <c r="H1426" s="17" t="s">
        <v>1930</v>
      </c>
      <c r="I1426" s="145" t="s">
        <v>39</v>
      </c>
      <c r="J1426" s="17" t="s">
        <v>26</v>
      </c>
      <c r="K1426" s="17" t="s">
        <v>1384</v>
      </c>
      <c r="L1426" s="17" t="s">
        <v>39</v>
      </c>
      <c r="M1426" s="16">
        <v>8110437948</v>
      </c>
      <c r="N1426" s="16">
        <v>868166054736046</v>
      </c>
      <c r="O1426" s="16" t="s">
        <v>39</v>
      </c>
      <c r="P1426" s="17" t="s">
        <v>73</v>
      </c>
      <c r="Q1426" s="17" t="s">
        <v>4174</v>
      </c>
      <c r="R1426" s="18" t="s">
        <v>39</v>
      </c>
      <c r="S1426" s="19" t="s">
        <v>3584</v>
      </c>
      <c r="T1426" s="17"/>
      <c r="U1426" s="66"/>
    </row>
    <row r="1427" spans="2:21" s="15" customFormat="1" ht="29" x14ac:dyDescent="0.35">
      <c r="B1427" s="64">
        <v>45744</v>
      </c>
      <c r="C1427" s="17">
        <v>1321</v>
      </c>
      <c r="D1427" s="85" t="s">
        <v>3952</v>
      </c>
      <c r="E1427" s="85" t="s">
        <v>3584</v>
      </c>
      <c r="F1427" s="85" t="s">
        <v>1468</v>
      </c>
      <c r="G1427" s="17" t="s">
        <v>1805</v>
      </c>
      <c r="H1427" s="17" t="s">
        <v>1930</v>
      </c>
      <c r="I1427" s="145" t="s">
        <v>39</v>
      </c>
      <c r="J1427" s="14" t="s">
        <v>78</v>
      </c>
      <c r="K1427" s="17" t="s">
        <v>1385</v>
      </c>
      <c r="L1427" s="17" t="s">
        <v>39</v>
      </c>
      <c r="M1427" s="16">
        <v>8119164212</v>
      </c>
      <c r="N1427" s="16">
        <v>868166054737259</v>
      </c>
      <c r="O1427" s="16" t="s">
        <v>70</v>
      </c>
      <c r="P1427" s="17" t="s">
        <v>39</v>
      </c>
      <c r="Q1427" s="17" t="s">
        <v>4174</v>
      </c>
      <c r="R1427" s="18" t="s">
        <v>39</v>
      </c>
      <c r="S1427" s="19" t="s">
        <v>3584</v>
      </c>
      <c r="T1427" s="17"/>
      <c r="U1427" s="66"/>
    </row>
    <row r="1428" spans="2:21" s="15" customFormat="1" ht="29" x14ac:dyDescent="0.35">
      <c r="B1428" s="64">
        <v>45744</v>
      </c>
      <c r="C1428" s="17">
        <v>1322</v>
      </c>
      <c r="D1428" s="85" t="s">
        <v>3953</v>
      </c>
      <c r="E1428" s="85" t="s">
        <v>3584</v>
      </c>
      <c r="F1428" s="85" t="s">
        <v>1468</v>
      </c>
      <c r="G1428" s="17" t="s">
        <v>1805</v>
      </c>
      <c r="H1428" s="17" t="s">
        <v>1930</v>
      </c>
      <c r="I1428" s="145" t="s">
        <v>39</v>
      </c>
      <c r="J1428" s="17" t="s">
        <v>26</v>
      </c>
      <c r="K1428" s="14" t="s">
        <v>1391</v>
      </c>
      <c r="L1428" s="17" t="s">
        <v>39</v>
      </c>
      <c r="M1428" s="16">
        <v>8124079588</v>
      </c>
      <c r="N1428" s="16">
        <v>868166054737531</v>
      </c>
      <c r="O1428" s="16" t="s">
        <v>39</v>
      </c>
      <c r="P1428" s="17" t="s">
        <v>47</v>
      </c>
      <c r="Q1428" s="17" t="s">
        <v>4174</v>
      </c>
      <c r="R1428" s="18" t="s">
        <v>39</v>
      </c>
      <c r="S1428" s="19" t="s">
        <v>3584</v>
      </c>
      <c r="T1428" s="17"/>
      <c r="U1428" s="66"/>
    </row>
    <row r="1429" spans="2:21" s="15" customFormat="1" ht="29" x14ac:dyDescent="0.35">
      <c r="B1429" s="64">
        <v>45744</v>
      </c>
      <c r="C1429" s="17">
        <v>1323</v>
      </c>
      <c r="D1429" s="85" t="s">
        <v>3954</v>
      </c>
      <c r="E1429" s="85" t="s">
        <v>3584</v>
      </c>
      <c r="F1429" s="85" t="s">
        <v>1468</v>
      </c>
      <c r="G1429" s="17" t="s">
        <v>1805</v>
      </c>
      <c r="H1429" s="17" t="s">
        <v>1930</v>
      </c>
      <c r="I1429" s="145" t="s">
        <v>39</v>
      </c>
      <c r="J1429" s="14" t="s">
        <v>4233</v>
      </c>
      <c r="K1429" s="17" t="s">
        <v>1393</v>
      </c>
      <c r="L1429" s="17" t="s">
        <v>39</v>
      </c>
      <c r="M1429" s="16">
        <v>8115777686</v>
      </c>
      <c r="N1429" s="16">
        <v>869220041115951</v>
      </c>
      <c r="O1429" s="16" t="s">
        <v>3956</v>
      </c>
      <c r="P1429" s="17" t="s">
        <v>3955</v>
      </c>
      <c r="Q1429" s="17" t="s">
        <v>4174</v>
      </c>
      <c r="R1429" s="18" t="s">
        <v>39</v>
      </c>
      <c r="S1429" s="19" t="s">
        <v>3584</v>
      </c>
      <c r="T1429" s="17"/>
      <c r="U1429" s="66"/>
    </row>
    <row r="1430" spans="2:21" s="15" customFormat="1" ht="29" x14ac:dyDescent="0.35">
      <c r="B1430" s="64">
        <v>45744</v>
      </c>
      <c r="C1430" s="17">
        <v>1324</v>
      </c>
      <c r="D1430" s="85" t="s">
        <v>3957</v>
      </c>
      <c r="E1430" s="85" t="s">
        <v>3584</v>
      </c>
      <c r="F1430" s="85" t="s">
        <v>1468</v>
      </c>
      <c r="G1430" s="17" t="s">
        <v>1805</v>
      </c>
      <c r="H1430" s="17" t="s">
        <v>1930</v>
      </c>
      <c r="I1430" s="145" t="s">
        <v>39</v>
      </c>
      <c r="J1430" s="14" t="s">
        <v>4234</v>
      </c>
      <c r="K1430" s="14" t="s">
        <v>1397</v>
      </c>
      <c r="L1430" s="17" t="s">
        <v>39</v>
      </c>
      <c r="M1430" s="16">
        <v>8135518624</v>
      </c>
      <c r="N1430" s="16">
        <v>869220041114244</v>
      </c>
      <c r="O1430" s="16" t="s">
        <v>3959</v>
      </c>
      <c r="P1430" s="17" t="s">
        <v>3958</v>
      </c>
      <c r="Q1430" s="17" t="s">
        <v>4174</v>
      </c>
      <c r="R1430" s="18" t="s">
        <v>39</v>
      </c>
      <c r="S1430" s="19" t="s">
        <v>3584</v>
      </c>
      <c r="T1430" s="17"/>
      <c r="U1430" s="66"/>
    </row>
    <row r="1431" spans="2:21" s="15" customFormat="1" ht="29" x14ac:dyDescent="0.35">
      <c r="B1431" s="64">
        <v>45744</v>
      </c>
      <c r="C1431" s="17">
        <v>1325</v>
      </c>
      <c r="D1431" s="85" t="s">
        <v>3961</v>
      </c>
      <c r="E1431" s="85" t="s">
        <v>3584</v>
      </c>
      <c r="F1431" s="85" t="s">
        <v>1468</v>
      </c>
      <c r="G1431" s="17" t="s">
        <v>1805</v>
      </c>
      <c r="H1431" s="17" t="s">
        <v>1930</v>
      </c>
      <c r="I1431" s="145" t="s">
        <v>39</v>
      </c>
      <c r="J1431" s="17" t="s">
        <v>26</v>
      </c>
      <c r="K1431" s="17" t="s">
        <v>3960</v>
      </c>
      <c r="L1431" s="17" t="s">
        <v>39</v>
      </c>
      <c r="M1431" s="16">
        <v>8128601956</v>
      </c>
      <c r="N1431" s="16">
        <v>869220041115159</v>
      </c>
      <c r="O1431" s="16" t="s">
        <v>25</v>
      </c>
      <c r="P1431" s="17" t="s">
        <v>39</v>
      </c>
      <c r="Q1431" s="17" t="s">
        <v>4174</v>
      </c>
      <c r="R1431" s="18" t="s">
        <v>39</v>
      </c>
      <c r="S1431" s="19" t="s">
        <v>3584</v>
      </c>
      <c r="T1431" s="17"/>
      <c r="U1431" s="66"/>
    </row>
    <row r="1432" spans="2:21" s="15" customFormat="1" ht="29" x14ac:dyDescent="0.35">
      <c r="B1432" s="64">
        <v>45744</v>
      </c>
      <c r="C1432" s="17">
        <v>1326</v>
      </c>
      <c r="D1432" s="85" t="s">
        <v>3962</v>
      </c>
      <c r="E1432" s="85" t="s">
        <v>3584</v>
      </c>
      <c r="F1432" s="85" t="s">
        <v>1468</v>
      </c>
      <c r="G1432" s="17" t="s">
        <v>1805</v>
      </c>
      <c r="H1432" s="17" t="s">
        <v>1930</v>
      </c>
      <c r="I1432" s="145" t="s">
        <v>39</v>
      </c>
      <c r="J1432" s="17" t="s">
        <v>26</v>
      </c>
      <c r="K1432" s="14" t="s">
        <v>1409</v>
      </c>
      <c r="L1432" s="17" t="s">
        <v>39</v>
      </c>
      <c r="M1432" s="16">
        <v>8128616935</v>
      </c>
      <c r="N1432" s="16">
        <v>863719060357861</v>
      </c>
      <c r="O1432" s="16" t="s">
        <v>39</v>
      </c>
      <c r="P1432" s="17" t="s">
        <v>39</v>
      </c>
      <c r="Q1432" s="17" t="s">
        <v>4174</v>
      </c>
      <c r="R1432" s="18" t="s">
        <v>39</v>
      </c>
      <c r="S1432" s="19" t="s">
        <v>3584</v>
      </c>
      <c r="T1432" s="17"/>
      <c r="U1432" s="66"/>
    </row>
    <row r="1433" spans="2:21" s="15" customFormat="1" ht="29" x14ac:dyDescent="0.35">
      <c r="B1433" s="64">
        <v>45744</v>
      </c>
      <c r="C1433" s="17">
        <v>1327</v>
      </c>
      <c r="D1433" s="85" t="s">
        <v>3963</v>
      </c>
      <c r="E1433" s="85" t="s">
        <v>3584</v>
      </c>
      <c r="F1433" s="85" t="s">
        <v>1468</v>
      </c>
      <c r="G1433" s="17" t="s">
        <v>1805</v>
      </c>
      <c r="H1433" s="17" t="s">
        <v>1930</v>
      </c>
      <c r="I1433" s="145" t="s">
        <v>39</v>
      </c>
      <c r="J1433" s="17" t="s">
        <v>24</v>
      </c>
      <c r="K1433" s="17" t="s">
        <v>3964</v>
      </c>
      <c r="L1433" s="17" t="s">
        <v>39</v>
      </c>
      <c r="M1433" s="16">
        <v>8131124946</v>
      </c>
      <c r="N1433" s="16">
        <v>860896052701539</v>
      </c>
      <c r="O1433" s="16" t="s">
        <v>39</v>
      </c>
      <c r="P1433" s="17" t="s">
        <v>867</v>
      </c>
      <c r="Q1433" s="17" t="s">
        <v>4174</v>
      </c>
      <c r="R1433" s="18" t="s">
        <v>39</v>
      </c>
      <c r="S1433" s="19" t="s">
        <v>3584</v>
      </c>
      <c r="T1433" s="17"/>
      <c r="U1433" s="66"/>
    </row>
    <row r="1434" spans="2:21" s="15" customFormat="1" ht="29" x14ac:dyDescent="0.35">
      <c r="B1434" s="64">
        <v>45744</v>
      </c>
      <c r="C1434" s="17">
        <v>1328</v>
      </c>
      <c r="D1434" s="85" t="s">
        <v>3965</v>
      </c>
      <c r="E1434" s="85" t="s">
        <v>3584</v>
      </c>
      <c r="F1434" s="85" t="s">
        <v>1468</v>
      </c>
      <c r="G1434" s="17" t="s">
        <v>1805</v>
      </c>
      <c r="H1434" s="17" t="s">
        <v>1930</v>
      </c>
      <c r="I1434" s="145" t="s">
        <v>39</v>
      </c>
      <c r="J1434" s="14" t="s">
        <v>4236</v>
      </c>
      <c r="K1434" s="17" t="s">
        <v>3966</v>
      </c>
      <c r="L1434" s="17" t="s">
        <v>39</v>
      </c>
      <c r="M1434" s="16">
        <v>8123866406</v>
      </c>
      <c r="N1434" s="16">
        <v>350317171662459</v>
      </c>
      <c r="O1434" s="16" t="s">
        <v>39</v>
      </c>
      <c r="P1434" s="17" t="s">
        <v>886</v>
      </c>
      <c r="Q1434" s="17" t="s">
        <v>4174</v>
      </c>
      <c r="R1434" s="18" t="s">
        <v>39</v>
      </c>
      <c r="S1434" s="19" t="s">
        <v>3584</v>
      </c>
      <c r="T1434" s="17"/>
      <c r="U1434" s="66"/>
    </row>
    <row r="1435" spans="2:21" s="15" customFormat="1" ht="29" x14ac:dyDescent="0.35">
      <c r="B1435" s="64">
        <v>45744</v>
      </c>
      <c r="C1435" s="17">
        <v>1329</v>
      </c>
      <c r="D1435" s="85" t="s">
        <v>3967</v>
      </c>
      <c r="E1435" s="85" t="s">
        <v>3584</v>
      </c>
      <c r="F1435" s="85" t="s">
        <v>1468</v>
      </c>
      <c r="G1435" s="17" t="s">
        <v>1805</v>
      </c>
      <c r="H1435" s="17" t="s">
        <v>1930</v>
      </c>
      <c r="I1435" s="145" t="s">
        <v>39</v>
      </c>
      <c r="J1435" s="14" t="s">
        <v>4238</v>
      </c>
      <c r="K1435" s="14" t="s">
        <v>1424</v>
      </c>
      <c r="L1435" s="17" t="s">
        <v>39</v>
      </c>
      <c r="M1435" s="16">
        <v>8126311005</v>
      </c>
      <c r="N1435" s="16">
        <v>350544502485710</v>
      </c>
      <c r="O1435" s="16" t="s">
        <v>39</v>
      </c>
      <c r="P1435" s="17" t="s">
        <v>887</v>
      </c>
      <c r="Q1435" s="17" t="s">
        <v>4174</v>
      </c>
      <c r="R1435" s="18" t="s">
        <v>39</v>
      </c>
      <c r="S1435" s="19" t="s">
        <v>3584</v>
      </c>
      <c r="T1435" s="17"/>
      <c r="U1435" s="66"/>
    </row>
    <row r="1436" spans="2:21" s="15" customFormat="1" ht="29" x14ac:dyDescent="0.35">
      <c r="B1436" s="64">
        <v>45744</v>
      </c>
      <c r="C1436" s="17">
        <v>1330</v>
      </c>
      <c r="D1436" s="85" t="s">
        <v>3968</v>
      </c>
      <c r="E1436" s="85" t="s">
        <v>3584</v>
      </c>
      <c r="F1436" s="85" t="s">
        <v>1468</v>
      </c>
      <c r="G1436" s="17" t="s">
        <v>1805</v>
      </c>
      <c r="H1436" s="17" t="s">
        <v>1930</v>
      </c>
      <c r="I1436" s="145" t="s">
        <v>39</v>
      </c>
      <c r="J1436" s="17" t="s">
        <v>26</v>
      </c>
      <c r="K1436" s="17" t="s">
        <v>1423</v>
      </c>
      <c r="L1436" s="17" t="s">
        <v>39</v>
      </c>
      <c r="M1436" s="16">
        <v>8126311186</v>
      </c>
      <c r="N1436" s="16">
        <v>350544502690640</v>
      </c>
      <c r="O1436" s="16" t="s">
        <v>39</v>
      </c>
      <c r="P1436" s="17" t="s">
        <v>891</v>
      </c>
      <c r="Q1436" s="17" t="s">
        <v>4174</v>
      </c>
      <c r="R1436" s="18" t="s">
        <v>39</v>
      </c>
      <c r="S1436" s="19" t="s">
        <v>3584</v>
      </c>
      <c r="T1436" s="17"/>
      <c r="U1436" s="66"/>
    </row>
    <row r="1437" spans="2:21" s="15" customFormat="1" ht="29" x14ac:dyDescent="0.35">
      <c r="B1437" s="64">
        <v>45744</v>
      </c>
      <c r="C1437" s="17">
        <v>1331</v>
      </c>
      <c r="D1437" s="85" t="s">
        <v>3969</v>
      </c>
      <c r="E1437" s="85" t="s">
        <v>3584</v>
      </c>
      <c r="F1437" s="85" t="s">
        <v>1468</v>
      </c>
      <c r="G1437" s="17" t="s">
        <v>1805</v>
      </c>
      <c r="H1437" s="17" t="s">
        <v>1930</v>
      </c>
      <c r="I1437" s="145" t="s">
        <v>39</v>
      </c>
      <c r="J1437" s="14" t="s">
        <v>4240</v>
      </c>
      <c r="K1437" s="14" t="s">
        <v>1427</v>
      </c>
      <c r="L1437" s="17" t="s">
        <v>39</v>
      </c>
      <c r="M1437" s="16">
        <v>8118227429</v>
      </c>
      <c r="N1437" s="16">
        <v>350317170041507</v>
      </c>
      <c r="O1437" s="16" t="s">
        <v>3971</v>
      </c>
      <c r="P1437" s="17" t="s">
        <v>3970</v>
      </c>
      <c r="Q1437" s="17" t="s">
        <v>4174</v>
      </c>
      <c r="R1437" s="18" t="s">
        <v>39</v>
      </c>
      <c r="S1437" s="19" t="s">
        <v>3584</v>
      </c>
      <c r="T1437" s="17"/>
      <c r="U1437" s="66"/>
    </row>
    <row r="1438" spans="2:21" s="15" customFormat="1" ht="29" x14ac:dyDescent="0.35">
      <c r="B1438" s="64">
        <v>45744</v>
      </c>
      <c r="C1438" s="17">
        <v>1332</v>
      </c>
      <c r="D1438" s="85" t="s">
        <v>3972</v>
      </c>
      <c r="E1438" s="85" t="s">
        <v>3584</v>
      </c>
      <c r="F1438" s="85" t="s">
        <v>1468</v>
      </c>
      <c r="G1438" s="17" t="s">
        <v>1805</v>
      </c>
      <c r="H1438" s="17" t="s">
        <v>1930</v>
      </c>
      <c r="I1438" s="145" t="s">
        <v>39</v>
      </c>
      <c r="J1438" s="14" t="s">
        <v>4243</v>
      </c>
      <c r="K1438" s="17" t="s">
        <v>1434</v>
      </c>
      <c r="L1438" s="17" t="s">
        <v>39</v>
      </c>
      <c r="M1438" s="16">
        <v>8119884513</v>
      </c>
      <c r="N1438" s="16">
        <v>860896051542033</v>
      </c>
      <c r="O1438" s="16" t="s">
        <v>913</v>
      </c>
      <c r="P1438" s="17" t="s">
        <v>39</v>
      </c>
      <c r="Q1438" s="17" t="s">
        <v>4174</v>
      </c>
      <c r="R1438" s="18" t="s">
        <v>39</v>
      </c>
      <c r="S1438" s="19" t="s">
        <v>3584</v>
      </c>
      <c r="T1438" s="17"/>
      <c r="U1438" s="66"/>
    </row>
    <row r="1439" spans="2:21" s="15" customFormat="1" ht="29" x14ac:dyDescent="0.35">
      <c r="B1439" s="64">
        <v>45744</v>
      </c>
      <c r="C1439" s="17">
        <v>1333</v>
      </c>
      <c r="D1439" s="85" t="s">
        <v>3974</v>
      </c>
      <c r="E1439" s="85" t="s">
        <v>3584</v>
      </c>
      <c r="F1439" s="85" t="s">
        <v>1468</v>
      </c>
      <c r="G1439" s="17" t="s">
        <v>1805</v>
      </c>
      <c r="H1439" s="17" t="s">
        <v>1930</v>
      </c>
      <c r="I1439" s="145" t="s">
        <v>39</v>
      </c>
      <c r="J1439" s="14" t="s">
        <v>4244</v>
      </c>
      <c r="K1439" s="17" t="s">
        <v>3973</v>
      </c>
      <c r="L1439" s="17" t="s">
        <v>39</v>
      </c>
      <c r="M1439" s="16">
        <v>8135518600</v>
      </c>
      <c r="N1439" s="16">
        <v>869220041114616</v>
      </c>
      <c r="O1439" s="16" t="s">
        <v>3976</v>
      </c>
      <c r="P1439" s="17" t="s">
        <v>3975</v>
      </c>
      <c r="Q1439" s="17" t="s">
        <v>4174</v>
      </c>
      <c r="R1439" s="18" t="s">
        <v>39</v>
      </c>
      <c r="S1439" s="19" t="s">
        <v>3584</v>
      </c>
      <c r="T1439" s="17"/>
      <c r="U1439" s="66"/>
    </row>
    <row r="1440" spans="2:21" s="15" customFormat="1" ht="29" x14ac:dyDescent="0.35">
      <c r="B1440" s="64">
        <v>45744</v>
      </c>
      <c r="C1440" s="17">
        <v>1334</v>
      </c>
      <c r="D1440" s="85" t="s">
        <v>3977</v>
      </c>
      <c r="E1440" s="85" t="s">
        <v>3584</v>
      </c>
      <c r="F1440" s="85" t="s">
        <v>1468</v>
      </c>
      <c r="G1440" s="17" t="s">
        <v>1805</v>
      </c>
      <c r="H1440" s="17" t="s">
        <v>1930</v>
      </c>
      <c r="I1440" s="145" t="s">
        <v>39</v>
      </c>
      <c r="J1440" s="17" t="s">
        <v>24</v>
      </c>
      <c r="K1440" s="17" t="s">
        <v>1436</v>
      </c>
      <c r="L1440" s="17" t="s">
        <v>39</v>
      </c>
      <c r="M1440" s="16">
        <v>8115777992</v>
      </c>
      <c r="N1440" s="16">
        <v>350612072995788</v>
      </c>
      <c r="O1440" s="16" t="s">
        <v>638</v>
      </c>
      <c r="P1440" s="17" t="s">
        <v>3978</v>
      </c>
      <c r="Q1440" s="17" t="s">
        <v>4174</v>
      </c>
      <c r="R1440" s="18" t="s">
        <v>39</v>
      </c>
      <c r="S1440" s="19" t="s">
        <v>3584</v>
      </c>
      <c r="T1440" s="17"/>
      <c r="U1440" s="66"/>
    </row>
    <row r="1441" spans="2:21" s="15" customFormat="1" ht="29" x14ac:dyDescent="0.35">
      <c r="B1441" s="64">
        <v>45744</v>
      </c>
      <c r="C1441" s="17">
        <v>1335</v>
      </c>
      <c r="D1441" s="85" t="s">
        <v>3979</v>
      </c>
      <c r="E1441" s="85" t="s">
        <v>3584</v>
      </c>
      <c r="F1441" s="85" t="s">
        <v>1468</v>
      </c>
      <c r="G1441" s="17" t="s">
        <v>1805</v>
      </c>
      <c r="H1441" s="17" t="s">
        <v>1930</v>
      </c>
      <c r="I1441" s="145" t="s">
        <v>39</v>
      </c>
      <c r="J1441" s="17" t="s">
        <v>26</v>
      </c>
      <c r="K1441" s="17" t="s">
        <v>3980</v>
      </c>
      <c r="L1441" s="17" t="s">
        <v>39</v>
      </c>
      <c r="M1441" s="16">
        <v>8115777720</v>
      </c>
      <c r="N1441" s="16">
        <v>869220041212998</v>
      </c>
      <c r="O1441" s="16" t="s">
        <v>3982</v>
      </c>
      <c r="P1441" s="17" t="s">
        <v>3981</v>
      </c>
      <c r="Q1441" s="17" t="s">
        <v>4174</v>
      </c>
      <c r="R1441" s="18" t="s">
        <v>39</v>
      </c>
      <c r="S1441" s="19" t="s">
        <v>3584</v>
      </c>
      <c r="T1441" s="17"/>
      <c r="U1441" s="66"/>
    </row>
    <row r="1442" spans="2:21" s="15" customFormat="1" ht="29" x14ac:dyDescent="0.35">
      <c r="B1442" s="64">
        <v>45744</v>
      </c>
      <c r="C1442" s="17">
        <v>1336</v>
      </c>
      <c r="D1442" s="85" t="s">
        <v>3984</v>
      </c>
      <c r="E1442" s="85" t="s">
        <v>3584</v>
      </c>
      <c r="F1442" s="85" t="s">
        <v>1468</v>
      </c>
      <c r="G1442" s="17" t="s">
        <v>1805</v>
      </c>
      <c r="H1442" s="17" t="s">
        <v>1930</v>
      </c>
      <c r="I1442" s="145" t="s">
        <v>39</v>
      </c>
      <c r="J1442" s="17" t="s">
        <v>26</v>
      </c>
      <c r="K1442" s="17" t="s">
        <v>3983</v>
      </c>
      <c r="L1442" s="17" t="s">
        <v>39</v>
      </c>
      <c r="M1442" s="16">
        <v>8124290710</v>
      </c>
      <c r="N1442" s="16">
        <v>863719060354231</v>
      </c>
      <c r="O1442" s="16" t="s">
        <v>4303</v>
      </c>
      <c r="P1442" s="17" t="s">
        <v>4302</v>
      </c>
      <c r="Q1442" s="17" t="s">
        <v>4174</v>
      </c>
      <c r="R1442" s="18" t="s">
        <v>39</v>
      </c>
      <c r="S1442" s="19" t="s">
        <v>3584</v>
      </c>
      <c r="T1442" s="17"/>
      <c r="U1442" s="66"/>
    </row>
    <row r="1443" spans="2:21" s="15" customFormat="1" ht="29" x14ac:dyDescent="0.35">
      <c r="B1443" s="64">
        <v>45744</v>
      </c>
      <c r="C1443" s="17">
        <v>1337</v>
      </c>
      <c r="D1443" s="85" t="s">
        <v>3985</v>
      </c>
      <c r="E1443" s="85" t="s">
        <v>3584</v>
      </c>
      <c r="F1443" s="85" t="s">
        <v>1468</v>
      </c>
      <c r="G1443" s="17" t="s">
        <v>1805</v>
      </c>
      <c r="H1443" s="17" t="s">
        <v>1930</v>
      </c>
      <c r="I1443" s="145" t="s">
        <v>39</v>
      </c>
      <c r="J1443" s="17" t="s">
        <v>26</v>
      </c>
      <c r="K1443" s="17" t="s">
        <v>1445</v>
      </c>
      <c r="L1443" s="17" t="s">
        <v>39</v>
      </c>
      <c r="M1443" s="16">
        <v>8119029832</v>
      </c>
      <c r="N1443" s="16">
        <v>868166056884760</v>
      </c>
      <c r="O1443" s="16" t="s">
        <v>951</v>
      </c>
      <c r="P1443" s="17" t="s">
        <v>39</v>
      </c>
      <c r="Q1443" s="17" t="s">
        <v>4174</v>
      </c>
      <c r="R1443" s="18" t="s">
        <v>39</v>
      </c>
      <c r="S1443" s="19" t="s">
        <v>3584</v>
      </c>
      <c r="T1443" s="17"/>
      <c r="U1443" s="66"/>
    </row>
    <row r="1444" spans="2:21" s="15" customFormat="1" ht="29" x14ac:dyDescent="0.35">
      <c r="B1444" s="64">
        <v>45744</v>
      </c>
      <c r="C1444" s="17">
        <v>1338</v>
      </c>
      <c r="D1444" s="85" t="s">
        <v>3986</v>
      </c>
      <c r="E1444" s="85" t="s">
        <v>3584</v>
      </c>
      <c r="F1444" s="85" t="s">
        <v>1468</v>
      </c>
      <c r="G1444" s="17" t="s">
        <v>1805</v>
      </c>
      <c r="H1444" s="17" t="s">
        <v>1930</v>
      </c>
      <c r="I1444" s="145" t="s">
        <v>39</v>
      </c>
      <c r="J1444" s="17" t="s">
        <v>26</v>
      </c>
      <c r="K1444" s="17" t="s">
        <v>3987</v>
      </c>
      <c r="L1444" s="17" t="s">
        <v>39</v>
      </c>
      <c r="M1444" s="16">
        <v>8128616947</v>
      </c>
      <c r="N1444" s="16">
        <v>868166056885478</v>
      </c>
      <c r="O1444" s="16" t="s">
        <v>39</v>
      </c>
      <c r="P1444" s="17" t="s">
        <v>39</v>
      </c>
      <c r="Q1444" s="17" t="s">
        <v>4174</v>
      </c>
      <c r="R1444" s="18" t="s">
        <v>39</v>
      </c>
      <c r="S1444" s="19" t="s">
        <v>3584</v>
      </c>
      <c r="T1444" s="17"/>
      <c r="U1444" s="66"/>
    </row>
    <row r="1445" spans="2:21" s="15" customFormat="1" ht="29" x14ac:dyDescent="0.35">
      <c r="B1445" s="64">
        <v>45744</v>
      </c>
      <c r="C1445" s="17">
        <v>1339</v>
      </c>
      <c r="D1445" s="85" t="s">
        <v>3988</v>
      </c>
      <c r="E1445" s="85" t="s">
        <v>3584</v>
      </c>
      <c r="F1445" s="85" t="s">
        <v>1468</v>
      </c>
      <c r="G1445" s="17" t="s">
        <v>1805</v>
      </c>
      <c r="H1445" s="17" t="s">
        <v>1930</v>
      </c>
      <c r="I1445" s="145" t="s">
        <v>39</v>
      </c>
      <c r="J1445" s="17" t="s">
        <v>2272</v>
      </c>
      <c r="K1445" s="95" t="s">
        <v>1456</v>
      </c>
      <c r="L1445" s="17" t="s">
        <v>39</v>
      </c>
      <c r="M1445" s="16">
        <v>8126211897</v>
      </c>
      <c r="N1445" s="16">
        <v>860896051699346</v>
      </c>
      <c r="O1445" s="16" t="s">
        <v>994</v>
      </c>
      <c r="P1445" s="17" t="s">
        <v>39</v>
      </c>
      <c r="Q1445" s="17" t="s">
        <v>4174</v>
      </c>
      <c r="R1445" s="18" t="s">
        <v>39</v>
      </c>
      <c r="S1445" s="19" t="s">
        <v>3584</v>
      </c>
      <c r="T1445" s="17"/>
      <c r="U1445" s="66"/>
    </row>
    <row r="1446" spans="2:21" s="15" customFormat="1" ht="29" x14ac:dyDescent="0.35">
      <c r="B1446" s="64">
        <v>45744</v>
      </c>
      <c r="C1446" s="17">
        <v>1340</v>
      </c>
      <c r="D1446" s="85" t="s">
        <v>3989</v>
      </c>
      <c r="E1446" s="85" t="s">
        <v>3584</v>
      </c>
      <c r="F1446" s="85" t="s">
        <v>1468</v>
      </c>
      <c r="G1446" s="17" t="s">
        <v>1805</v>
      </c>
      <c r="H1446" s="17" t="s">
        <v>1930</v>
      </c>
      <c r="I1446" s="145" t="s">
        <v>39</v>
      </c>
      <c r="J1446" s="17" t="s">
        <v>26</v>
      </c>
      <c r="K1446" s="17" t="s">
        <v>1524</v>
      </c>
      <c r="L1446" s="17" t="s">
        <v>39</v>
      </c>
      <c r="M1446" s="16">
        <v>8135514816</v>
      </c>
      <c r="N1446" s="16">
        <v>863756050074122</v>
      </c>
      <c r="O1446" s="16" t="s">
        <v>39</v>
      </c>
      <c r="P1446" s="17" t="s">
        <v>1525</v>
      </c>
      <c r="Q1446" s="17" t="s">
        <v>4174</v>
      </c>
      <c r="R1446" s="18" t="s">
        <v>39</v>
      </c>
      <c r="S1446" s="19" t="s">
        <v>3584</v>
      </c>
      <c r="T1446" s="17"/>
      <c r="U1446" s="66"/>
    </row>
    <row r="1447" spans="2:21" s="15" customFormat="1" ht="29" x14ac:dyDescent="0.35">
      <c r="B1447" s="64">
        <v>45744</v>
      </c>
      <c r="C1447" s="17">
        <v>1341</v>
      </c>
      <c r="D1447" s="85" t="s">
        <v>3990</v>
      </c>
      <c r="E1447" s="85" t="s">
        <v>3584</v>
      </c>
      <c r="F1447" s="85" t="s">
        <v>1468</v>
      </c>
      <c r="G1447" s="17" t="s">
        <v>1805</v>
      </c>
      <c r="H1447" s="17" t="s">
        <v>1930</v>
      </c>
      <c r="I1447" s="145" t="s">
        <v>39</v>
      </c>
      <c r="J1447" s="17" t="s">
        <v>26</v>
      </c>
      <c r="K1447" s="17" t="s">
        <v>1567</v>
      </c>
      <c r="L1447" s="17" t="s">
        <v>39</v>
      </c>
      <c r="M1447" s="16">
        <v>8123195890</v>
      </c>
      <c r="N1447" s="16">
        <v>860896052671120</v>
      </c>
      <c r="O1447" s="16" t="s">
        <v>3992</v>
      </c>
      <c r="P1447" s="17" t="s">
        <v>3991</v>
      </c>
      <c r="Q1447" s="17" t="s">
        <v>4174</v>
      </c>
      <c r="R1447" s="18" t="s">
        <v>39</v>
      </c>
      <c r="S1447" s="19" t="s">
        <v>3584</v>
      </c>
      <c r="T1447" s="17"/>
      <c r="U1447" s="66"/>
    </row>
    <row r="1448" spans="2:21" s="15" customFormat="1" ht="29" x14ac:dyDescent="0.35">
      <c r="B1448" s="64">
        <v>45744</v>
      </c>
      <c r="C1448" s="17">
        <v>1342</v>
      </c>
      <c r="D1448" s="85" t="s">
        <v>3995</v>
      </c>
      <c r="E1448" s="85" t="s">
        <v>3584</v>
      </c>
      <c r="F1448" s="85" t="s">
        <v>1468</v>
      </c>
      <c r="G1448" s="17" t="s">
        <v>1805</v>
      </c>
      <c r="H1448" s="17" t="s">
        <v>1930</v>
      </c>
      <c r="I1448" s="145" t="s">
        <v>39</v>
      </c>
      <c r="J1448" s="17" t="s">
        <v>24</v>
      </c>
      <c r="K1448" s="17" t="s">
        <v>1569</v>
      </c>
      <c r="L1448" s="17" t="s">
        <v>39</v>
      </c>
      <c r="M1448" s="16">
        <v>8126210390</v>
      </c>
      <c r="N1448" s="16" t="s">
        <v>4304</v>
      </c>
      <c r="O1448" s="16" t="s">
        <v>3994</v>
      </c>
      <c r="P1448" s="17" t="s">
        <v>3993</v>
      </c>
      <c r="Q1448" s="17" t="s">
        <v>4174</v>
      </c>
      <c r="R1448" s="18" t="s">
        <v>39</v>
      </c>
      <c r="S1448" s="19" t="s">
        <v>3584</v>
      </c>
      <c r="T1448" s="17"/>
      <c r="U1448" s="66"/>
    </row>
    <row r="1449" spans="2:21" s="15" customFormat="1" ht="29" x14ac:dyDescent="0.35">
      <c r="B1449" s="64">
        <v>45744</v>
      </c>
      <c r="C1449" s="17">
        <v>1343</v>
      </c>
      <c r="D1449" s="85" t="s">
        <v>3996</v>
      </c>
      <c r="E1449" s="85" t="s">
        <v>3584</v>
      </c>
      <c r="F1449" s="85" t="s">
        <v>1468</v>
      </c>
      <c r="G1449" s="17" t="s">
        <v>1805</v>
      </c>
      <c r="H1449" s="17" t="s">
        <v>1930</v>
      </c>
      <c r="I1449" s="145" t="s">
        <v>39</v>
      </c>
      <c r="J1449" s="17" t="s">
        <v>26</v>
      </c>
      <c r="K1449" s="17" t="s">
        <v>3997</v>
      </c>
      <c r="L1449" s="17" t="s">
        <v>39</v>
      </c>
      <c r="M1449" s="16">
        <v>8112446750</v>
      </c>
      <c r="N1449" s="16">
        <v>869530043022470</v>
      </c>
      <c r="O1449" s="16" t="s">
        <v>1578</v>
      </c>
      <c r="P1449" s="17" t="s">
        <v>39</v>
      </c>
      <c r="Q1449" s="17" t="s">
        <v>4174</v>
      </c>
      <c r="R1449" s="18" t="s">
        <v>39</v>
      </c>
      <c r="S1449" s="19" t="s">
        <v>3584</v>
      </c>
      <c r="T1449" s="17"/>
      <c r="U1449" s="66"/>
    </row>
    <row r="1450" spans="2:21" s="15" customFormat="1" ht="29" x14ac:dyDescent="0.35">
      <c r="B1450" s="64">
        <v>45744</v>
      </c>
      <c r="C1450" s="17">
        <v>1344</v>
      </c>
      <c r="D1450" s="85" t="s">
        <v>3998</v>
      </c>
      <c r="E1450" s="85" t="s">
        <v>3584</v>
      </c>
      <c r="F1450" s="85" t="s">
        <v>1468</v>
      </c>
      <c r="G1450" s="17" t="s">
        <v>1805</v>
      </c>
      <c r="H1450" s="17" t="s">
        <v>1930</v>
      </c>
      <c r="I1450" s="145" t="s">
        <v>39</v>
      </c>
      <c r="J1450" s="17" t="s">
        <v>26</v>
      </c>
      <c r="K1450" s="14" t="s">
        <v>1604</v>
      </c>
      <c r="L1450" s="17" t="s">
        <v>39</v>
      </c>
      <c r="M1450" s="16">
        <v>8110449027</v>
      </c>
      <c r="N1450" s="16">
        <v>868166056885171</v>
      </c>
      <c r="O1450" s="16" t="s">
        <v>1605</v>
      </c>
      <c r="P1450" s="17" t="s">
        <v>39</v>
      </c>
      <c r="Q1450" s="17" t="s">
        <v>4174</v>
      </c>
      <c r="R1450" s="18" t="s">
        <v>39</v>
      </c>
      <c r="S1450" s="19" t="s">
        <v>3584</v>
      </c>
      <c r="T1450" s="17"/>
      <c r="U1450" s="66"/>
    </row>
    <row r="1451" spans="2:21" s="15" customFormat="1" ht="29" x14ac:dyDescent="0.35">
      <c r="B1451" s="64">
        <v>45744</v>
      </c>
      <c r="C1451" s="17">
        <v>1345</v>
      </c>
      <c r="D1451" s="85" t="s">
        <v>3999</v>
      </c>
      <c r="E1451" s="85" t="s">
        <v>3584</v>
      </c>
      <c r="F1451" s="85" t="s">
        <v>1468</v>
      </c>
      <c r="G1451" s="17" t="s">
        <v>1805</v>
      </c>
      <c r="H1451" s="17" t="s">
        <v>1930</v>
      </c>
      <c r="I1451" s="145" t="s">
        <v>39</v>
      </c>
      <c r="J1451" s="17" t="s">
        <v>4000</v>
      </c>
      <c r="K1451" s="17" t="s">
        <v>1643</v>
      </c>
      <c r="L1451" s="17" t="s">
        <v>39</v>
      </c>
      <c r="M1451" s="16">
        <v>8119169703</v>
      </c>
      <c r="N1451" s="16">
        <v>868166057388696</v>
      </c>
      <c r="O1451" s="16" t="s">
        <v>39</v>
      </c>
      <c r="P1451" s="17" t="s">
        <v>1645</v>
      </c>
      <c r="Q1451" s="17" t="s">
        <v>4174</v>
      </c>
      <c r="R1451" s="18" t="s">
        <v>39</v>
      </c>
      <c r="S1451" s="19" t="s">
        <v>3584</v>
      </c>
      <c r="T1451" s="17"/>
      <c r="U1451" s="66"/>
    </row>
    <row r="1452" spans="2:21" s="15" customFormat="1" ht="29" x14ac:dyDescent="0.35">
      <c r="B1452" s="64">
        <v>45744</v>
      </c>
      <c r="C1452" s="17">
        <v>1346</v>
      </c>
      <c r="D1452" s="85" t="s">
        <v>4001</v>
      </c>
      <c r="E1452" s="85" t="s">
        <v>3584</v>
      </c>
      <c r="F1452" s="85" t="s">
        <v>1468</v>
      </c>
      <c r="G1452" s="17" t="s">
        <v>1805</v>
      </c>
      <c r="H1452" s="17" t="s">
        <v>1930</v>
      </c>
      <c r="I1452" s="145" t="s">
        <v>39</v>
      </c>
      <c r="J1452" s="17" t="s">
        <v>26</v>
      </c>
      <c r="K1452" s="17" t="s">
        <v>1652</v>
      </c>
      <c r="L1452" s="17" t="s">
        <v>39</v>
      </c>
      <c r="M1452" s="16">
        <v>8120013078</v>
      </c>
      <c r="N1452" s="16">
        <v>869220040808606</v>
      </c>
      <c r="O1452" s="16" t="s">
        <v>1653</v>
      </c>
      <c r="P1452" s="17" t="s">
        <v>39</v>
      </c>
      <c r="Q1452" s="17" t="s">
        <v>4174</v>
      </c>
      <c r="R1452" s="18" t="s">
        <v>39</v>
      </c>
      <c r="S1452" s="19" t="s">
        <v>3584</v>
      </c>
      <c r="T1452" s="17"/>
      <c r="U1452" s="66"/>
    </row>
    <row r="1453" spans="2:21" s="15" customFormat="1" ht="29" x14ac:dyDescent="0.35">
      <c r="B1453" s="64">
        <v>45744</v>
      </c>
      <c r="C1453" s="17">
        <v>1347</v>
      </c>
      <c r="D1453" s="85" t="s">
        <v>4002</v>
      </c>
      <c r="E1453" s="85" t="s">
        <v>3584</v>
      </c>
      <c r="F1453" s="85" t="s">
        <v>1468</v>
      </c>
      <c r="G1453" s="17" t="s">
        <v>1805</v>
      </c>
      <c r="H1453" s="17" t="s">
        <v>1930</v>
      </c>
      <c r="I1453" s="145" t="s">
        <v>39</v>
      </c>
      <c r="J1453" s="17" t="s">
        <v>4003</v>
      </c>
      <c r="K1453" s="17" t="s">
        <v>1670</v>
      </c>
      <c r="L1453" s="17" t="s">
        <v>39</v>
      </c>
      <c r="M1453" s="16">
        <v>8128617956</v>
      </c>
      <c r="N1453" s="16">
        <v>869220041537204</v>
      </c>
      <c r="O1453" s="16" t="s">
        <v>39</v>
      </c>
      <c r="P1453" s="17" t="s">
        <v>1671</v>
      </c>
      <c r="Q1453" s="17" t="s">
        <v>4174</v>
      </c>
      <c r="R1453" s="18" t="s">
        <v>39</v>
      </c>
      <c r="S1453" s="19" t="s">
        <v>3584</v>
      </c>
      <c r="T1453" s="17"/>
      <c r="U1453" s="66"/>
    </row>
    <row r="1454" spans="2:21" s="15" customFormat="1" ht="29" x14ac:dyDescent="0.35">
      <c r="B1454" s="64">
        <v>45744</v>
      </c>
      <c r="C1454" s="17">
        <v>1348</v>
      </c>
      <c r="D1454" s="85" t="s">
        <v>4004</v>
      </c>
      <c r="E1454" s="85" t="s">
        <v>3584</v>
      </c>
      <c r="F1454" s="85" t="s">
        <v>1468</v>
      </c>
      <c r="G1454" s="17" t="s">
        <v>1805</v>
      </c>
      <c r="H1454" s="17" t="s">
        <v>1930</v>
      </c>
      <c r="I1454" s="145" t="s">
        <v>39</v>
      </c>
      <c r="J1454" s="17" t="s">
        <v>4005</v>
      </c>
      <c r="K1454" s="17" t="s">
        <v>1674</v>
      </c>
      <c r="L1454" s="17" t="s">
        <v>39</v>
      </c>
      <c r="M1454" s="16">
        <v>8120291824</v>
      </c>
      <c r="N1454" s="16">
        <v>869220041536479</v>
      </c>
      <c r="O1454" s="16" t="s">
        <v>39</v>
      </c>
      <c r="P1454" s="17" t="s">
        <v>1675</v>
      </c>
      <c r="Q1454" s="17" t="s">
        <v>4174</v>
      </c>
      <c r="R1454" s="18" t="s">
        <v>39</v>
      </c>
      <c r="S1454" s="19" t="s">
        <v>3584</v>
      </c>
      <c r="T1454" s="17"/>
      <c r="U1454" s="66"/>
    </row>
    <row r="1455" spans="2:21" s="15" customFormat="1" ht="29" x14ac:dyDescent="0.35">
      <c r="B1455" s="64">
        <v>45744</v>
      </c>
      <c r="C1455" s="17">
        <v>1349</v>
      </c>
      <c r="D1455" s="85" t="s">
        <v>4006</v>
      </c>
      <c r="E1455" s="85" t="s">
        <v>3584</v>
      </c>
      <c r="F1455" s="85" t="s">
        <v>1468</v>
      </c>
      <c r="G1455" s="17" t="s">
        <v>1805</v>
      </c>
      <c r="H1455" s="17" t="s">
        <v>1930</v>
      </c>
      <c r="I1455" s="145" t="s">
        <v>39</v>
      </c>
      <c r="J1455" s="17" t="s">
        <v>4007</v>
      </c>
      <c r="K1455" s="17" t="s">
        <v>1707</v>
      </c>
      <c r="L1455" s="17" t="s">
        <v>39</v>
      </c>
      <c r="M1455" s="16">
        <v>8112777961</v>
      </c>
      <c r="N1455" s="16">
        <v>8692200415351330</v>
      </c>
      <c r="O1455" s="16" t="s">
        <v>39</v>
      </c>
      <c r="P1455" s="17" t="s">
        <v>1701</v>
      </c>
      <c r="Q1455" s="17" t="s">
        <v>4174</v>
      </c>
      <c r="R1455" s="18" t="s">
        <v>39</v>
      </c>
      <c r="S1455" s="19" t="s">
        <v>3584</v>
      </c>
      <c r="T1455" s="17"/>
      <c r="U1455" s="66"/>
    </row>
    <row r="1456" spans="2:21" s="15" customFormat="1" ht="29" x14ac:dyDescent="0.35">
      <c r="B1456" s="64">
        <v>45744</v>
      </c>
      <c r="C1456" s="17">
        <v>1350</v>
      </c>
      <c r="D1456" s="85" t="s">
        <v>4008</v>
      </c>
      <c r="E1456" s="85" t="s">
        <v>3584</v>
      </c>
      <c r="F1456" s="85" t="s">
        <v>1468</v>
      </c>
      <c r="G1456" s="17" t="s">
        <v>1805</v>
      </c>
      <c r="H1456" s="17" t="s">
        <v>1930</v>
      </c>
      <c r="I1456" s="145" t="s">
        <v>39</v>
      </c>
      <c r="J1456" s="17" t="s">
        <v>26</v>
      </c>
      <c r="K1456" s="17" t="s">
        <v>1733</v>
      </c>
      <c r="L1456" s="17" t="s">
        <v>39</v>
      </c>
      <c r="M1456" s="16">
        <v>8112392635</v>
      </c>
      <c r="N1456" s="16">
        <v>869220041535885</v>
      </c>
      <c r="O1456" s="16" t="s">
        <v>4010</v>
      </c>
      <c r="P1456" s="17" t="s">
        <v>4009</v>
      </c>
      <c r="Q1456" s="17" t="s">
        <v>4174</v>
      </c>
      <c r="R1456" s="18" t="s">
        <v>39</v>
      </c>
      <c r="S1456" s="19" t="s">
        <v>3584</v>
      </c>
      <c r="T1456" s="17"/>
      <c r="U1456" s="66"/>
    </row>
    <row r="1457" spans="2:21" s="15" customFormat="1" ht="29" x14ac:dyDescent="0.35">
      <c r="B1457" s="64">
        <v>45744</v>
      </c>
      <c r="C1457" s="17">
        <v>1351</v>
      </c>
      <c r="D1457" s="85" t="s">
        <v>4012</v>
      </c>
      <c r="E1457" s="85" t="s">
        <v>3584</v>
      </c>
      <c r="F1457" s="85" t="s">
        <v>1468</v>
      </c>
      <c r="G1457" s="17" t="s">
        <v>1805</v>
      </c>
      <c r="H1457" s="17" t="s">
        <v>1930</v>
      </c>
      <c r="I1457" s="145" t="s">
        <v>39</v>
      </c>
      <c r="J1457" s="17" t="s">
        <v>26</v>
      </c>
      <c r="K1457" s="17" t="s">
        <v>4011</v>
      </c>
      <c r="L1457" s="17" t="s">
        <v>39</v>
      </c>
      <c r="M1457" s="16">
        <v>8128615811</v>
      </c>
      <c r="N1457" s="16">
        <v>868166057893679</v>
      </c>
      <c r="O1457" s="16" t="s">
        <v>39</v>
      </c>
      <c r="P1457" s="17" t="s">
        <v>1753</v>
      </c>
      <c r="Q1457" s="17" t="s">
        <v>4174</v>
      </c>
      <c r="R1457" s="18" t="s">
        <v>39</v>
      </c>
      <c r="S1457" s="19" t="s">
        <v>3584</v>
      </c>
      <c r="T1457" s="17"/>
      <c r="U1457" s="66"/>
    </row>
    <row r="1458" spans="2:21" s="15" customFormat="1" ht="29" x14ac:dyDescent="0.35">
      <c r="B1458" s="64">
        <v>45744</v>
      </c>
      <c r="C1458" s="17">
        <v>1352</v>
      </c>
      <c r="D1458" s="85" t="s">
        <v>4013</v>
      </c>
      <c r="E1458" s="85" t="s">
        <v>3584</v>
      </c>
      <c r="F1458" s="85" t="s">
        <v>1468</v>
      </c>
      <c r="G1458" s="17" t="s">
        <v>1805</v>
      </c>
      <c r="H1458" s="17" t="s">
        <v>1930</v>
      </c>
      <c r="I1458" s="145" t="s">
        <v>39</v>
      </c>
      <c r="J1458" s="17" t="s">
        <v>4016</v>
      </c>
      <c r="K1458" s="17" t="s">
        <v>1777</v>
      </c>
      <c r="L1458" s="17" t="s">
        <v>39</v>
      </c>
      <c r="M1458" s="16">
        <v>8117990740</v>
      </c>
      <c r="N1458" s="16">
        <v>868166057892135</v>
      </c>
      <c r="O1458" s="16" t="s">
        <v>4015</v>
      </c>
      <c r="P1458" s="17" t="s">
        <v>4014</v>
      </c>
      <c r="Q1458" s="17" t="s">
        <v>4174</v>
      </c>
      <c r="R1458" s="18" t="s">
        <v>39</v>
      </c>
      <c r="S1458" s="19" t="s">
        <v>3584</v>
      </c>
      <c r="T1458" s="17"/>
      <c r="U1458" s="66"/>
    </row>
    <row r="1459" spans="2:21" s="15" customFormat="1" ht="29" x14ac:dyDescent="0.35">
      <c r="B1459" s="64">
        <v>45744</v>
      </c>
      <c r="C1459" s="17">
        <v>1353</v>
      </c>
      <c r="D1459" s="85" t="s">
        <v>4017</v>
      </c>
      <c r="E1459" s="85" t="s">
        <v>3584</v>
      </c>
      <c r="F1459" s="85" t="s">
        <v>1468</v>
      </c>
      <c r="G1459" s="17" t="s">
        <v>1805</v>
      </c>
      <c r="H1459" s="17" t="s">
        <v>1930</v>
      </c>
      <c r="I1459" s="145" t="s">
        <v>39</v>
      </c>
      <c r="J1459" s="17" t="s">
        <v>4018</v>
      </c>
      <c r="K1459" s="17" t="s">
        <v>1803</v>
      </c>
      <c r="L1459" s="17" t="s">
        <v>39</v>
      </c>
      <c r="M1459" s="16">
        <v>8119174114</v>
      </c>
      <c r="N1459" s="16">
        <v>868166058820275</v>
      </c>
      <c r="O1459" s="16" t="s">
        <v>39</v>
      </c>
      <c r="P1459" s="17" t="s">
        <v>1804</v>
      </c>
      <c r="Q1459" s="17" t="s">
        <v>4174</v>
      </c>
      <c r="R1459" s="18" t="s">
        <v>39</v>
      </c>
      <c r="S1459" s="19" t="s">
        <v>3584</v>
      </c>
      <c r="T1459" s="17"/>
      <c r="U1459" s="66"/>
    </row>
    <row r="1460" spans="2:21" s="15" customFormat="1" ht="29" x14ac:dyDescent="0.35">
      <c r="B1460" s="64">
        <v>45744</v>
      </c>
      <c r="C1460" s="17">
        <v>1354</v>
      </c>
      <c r="D1460" s="85" t="s">
        <v>4019</v>
      </c>
      <c r="E1460" s="85" t="s">
        <v>3584</v>
      </c>
      <c r="F1460" s="85" t="s">
        <v>1468</v>
      </c>
      <c r="G1460" s="17" t="s">
        <v>1805</v>
      </c>
      <c r="H1460" s="17" t="s">
        <v>1930</v>
      </c>
      <c r="I1460" s="145" t="s">
        <v>39</v>
      </c>
      <c r="J1460" s="17" t="s">
        <v>4023</v>
      </c>
      <c r="K1460" s="17" t="s">
        <v>4020</v>
      </c>
      <c r="L1460" s="17" t="s">
        <v>39</v>
      </c>
      <c r="M1460" s="16">
        <v>8115778037</v>
      </c>
      <c r="N1460" s="16">
        <v>868166058821133</v>
      </c>
      <c r="O1460" s="16" t="s">
        <v>4022</v>
      </c>
      <c r="P1460" s="17" t="s">
        <v>4021</v>
      </c>
      <c r="Q1460" s="17" t="s">
        <v>4174</v>
      </c>
      <c r="R1460" s="18" t="s">
        <v>39</v>
      </c>
      <c r="S1460" s="19" t="s">
        <v>3584</v>
      </c>
      <c r="T1460" s="17"/>
      <c r="U1460" s="66"/>
    </row>
    <row r="1461" spans="2:21" s="15" customFormat="1" ht="29" x14ac:dyDescent="0.35">
      <c r="B1461" s="64">
        <v>45744</v>
      </c>
      <c r="C1461" s="17">
        <v>1355</v>
      </c>
      <c r="D1461" s="85" t="s">
        <v>4024</v>
      </c>
      <c r="E1461" s="85" t="s">
        <v>3584</v>
      </c>
      <c r="F1461" s="85" t="s">
        <v>1468</v>
      </c>
      <c r="G1461" s="17" t="s">
        <v>1805</v>
      </c>
      <c r="H1461" s="17" t="s">
        <v>1930</v>
      </c>
      <c r="I1461" s="145" t="s">
        <v>39</v>
      </c>
      <c r="J1461" s="17" t="s">
        <v>26</v>
      </c>
      <c r="K1461" s="17" t="s">
        <v>1809</v>
      </c>
      <c r="L1461" s="17" t="s">
        <v>39</v>
      </c>
      <c r="M1461" s="16">
        <v>8123540935</v>
      </c>
      <c r="N1461" s="16">
        <v>868166058820390</v>
      </c>
      <c r="O1461" s="16" t="s">
        <v>4026</v>
      </c>
      <c r="P1461" s="17" t="s">
        <v>4025</v>
      </c>
      <c r="Q1461" s="17" t="s">
        <v>4174</v>
      </c>
      <c r="R1461" s="18" t="s">
        <v>39</v>
      </c>
      <c r="S1461" s="19" t="s">
        <v>3584</v>
      </c>
      <c r="T1461" s="17"/>
      <c r="U1461" s="66"/>
    </row>
    <row r="1462" spans="2:21" s="15" customFormat="1" ht="29" x14ac:dyDescent="0.35">
      <c r="B1462" s="64">
        <v>45744</v>
      </c>
      <c r="C1462" s="17">
        <v>1356</v>
      </c>
      <c r="D1462" s="85" t="s">
        <v>4027</v>
      </c>
      <c r="E1462" s="85" t="s">
        <v>3584</v>
      </c>
      <c r="F1462" s="85" t="s">
        <v>1468</v>
      </c>
      <c r="G1462" s="17" t="s">
        <v>1805</v>
      </c>
      <c r="H1462" s="17" t="s">
        <v>1930</v>
      </c>
      <c r="I1462" s="145" t="s">
        <v>39</v>
      </c>
      <c r="J1462" s="17" t="s">
        <v>26</v>
      </c>
      <c r="K1462" s="95" t="s">
        <v>1837</v>
      </c>
      <c r="L1462" s="17" t="s">
        <v>39</v>
      </c>
      <c r="M1462" s="16">
        <v>8119168100</v>
      </c>
      <c r="N1462" s="16">
        <v>868166058823014</v>
      </c>
      <c r="O1462" s="16" t="s">
        <v>4029</v>
      </c>
      <c r="P1462" s="17" t="s">
        <v>4028</v>
      </c>
      <c r="Q1462" s="17" t="s">
        <v>4174</v>
      </c>
      <c r="R1462" s="18" t="s">
        <v>39</v>
      </c>
      <c r="S1462" s="19" t="s">
        <v>3584</v>
      </c>
      <c r="T1462" s="17"/>
      <c r="U1462" s="66"/>
    </row>
    <row r="1463" spans="2:21" s="15" customFormat="1" ht="29" x14ac:dyDescent="0.35">
      <c r="B1463" s="64">
        <v>45744</v>
      </c>
      <c r="C1463" s="17">
        <v>1357</v>
      </c>
      <c r="D1463" s="85" t="s">
        <v>4030</v>
      </c>
      <c r="E1463" s="85" t="s">
        <v>3584</v>
      </c>
      <c r="F1463" s="85" t="s">
        <v>1468</v>
      </c>
      <c r="G1463" s="17" t="s">
        <v>1805</v>
      </c>
      <c r="H1463" s="17" t="s">
        <v>1930</v>
      </c>
      <c r="I1463" s="145" t="s">
        <v>39</v>
      </c>
      <c r="J1463" s="17" t="s">
        <v>4315</v>
      </c>
      <c r="K1463" s="17" t="s">
        <v>4031</v>
      </c>
      <c r="L1463" s="17" t="s">
        <v>39</v>
      </c>
      <c r="M1463" s="16">
        <v>8119165093</v>
      </c>
      <c r="N1463" s="16">
        <v>868166058822792</v>
      </c>
      <c r="O1463" s="16" t="s">
        <v>4033</v>
      </c>
      <c r="P1463" s="17" t="s">
        <v>4032</v>
      </c>
      <c r="Q1463" s="17" t="s">
        <v>4174</v>
      </c>
      <c r="R1463" s="18" t="s">
        <v>39</v>
      </c>
      <c r="S1463" s="19" t="s">
        <v>3584</v>
      </c>
      <c r="T1463" s="17"/>
      <c r="U1463" s="66"/>
    </row>
    <row r="1464" spans="2:21" s="15" customFormat="1" ht="29" x14ac:dyDescent="0.35">
      <c r="B1464" s="64">
        <v>45744</v>
      </c>
      <c r="C1464" s="17">
        <v>1358</v>
      </c>
      <c r="D1464" s="85" t="s">
        <v>4034</v>
      </c>
      <c r="E1464" s="85" t="s">
        <v>3584</v>
      </c>
      <c r="F1464" s="85" t="s">
        <v>1468</v>
      </c>
      <c r="G1464" s="17" t="s">
        <v>1805</v>
      </c>
      <c r="H1464" s="17" t="s">
        <v>1930</v>
      </c>
      <c r="I1464" s="145" t="s">
        <v>39</v>
      </c>
      <c r="J1464" s="17" t="s">
        <v>4316</v>
      </c>
      <c r="K1464" s="17" t="s">
        <v>4035</v>
      </c>
      <c r="L1464" s="17" t="s">
        <v>39</v>
      </c>
      <c r="M1464" s="16">
        <v>8135510305</v>
      </c>
      <c r="N1464" s="16">
        <v>869220041423033</v>
      </c>
      <c r="O1464" s="16" t="s">
        <v>4037</v>
      </c>
      <c r="P1464" s="17" t="s">
        <v>4036</v>
      </c>
      <c r="Q1464" s="17" t="s">
        <v>4174</v>
      </c>
      <c r="R1464" s="18" t="s">
        <v>39</v>
      </c>
      <c r="S1464" s="19" t="s">
        <v>3584</v>
      </c>
      <c r="T1464" s="17"/>
      <c r="U1464" s="66"/>
    </row>
    <row r="1465" spans="2:21" s="15" customFormat="1" ht="29" x14ac:dyDescent="0.35">
      <c r="B1465" s="64">
        <v>45744</v>
      </c>
      <c r="C1465" s="17">
        <v>1359</v>
      </c>
      <c r="D1465" s="85" t="s">
        <v>4038</v>
      </c>
      <c r="E1465" s="85" t="s">
        <v>3584</v>
      </c>
      <c r="F1465" s="85" t="s">
        <v>1468</v>
      </c>
      <c r="G1465" s="17" t="s">
        <v>1805</v>
      </c>
      <c r="H1465" s="17" t="s">
        <v>1930</v>
      </c>
      <c r="I1465" s="145" t="s">
        <v>39</v>
      </c>
      <c r="J1465" s="17" t="s">
        <v>26</v>
      </c>
      <c r="K1465" s="17" t="s">
        <v>1881</v>
      </c>
      <c r="L1465" s="17" t="s">
        <v>39</v>
      </c>
      <c r="M1465" s="16">
        <v>8128619639</v>
      </c>
      <c r="N1465" s="16">
        <v>868166057892242</v>
      </c>
      <c r="O1465" s="16" t="s">
        <v>4040</v>
      </c>
      <c r="P1465" s="17" t="s">
        <v>4039</v>
      </c>
      <c r="Q1465" s="17" t="s">
        <v>4174</v>
      </c>
      <c r="R1465" s="18" t="s">
        <v>39</v>
      </c>
      <c r="S1465" s="19" t="s">
        <v>3584</v>
      </c>
      <c r="T1465" s="17"/>
      <c r="U1465" s="66"/>
    </row>
    <row r="1466" spans="2:21" s="15" customFormat="1" ht="29" x14ac:dyDescent="0.35">
      <c r="B1466" s="64">
        <v>45744</v>
      </c>
      <c r="C1466" s="17">
        <v>1360</v>
      </c>
      <c r="D1466" s="85" t="s">
        <v>4041</v>
      </c>
      <c r="E1466" s="85" t="s">
        <v>3584</v>
      </c>
      <c r="F1466" s="85" t="s">
        <v>1468</v>
      </c>
      <c r="G1466" s="17" t="s">
        <v>1805</v>
      </c>
      <c r="H1466" s="17" t="s">
        <v>1930</v>
      </c>
      <c r="I1466" s="145" t="s">
        <v>39</v>
      </c>
      <c r="J1466" s="17" t="s">
        <v>4317</v>
      </c>
      <c r="K1466" s="17" t="s">
        <v>4042</v>
      </c>
      <c r="L1466" s="17" t="s">
        <v>39</v>
      </c>
      <c r="M1466" s="16">
        <v>8135511028</v>
      </c>
      <c r="N1466" s="16">
        <v>868166059175513</v>
      </c>
      <c r="O1466" s="16" t="s">
        <v>4044</v>
      </c>
      <c r="P1466" s="17" t="s">
        <v>4043</v>
      </c>
      <c r="Q1466" s="17" t="s">
        <v>4174</v>
      </c>
      <c r="R1466" s="18" t="s">
        <v>39</v>
      </c>
      <c r="S1466" s="19" t="s">
        <v>3584</v>
      </c>
      <c r="T1466" s="17"/>
      <c r="U1466" s="66"/>
    </row>
    <row r="1467" spans="2:21" s="15" customFormat="1" ht="29" x14ac:dyDescent="0.35">
      <c r="B1467" s="64">
        <v>45744</v>
      </c>
      <c r="C1467" s="17">
        <v>1361</v>
      </c>
      <c r="D1467" s="85" t="s">
        <v>4045</v>
      </c>
      <c r="E1467" s="85" t="s">
        <v>3584</v>
      </c>
      <c r="F1467" s="85" t="s">
        <v>1468</v>
      </c>
      <c r="G1467" s="17" t="s">
        <v>1805</v>
      </c>
      <c r="H1467" s="17" t="s">
        <v>1930</v>
      </c>
      <c r="I1467" s="145" t="s">
        <v>39</v>
      </c>
      <c r="J1467" s="17" t="s">
        <v>4318</v>
      </c>
      <c r="K1467" s="17" t="s">
        <v>4046</v>
      </c>
      <c r="L1467" s="17" t="s">
        <v>39</v>
      </c>
      <c r="M1467" s="16">
        <v>8182547858</v>
      </c>
      <c r="N1467" s="16">
        <v>868166059174854</v>
      </c>
      <c r="O1467" s="16" t="s">
        <v>4048</v>
      </c>
      <c r="P1467" s="17" t="s">
        <v>4047</v>
      </c>
      <c r="Q1467" s="17" t="s">
        <v>4174</v>
      </c>
      <c r="R1467" s="18" t="s">
        <v>39</v>
      </c>
      <c r="S1467" s="19" t="s">
        <v>3584</v>
      </c>
      <c r="T1467" s="17"/>
      <c r="U1467" s="66"/>
    </row>
    <row r="1468" spans="2:21" s="15" customFormat="1" ht="29" x14ac:dyDescent="0.35">
      <c r="B1468" s="64">
        <v>45744</v>
      </c>
      <c r="C1468" s="17">
        <v>1362</v>
      </c>
      <c r="D1468" s="85" t="s">
        <v>4049</v>
      </c>
      <c r="E1468" s="85" t="s">
        <v>3584</v>
      </c>
      <c r="F1468" s="85" t="s">
        <v>1468</v>
      </c>
      <c r="G1468" s="17" t="s">
        <v>1805</v>
      </c>
      <c r="H1468" s="17" t="s">
        <v>1930</v>
      </c>
      <c r="I1468" s="145" t="s">
        <v>39</v>
      </c>
      <c r="J1468" s="17" t="s">
        <v>4050</v>
      </c>
      <c r="K1468" s="17" t="s">
        <v>2052</v>
      </c>
      <c r="L1468" s="17" t="s">
        <v>39</v>
      </c>
      <c r="M1468" s="16">
        <v>8115319749</v>
      </c>
      <c r="N1468" s="16">
        <v>359857084517101</v>
      </c>
      <c r="O1468" s="16" t="s">
        <v>39</v>
      </c>
      <c r="P1468" s="17" t="s">
        <v>39</v>
      </c>
      <c r="Q1468" s="17" t="s">
        <v>4174</v>
      </c>
      <c r="R1468" s="18" t="s">
        <v>39</v>
      </c>
      <c r="S1468" s="19" t="s">
        <v>3584</v>
      </c>
      <c r="T1468" s="17"/>
      <c r="U1468" s="66"/>
    </row>
    <row r="1469" spans="2:21" s="15" customFormat="1" ht="29" x14ac:dyDescent="0.35">
      <c r="B1469" s="64">
        <v>45744</v>
      </c>
      <c r="C1469" s="17">
        <v>1363</v>
      </c>
      <c r="D1469" s="85" t="s">
        <v>4051</v>
      </c>
      <c r="E1469" s="85" t="s">
        <v>3584</v>
      </c>
      <c r="F1469" s="85" t="s">
        <v>1468</v>
      </c>
      <c r="G1469" s="17" t="s">
        <v>1805</v>
      </c>
      <c r="H1469" s="17" t="s">
        <v>1930</v>
      </c>
      <c r="I1469" s="145" t="s">
        <v>39</v>
      </c>
      <c r="J1469" s="17" t="s">
        <v>4052</v>
      </c>
      <c r="K1469" s="17" t="s">
        <v>2077</v>
      </c>
      <c r="L1469" s="17" t="s">
        <v>39</v>
      </c>
      <c r="M1469" s="16" t="s">
        <v>4324</v>
      </c>
      <c r="N1469" s="16">
        <v>868166057575524</v>
      </c>
      <c r="O1469" s="16" t="s">
        <v>39</v>
      </c>
      <c r="P1469" s="17" t="s">
        <v>2078</v>
      </c>
      <c r="Q1469" s="17" t="s">
        <v>4174</v>
      </c>
      <c r="R1469" s="18" t="s">
        <v>39</v>
      </c>
      <c r="S1469" s="19" t="s">
        <v>3584</v>
      </c>
      <c r="T1469" s="17"/>
      <c r="U1469" s="66"/>
    </row>
    <row r="1470" spans="2:21" s="15" customFormat="1" ht="29" x14ac:dyDescent="0.35">
      <c r="B1470" s="64">
        <v>45744</v>
      </c>
      <c r="C1470" s="17">
        <v>1364</v>
      </c>
      <c r="D1470" s="85" t="s">
        <v>4053</v>
      </c>
      <c r="E1470" s="85" t="s">
        <v>3584</v>
      </c>
      <c r="F1470" s="85" t="s">
        <v>1468</v>
      </c>
      <c r="G1470" s="17" t="s">
        <v>1805</v>
      </c>
      <c r="H1470" s="17" t="s">
        <v>1930</v>
      </c>
      <c r="I1470" s="145" t="s">
        <v>39</v>
      </c>
      <c r="J1470" s="17" t="s">
        <v>4325</v>
      </c>
      <c r="K1470" s="17" t="s">
        <v>2097</v>
      </c>
      <c r="L1470" s="17" t="s">
        <v>39</v>
      </c>
      <c r="M1470" s="16">
        <v>8120362372</v>
      </c>
      <c r="N1470" s="16">
        <v>863844052849921</v>
      </c>
      <c r="O1470" s="16" t="s">
        <v>39</v>
      </c>
      <c r="P1470" s="17" t="s">
        <v>2098</v>
      </c>
      <c r="Q1470" s="17" t="s">
        <v>4174</v>
      </c>
      <c r="R1470" s="18" t="s">
        <v>39</v>
      </c>
      <c r="S1470" s="19" t="s">
        <v>3584</v>
      </c>
      <c r="T1470" s="17"/>
      <c r="U1470" s="66"/>
    </row>
    <row r="1471" spans="2:21" s="15" customFormat="1" ht="29" x14ac:dyDescent="0.35">
      <c r="B1471" s="64">
        <v>45744</v>
      </c>
      <c r="C1471" s="17">
        <v>1365</v>
      </c>
      <c r="D1471" s="85" t="s">
        <v>4054</v>
      </c>
      <c r="E1471" s="85" t="s">
        <v>3584</v>
      </c>
      <c r="F1471" s="85" t="s">
        <v>1468</v>
      </c>
      <c r="G1471" s="17" t="s">
        <v>1805</v>
      </c>
      <c r="H1471" s="17" t="s">
        <v>1930</v>
      </c>
      <c r="I1471" s="145" t="s">
        <v>39</v>
      </c>
      <c r="J1471" s="17" t="s">
        <v>4056</v>
      </c>
      <c r="K1471" s="17" t="s">
        <v>2101</v>
      </c>
      <c r="L1471" s="17" t="s">
        <v>39</v>
      </c>
      <c r="M1471" s="16">
        <v>8110443687</v>
      </c>
      <c r="N1471" s="16">
        <v>868166057587537</v>
      </c>
      <c r="O1471" s="16" t="s">
        <v>4055</v>
      </c>
      <c r="P1471" s="17" t="s">
        <v>39</v>
      </c>
      <c r="Q1471" s="17" t="s">
        <v>4174</v>
      </c>
      <c r="R1471" s="18" t="s">
        <v>39</v>
      </c>
      <c r="S1471" s="19" t="s">
        <v>3584</v>
      </c>
      <c r="T1471" s="17"/>
      <c r="U1471" s="66"/>
    </row>
    <row r="1472" spans="2:21" s="15" customFormat="1" ht="29" x14ac:dyDescent="0.35">
      <c r="B1472" s="64">
        <v>45744</v>
      </c>
      <c r="C1472" s="17">
        <v>1366</v>
      </c>
      <c r="D1472" s="85" t="s">
        <v>4057</v>
      </c>
      <c r="E1472" s="85" t="s">
        <v>3584</v>
      </c>
      <c r="F1472" s="85" t="s">
        <v>1468</v>
      </c>
      <c r="G1472" s="17" t="s">
        <v>1805</v>
      </c>
      <c r="H1472" s="17" t="s">
        <v>1930</v>
      </c>
      <c r="I1472" s="145" t="s">
        <v>39</v>
      </c>
      <c r="J1472" s="17" t="s">
        <v>4060</v>
      </c>
      <c r="K1472" s="17" t="s">
        <v>2301</v>
      </c>
      <c r="L1472" s="17" t="s">
        <v>39</v>
      </c>
      <c r="M1472" s="16">
        <v>8120010209</v>
      </c>
      <c r="N1472" s="16">
        <v>869220041854245</v>
      </c>
      <c r="O1472" s="16" t="s">
        <v>4059</v>
      </c>
      <c r="P1472" s="17" t="s">
        <v>4058</v>
      </c>
      <c r="Q1472" s="17" t="s">
        <v>4174</v>
      </c>
      <c r="R1472" s="18" t="s">
        <v>39</v>
      </c>
      <c r="S1472" s="19" t="s">
        <v>3584</v>
      </c>
      <c r="T1472" s="17"/>
      <c r="U1472" s="66"/>
    </row>
    <row r="1473" spans="2:21" s="15" customFormat="1" ht="29" x14ac:dyDescent="0.35">
      <c r="B1473" s="64">
        <v>45744</v>
      </c>
      <c r="C1473" s="17">
        <v>1367</v>
      </c>
      <c r="D1473" s="85" t="s">
        <v>4061</v>
      </c>
      <c r="E1473" s="85" t="s">
        <v>3584</v>
      </c>
      <c r="F1473" s="85" t="s">
        <v>1468</v>
      </c>
      <c r="G1473" s="17" t="s">
        <v>1805</v>
      </c>
      <c r="H1473" s="17" t="s">
        <v>1930</v>
      </c>
      <c r="I1473" s="145" t="s">
        <v>39</v>
      </c>
      <c r="J1473" s="17" t="s">
        <v>4062</v>
      </c>
      <c r="K1473" s="17" t="s">
        <v>2382</v>
      </c>
      <c r="L1473" s="17" t="s">
        <v>39</v>
      </c>
      <c r="M1473" s="16">
        <v>8331894863</v>
      </c>
      <c r="N1473" s="16">
        <v>869706060882836</v>
      </c>
      <c r="O1473" s="16" t="s">
        <v>39</v>
      </c>
      <c r="P1473" s="17" t="s">
        <v>2383</v>
      </c>
      <c r="Q1473" s="17" t="s">
        <v>4174</v>
      </c>
      <c r="R1473" s="18" t="s">
        <v>39</v>
      </c>
      <c r="S1473" s="19" t="s">
        <v>3584</v>
      </c>
      <c r="T1473" s="17"/>
      <c r="U1473" s="66"/>
    </row>
    <row r="1474" spans="2:21" s="15" customFormat="1" ht="29" x14ac:dyDescent="0.35">
      <c r="B1474" s="64">
        <v>45744</v>
      </c>
      <c r="C1474" s="17">
        <v>1368</v>
      </c>
      <c r="D1474" s="85" t="s">
        <v>4063</v>
      </c>
      <c r="E1474" s="85" t="s">
        <v>3584</v>
      </c>
      <c r="F1474" s="85" t="s">
        <v>1468</v>
      </c>
      <c r="G1474" s="17" t="s">
        <v>1805</v>
      </c>
      <c r="H1474" s="17" t="s">
        <v>1930</v>
      </c>
      <c r="I1474" s="145" t="s">
        <v>39</v>
      </c>
      <c r="J1474" s="17" t="s">
        <v>4066</v>
      </c>
      <c r="K1474" s="17" t="s">
        <v>4064</v>
      </c>
      <c r="L1474" s="17" t="s">
        <v>39</v>
      </c>
      <c r="M1474" s="16">
        <v>8333015671</v>
      </c>
      <c r="N1474" s="16">
        <v>869706060074806</v>
      </c>
      <c r="O1474" s="16" t="s">
        <v>39</v>
      </c>
      <c r="P1474" s="17" t="s">
        <v>4065</v>
      </c>
      <c r="Q1474" s="17" t="s">
        <v>4174</v>
      </c>
      <c r="R1474" s="18" t="s">
        <v>39</v>
      </c>
      <c r="S1474" s="19" t="s">
        <v>3584</v>
      </c>
      <c r="T1474" s="17"/>
      <c r="U1474" s="66"/>
    </row>
    <row r="1475" spans="2:21" s="15" customFormat="1" ht="29" x14ac:dyDescent="0.35">
      <c r="B1475" s="64">
        <v>45744</v>
      </c>
      <c r="C1475" s="17">
        <v>1369</v>
      </c>
      <c r="D1475" s="85" t="s">
        <v>4067</v>
      </c>
      <c r="E1475" s="85" t="s">
        <v>3584</v>
      </c>
      <c r="F1475" s="85" t="s">
        <v>1468</v>
      </c>
      <c r="G1475" s="17" t="s">
        <v>1805</v>
      </c>
      <c r="H1475" s="17" t="s">
        <v>1930</v>
      </c>
      <c r="I1475" s="145" t="s">
        <v>39</v>
      </c>
      <c r="J1475" s="17" t="s">
        <v>3319</v>
      </c>
      <c r="K1475" s="17" t="s">
        <v>4068</v>
      </c>
      <c r="L1475" s="17" t="s">
        <v>39</v>
      </c>
      <c r="M1475" s="16">
        <v>8110666078</v>
      </c>
      <c r="N1475" s="16">
        <v>869706060074756</v>
      </c>
      <c r="O1475" s="16" t="s">
        <v>3320</v>
      </c>
      <c r="P1475" s="17" t="s">
        <v>3321</v>
      </c>
      <c r="Q1475" s="17" t="s">
        <v>4174</v>
      </c>
      <c r="R1475" s="18" t="s">
        <v>39</v>
      </c>
      <c r="S1475" s="19" t="s">
        <v>3584</v>
      </c>
      <c r="T1475" s="17"/>
      <c r="U1475" s="66"/>
    </row>
    <row r="1476" spans="2:21" s="15" customFormat="1" ht="29" x14ac:dyDescent="0.35">
      <c r="B1476" s="64">
        <v>45744</v>
      </c>
      <c r="C1476" s="17">
        <v>1370</v>
      </c>
      <c r="D1476" s="85" t="s">
        <v>4069</v>
      </c>
      <c r="E1476" s="85" t="s">
        <v>3584</v>
      </c>
      <c r="F1476" s="85" t="s">
        <v>1468</v>
      </c>
      <c r="G1476" s="17" t="s">
        <v>1805</v>
      </c>
      <c r="H1476" s="17" t="s">
        <v>1930</v>
      </c>
      <c r="I1476" s="145" t="s">
        <v>39</v>
      </c>
      <c r="J1476" s="17" t="s">
        <v>3322</v>
      </c>
      <c r="K1476" s="17" t="s">
        <v>2895</v>
      </c>
      <c r="L1476" s="17" t="s">
        <v>39</v>
      </c>
      <c r="M1476" s="16">
        <v>8110409369</v>
      </c>
      <c r="N1476" s="16">
        <v>869706060074855</v>
      </c>
      <c r="O1476" s="16" t="s">
        <v>3323</v>
      </c>
      <c r="P1476" s="17" t="s">
        <v>3324</v>
      </c>
      <c r="Q1476" s="17" t="s">
        <v>4174</v>
      </c>
      <c r="R1476" s="18" t="s">
        <v>39</v>
      </c>
      <c r="S1476" s="19" t="s">
        <v>3584</v>
      </c>
      <c r="T1476" s="17"/>
      <c r="U1476" s="66"/>
    </row>
    <row r="1477" spans="2:21" s="15" customFormat="1" ht="29" x14ac:dyDescent="0.35">
      <c r="B1477" s="64">
        <v>45750</v>
      </c>
      <c r="C1477" s="17">
        <v>1371</v>
      </c>
      <c r="D1477" s="74" t="s">
        <v>5068</v>
      </c>
      <c r="E1477" s="85" t="s">
        <v>4070</v>
      </c>
      <c r="F1477" s="85" t="s">
        <v>13</v>
      </c>
      <c r="G1477" s="17" t="s">
        <v>1805</v>
      </c>
      <c r="H1477" s="17" t="s">
        <v>1720</v>
      </c>
      <c r="I1477" s="145" t="s">
        <v>3579</v>
      </c>
      <c r="J1477" s="17" t="s">
        <v>4071</v>
      </c>
      <c r="K1477" s="95" t="s">
        <v>4086</v>
      </c>
      <c r="L1477" s="17" t="s">
        <v>965</v>
      </c>
      <c r="M1477" s="16">
        <v>8120104255</v>
      </c>
      <c r="N1477" s="16">
        <v>869706060074772</v>
      </c>
      <c r="O1477" s="16" t="s">
        <v>4084</v>
      </c>
      <c r="P1477" s="17" t="s">
        <v>4085</v>
      </c>
      <c r="Q1477" s="17" t="s">
        <v>8</v>
      </c>
      <c r="R1477" s="18">
        <v>1999.84</v>
      </c>
      <c r="S1477" s="19" t="s">
        <v>5002</v>
      </c>
      <c r="T1477" s="17"/>
      <c r="U1477" s="66"/>
    </row>
    <row r="1478" spans="2:21" s="15" customFormat="1" ht="29" x14ac:dyDescent="0.35">
      <c r="B1478" s="64">
        <v>45758</v>
      </c>
      <c r="C1478" s="17">
        <v>1372</v>
      </c>
      <c r="D1478" s="85" t="s">
        <v>4792</v>
      </c>
      <c r="E1478" s="85" t="s">
        <v>40</v>
      </c>
      <c r="F1478" s="85" t="s">
        <v>40</v>
      </c>
      <c r="G1478" s="17" t="s">
        <v>1805</v>
      </c>
      <c r="H1478" s="14" t="s">
        <v>1744</v>
      </c>
      <c r="I1478" s="145">
        <v>0.45833333333333331</v>
      </c>
      <c r="J1478" s="17" t="s">
        <v>4091</v>
      </c>
      <c r="K1478" s="17" t="s">
        <v>4090</v>
      </c>
      <c r="L1478" s="17" t="s">
        <v>965</v>
      </c>
      <c r="M1478" s="16">
        <v>8119881804</v>
      </c>
      <c r="N1478" s="16">
        <v>864943047600024</v>
      </c>
      <c r="O1478" s="16" t="s">
        <v>39</v>
      </c>
      <c r="P1478" s="17" t="s">
        <v>4093</v>
      </c>
      <c r="Q1478" s="17" t="s">
        <v>4092</v>
      </c>
      <c r="R1478" s="18">
        <v>290</v>
      </c>
      <c r="S1478" s="19" t="s">
        <v>4776</v>
      </c>
      <c r="T1478" s="17"/>
      <c r="U1478" s="66"/>
    </row>
    <row r="1479" spans="2:21" s="15" customFormat="1" ht="29" x14ac:dyDescent="0.35">
      <c r="B1479" s="64">
        <v>45758</v>
      </c>
      <c r="C1479" s="17">
        <v>1373</v>
      </c>
      <c r="D1479" s="85" t="s">
        <v>4792</v>
      </c>
      <c r="E1479" s="85" t="s">
        <v>4087</v>
      </c>
      <c r="F1479" s="85" t="s">
        <v>13</v>
      </c>
      <c r="G1479" s="17" t="s">
        <v>1805</v>
      </c>
      <c r="H1479" s="14" t="s">
        <v>1744</v>
      </c>
      <c r="I1479" s="145">
        <v>0.77777777777777779</v>
      </c>
      <c r="J1479" s="17" t="s">
        <v>4091</v>
      </c>
      <c r="K1479" s="17" t="s">
        <v>4090</v>
      </c>
      <c r="L1479" s="17" t="s">
        <v>965</v>
      </c>
      <c r="M1479" s="16">
        <v>8119881804</v>
      </c>
      <c r="N1479" s="16">
        <v>864943047600024</v>
      </c>
      <c r="O1479" s="16" t="s">
        <v>39</v>
      </c>
      <c r="P1479" s="17" t="s">
        <v>4093</v>
      </c>
      <c r="Q1479" s="17" t="s">
        <v>2559</v>
      </c>
      <c r="R1479" s="18">
        <v>1999.84</v>
      </c>
      <c r="S1479" s="19" t="s">
        <v>4776</v>
      </c>
      <c r="T1479" s="17"/>
      <c r="U1479" s="66"/>
    </row>
    <row r="1480" spans="2:21" s="15" customFormat="1" ht="43.5" x14ac:dyDescent="0.35">
      <c r="B1480" s="64">
        <v>45759</v>
      </c>
      <c r="C1480" s="17">
        <v>1374</v>
      </c>
      <c r="D1480" s="85">
        <v>813</v>
      </c>
      <c r="E1480" s="85" t="s">
        <v>4088</v>
      </c>
      <c r="F1480" s="85" t="s">
        <v>13</v>
      </c>
      <c r="G1480" s="17" t="s">
        <v>1805</v>
      </c>
      <c r="H1480" s="17" t="s">
        <v>2413</v>
      </c>
      <c r="I1480" s="145">
        <v>0.58333333333333337</v>
      </c>
      <c r="J1480" s="17" t="s">
        <v>4094</v>
      </c>
      <c r="K1480" s="95" t="s">
        <v>4089</v>
      </c>
      <c r="L1480" s="17" t="s">
        <v>965</v>
      </c>
      <c r="M1480" s="16">
        <v>8120228879</v>
      </c>
      <c r="N1480" s="16">
        <v>864943047770199</v>
      </c>
      <c r="O1480" s="16" t="s">
        <v>3440</v>
      </c>
      <c r="P1480" s="17" t="s">
        <v>3439</v>
      </c>
      <c r="Q1480" s="17" t="s">
        <v>8</v>
      </c>
      <c r="R1480" s="18">
        <v>1999.84</v>
      </c>
      <c r="S1480" s="19">
        <v>174</v>
      </c>
      <c r="T1480" s="17"/>
      <c r="U1480" s="66"/>
    </row>
    <row r="1481" spans="2:21" s="15" customFormat="1" ht="29" x14ac:dyDescent="0.35">
      <c r="B1481" s="64">
        <v>45763</v>
      </c>
      <c r="C1481" s="17">
        <v>1375</v>
      </c>
      <c r="D1481" s="36">
        <v>671</v>
      </c>
      <c r="E1481" s="85" t="s">
        <v>4095</v>
      </c>
      <c r="F1481" s="85" t="s">
        <v>1468</v>
      </c>
      <c r="G1481" s="17" t="s">
        <v>1805</v>
      </c>
      <c r="H1481" s="17" t="s">
        <v>1930</v>
      </c>
      <c r="I1481" s="145" t="s">
        <v>39</v>
      </c>
      <c r="J1481" s="17" t="s">
        <v>26</v>
      </c>
      <c r="K1481" s="95" t="s">
        <v>1837</v>
      </c>
      <c r="L1481" s="17" t="s">
        <v>39</v>
      </c>
      <c r="M1481" s="16">
        <v>8119168100</v>
      </c>
      <c r="N1481" s="16">
        <v>868166058823014</v>
      </c>
      <c r="O1481" s="16" t="s">
        <v>4029</v>
      </c>
      <c r="P1481" s="17" t="s">
        <v>4028</v>
      </c>
      <c r="Q1481" s="17" t="s">
        <v>3586</v>
      </c>
      <c r="R1481" s="18" t="s">
        <v>39</v>
      </c>
      <c r="S1481" s="19" t="s">
        <v>3584</v>
      </c>
      <c r="T1481" s="17"/>
      <c r="U1481" s="66"/>
    </row>
    <row r="1482" spans="2:21" s="15" customFormat="1" ht="43.5" x14ac:dyDescent="0.35">
      <c r="B1482" s="64">
        <v>45768</v>
      </c>
      <c r="C1482" s="17">
        <v>1376</v>
      </c>
      <c r="D1482" s="85">
        <v>814</v>
      </c>
      <c r="E1482" s="85" t="s">
        <v>4096</v>
      </c>
      <c r="F1482" s="85" t="s">
        <v>13</v>
      </c>
      <c r="G1482" s="17" t="s">
        <v>1805</v>
      </c>
      <c r="H1482" s="17" t="s">
        <v>2413</v>
      </c>
      <c r="I1482" s="145" t="s">
        <v>1698</v>
      </c>
      <c r="J1482" s="17" t="s">
        <v>4109</v>
      </c>
      <c r="K1482" s="95" t="s">
        <v>4110</v>
      </c>
      <c r="L1482" s="17" t="s">
        <v>965</v>
      </c>
      <c r="M1482" s="16">
        <v>8134055610</v>
      </c>
      <c r="N1482" s="16">
        <v>864943047770843</v>
      </c>
      <c r="O1482" s="16" t="s">
        <v>4112</v>
      </c>
      <c r="P1482" s="17" t="s">
        <v>4111</v>
      </c>
      <c r="Q1482" s="17" t="s">
        <v>8</v>
      </c>
      <c r="R1482" s="18">
        <v>1999.84</v>
      </c>
      <c r="S1482" s="19">
        <v>174</v>
      </c>
      <c r="T1482" s="17"/>
      <c r="U1482" s="66"/>
    </row>
    <row r="1483" spans="2:21" s="15" customFormat="1" ht="29" x14ac:dyDescent="0.35">
      <c r="B1483" s="64">
        <v>45773</v>
      </c>
      <c r="C1483" s="17">
        <v>1377</v>
      </c>
      <c r="D1483" s="85">
        <v>815</v>
      </c>
      <c r="E1483" s="85" t="s">
        <v>4114</v>
      </c>
      <c r="F1483" s="85" t="s">
        <v>13</v>
      </c>
      <c r="G1483" s="17" t="s">
        <v>1805</v>
      </c>
      <c r="H1483" s="14" t="s">
        <v>1744</v>
      </c>
      <c r="I1483" s="145">
        <v>0.39583333333333331</v>
      </c>
      <c r="J1483" s="17" t="s">
        <v>4118</v>
      </c>
      <c r="K1483" s="128" t="s">
        <v>4116</v>
      </c>
      <c r="L1483" s="17" t="s">
        <v>4117</v>
      </c>
      <c r="M1483" s="16">
        <v>8120103179</v>
      </c>
      <c r="N1483" s="16">
        <v>864943047770934</v>
      </c>
      <c r="O1483" s="16" t="s">
        <v>39</v>
      </c>
      <c r="P1483" s="17" t="s">
        <v>39</v>
      </c>
      <c r="Q1483" s="17" t="s">
        <v>8</v>
      </c>
      <c r="R1483" s="18">
        <v>1999.84</v>
      </c>
      <c r="S1483" s="19">
        <v>174</v>
      </c>
      <c r="T1483" s="17"/>
      <c r="U1483" s="66"/>
    </row>
    <row r="1484" spans="2:21" s="15" customFormat="1" ht="29" x14ac:dyDescent="0.35">
      <c r="B1484" s="64">
        <v>45773</v>
      </c>
      <c r="C1484" s="17">
        <v>1378</v>
      </c>
      <c r="D1484" s="85">
        <v>816</v>
      </c>
      <c r="E1484" s="85" t="s">
        <v>4114</v>
      </c>
      <c r="F1484" s="85" t="s">
        <v>13</v>
      </c>
      <c r="G1484" s="17" t="s">
        <v>1805</v>
      </c>
      <c r="H1484" s="14" t="s">
        <v>4115</v>
      </c>
      <c r="I1484" s="145"/>
      <c r="J1484" s="17" t="s">
        <v>4119</v>
      </c>
      <c r="K1484" s="95" t="s">
        <v>4120</v>
      </c>
      <c r="L1484" s="17" t="s">
        <v>4117</v>
      </c>
      <c r="M1484" s="16">
        <v>8332664189</v>
      </c>
      <c r="N1484" s="16">
        <v>869706060881994</v>
      </c>
      <c r="O1484" s="16" t="s">
        <v>3267</v>
      </c>
      <c r="P1484" s="17"/>
      <c r="Q1484" s="17" t="s">
        <v>8</v>
      </c>
      <c r="R1484" s="18">
        <v>1999.84</v>
      </c>
      <c r="S1484" s="19">
        <v>174</v>
      </c>
      <c r="T1484" s="17"/>
      <c r="U1484" s="66"/>
    </row>
    <row r="1485" spans="2:21" s="15" customFormat="1" ht="43.5" x14ac:dyDescent="0.35">
      <c r="B1485" s="64">
        <v>45777</v>
      </c>
      <c r="C1485" s="17">
        <v>1379</v>
      </c>
      <c r="D1485" s="85">
        <v>817</v>
      </c>
      <c r="E1485" s="85" t="s">
        <v>4121</v>
      </c>
      <c r="F1485" s="85" t="s">
        <v>13</v>
      </c>
      <c r="G1485" s="17" t="s">
        <v>1805</v>
      </c>
      <c r="H1485" s="17" t="s">
        <v>2413</v>
      </c>
      <c r="I1485" s="145" t="s">
        <v>4122</v>
      </c>
      <c r="J1485" s="17" t="s">
        <v>4123</v>
      </c>
      <c r="K1485" s="95" t="s">
        <v>4126</v>
      </c>
      <c r="L1485" s="17" t="s">
        <v>965</v>
      </c>
      <c r="M1485" s="16">
        <v>8183960728</v>
      </c>
      <c r="N1485" s="16">
        <v>865413054402143</v>
      </c>
      <c r="O1485" s="16" t="s">
        <v>4124</v>
      </c>
      <c r="P1485" s="17" t="s">
        <v>4125</v>
      </c>
      <c r="Q1485" s="17" t="s">
        <v>8</v>
      </c>
      <c r="R1485" s="18">
        <v>1999.84</v>
      </c>
      <c r="S1485" s="19">
        <v>174</v>
      </c>
      <c r="T1485" s="17"/>
      <c r="U1485" s="66"/>
    </row>
    <row r="1486" spans="2:21" s="15" customFormat="1" ht="29" x14ac:dyDescent="0.35">
      <c r="B1486" s="64">
        <v>45777</v>
      </c>
      <c r="C1486" s="17">
        <v>1380</v>
      </c>
      <c r="D1486" s="85">
        <v>818</v>
      </c>
      <c r="E1486" s="85" t="s">
        <v>4121</v>
      </c>
      <c r="F1486" s="85" t="s">
        <v>13</v>
      </c>
      <c r="G1486" s="17" t="s">
        <v>1805</v>
      </c>
      <c r="H1486" s="17" t="s">
        <v>1715</v>
      </c>
      <c r="I1486" s="145">
        <v>0.5625</v>
      </c>
      <c r="J1486" s="17" t="s">
        <v>26</v>
      </c>
      <c r="K1486" s="95" t="s">
        <v>4129</v>
      </c>
      <c r="L1486" s="17" t="s">
        <v>4117</v>
      </c>
      <c r="M1486" s="16">
        <v>8123213480</v>
      </c>
      <c r="N1486" s="16">
        <v>864943048175224</v>
      </c>
      <c r="O1486" s="16" t="s">
        <v>39</v>
      </c>
      <c r="P1486" s="17" t="s">
        <v>4127</v>
      </c>
      <c r="Q1486" s="17" t="s">
        <v>8</v>
      </c>
      <c r="R1486" s="18">
        <v>1999.84</v>
      </c>
      <c r="S1486" s="19">
        <v>174</v>
      </c>
      <c r="T1486" s="17"/>
      <c r="U1486" s="66"/>
    </row>
    <row r="1487" spans="2:21" s="15" customFormat="1" ht="29" x14ac:dyDescent="0.35">
      <c r="B1487" s="64">
        <v>45777</v>
      </c>
      <c r="C1487" s="17">
        <v>1381</v>
      </c>
      <c r="D1487" s="85">
        <v>819</v>
      </c>
      <c r="E1487" s="85" t="s">
        <v>4121</v>
      </c>
      <c r="F1487" s="85" t="s">
        <v>13</v>
      </c>
      <c r="G1487" s="17" t="s">
        <v>1805</v>
      </c>
      <c r="H1487" s="17" t="s">
        <v>1715</v>
      </c>
      <c r="I1487" s="145">
        <v>0.58333333333333337</v>
      </c>
      <c r="J1487" s="17" t="s">
        <v>26</v>
      </c>
      <c r="K1487" s="95" t="s">
        <v>4130</v>
      </c>
      <c r="L1487" s="17" t="s">
        <v>4117</v>
      </c>
      <c r="M1487" s="16">
        <v>8123213499</v>
      </c>
      <c r="N1487" s="16">
        <v>864943048174573</v>
      </c>
      <c r="O1487" s="16" t="s">
        <v>4128</v>
      </c>
      <c r="P1487" s="17" t="s">
        <v>39</v>
      </c>
      <c r="Q1487" s="17" t="s">
        <v>8</v>
      </c>
      <c r="R1487" s="18">
        <v>1999.84</v>
      </c>
      <c r="S1487" s="19">
        <v>174</v>
      </c>
      <c r="T1487" s="17"/>
      <c r="U1487" s="66"/>
    </row>
    <row r="1488" spans="2:21" s="15" customFormat="1" ht="29" x14ac:dyDescent="0.35">
      <c r="B1488" s="64">
        <v>45779</v>
      </c>
      <c r="C1488" s="17">
        <v>1382</v>
      </c>
      <c r="D1488" s="85" t="s">
        <v>4131</v>
      </c>
      <c r="E1488" s="85" t="s">
        <v>4132</v>
      </c>
      <c r="F1488" s="85" t="s">
        <v>1468</v>
      </c>
      <c r="G1488" s="17" t="s">
        <v>4133</v>
      </c>
      <c r="H1488" s="17" t="s">
        <v>1930</v>
      </c>
      <c r="I1488" s="145" t="s">
        <v>39</v>
      </c>
      <c r="J1488" s="14" t="s">
        <v>909</v>
      </c>
      <c r="K1488" s="14" t="s">
        <v>1432</v>
      </c>
      <c r="L1488" s="17" t="s">
        <v>39</v>
      </c>
      <c r="M1488" s="14">
        <v>8120297977</v>
      </c>
      <c r="N1488" s="37" t="s">
        <v>4387</v>
      </c>
      <c r="O1488" s="37" t="s">
        <v>4146</v>
      </c>
      <c r="P1488" s="14" t="s">
        <v>4145</v>
      </c>
      <c r="Q1488" s="17" t="s">
        <v>2559</v>
      </c>
      <c r="R1488" s="18">
        <v>0</v>
      </c>
      <c r="S1488" s="41" t="s">
        <v>4147</v>
      </c>
      <c r="T1488" s="17"/>
      <c r="U1488" s="66"/>
    </row>
    <row r="1489" spans="2:21" s="15" customFormat="1" ht="29" x14ac:dyDescent="0.35">
      <c r="B1489" s="64">
        <v>45779</v>
      </c>
      <c r="C1489" s="17">
        <v>1383</v>
      </c>
      <c r="D1489" s="85" t="s">
        <v>4134</v>
      </c>
      <c r="E1489" s="85" t="s">
        <v>4132</v>
      </c>
      <c r="F1489" s="85" t="s">
        <v>1468</v>
      </c>
      <c r="G1489" s="17" t="s">
        <v>4133</v>
      </c>
      <c r="H1489" s="17" t="s">
        <v>1930</v>
      </c>
      <c r="I1489" s="145" t="s">
        <v>39</v>
      </c>
      <c r="J1489" s="17" t="s">
        <v>4148</v>
      </c>
      <c r="K1489" s="17" t="s">
        <v>1532</v>
      </c>
      <c r="L1489" s="17" t="s">
        <v>39</v>
      </c>
      <c r="M1489" s="14">
        <v>8184660480</v>
      </c>
      <c r="N1489" s="16">
        <v>865011034396474</v>
      </c>
      <c r="O1489" s="16" t="s">
        <v>4150</v>
      </c>
      <c r="P1489" s="17" t="s">
        <v>4149</v>
      </c>
      <c r="Q1489" s="17" t="s">
        <v>2559</v>
      </c>
      <c r="R1489" s="18">
        <v>0</v>
      </c>
      <c r="S1489" s="19" t="s">
        <v>4147</v>
      </c>
      <c r="T1489" s="17"/>
      <c r="U1489" s="66"/>
    </row>
    <row r="1490" spans="2:21" s="15" customFormat="1" ht="29" x14ac:dyDescent="0.35">
      <c r="B1490" s="64">
        <v>45779</v>
      </c>
      <c r="C1490" s="17">
        <v>1384</v>
      </c>
      <c r="D1490" s="85" t="s">
        <v>4135</v>
      </c>
      <c r="E1490" s="85" t="s">
        <v>4132</v>
      </c>
      <c r="F1490" s="85" t="s">
        <v>1468</v>
      </c>
      <c r="G1490" s="17" t="s">
        <v>4133</v>
      </c>
      <c r="H1490" s="17" t="s">
        <v>1930</v>
      </c>
      <c r="I1490" s="145" t="s">
        <v>39</v>
      </c>
      <c r="J1490" s="17" t="s">
        <v>4151</v>
      </c>
      <c r="K1490" s="17" t="s">
        <v>1690</v>
      </c>
      <c r="L1490" s="17" t="s">
        <v>39</v>
      </c>
      <c r="M1490" s="65">
        <v>8110624101</v>
      </c>
      <c r="N1490" s="16">
        <v>869220041535109</v>
      </c>
      <c r="O1490" s="16" t="s">
        <v>39</v>
      </c>
      <c r="P1490" s="17" t="s">
        <v>1691</v>
      </c>
      <c r="Q1490" s="17" t="s">
        <v>2559</v>
      </c>
      <c r="R1490" s="18">
        <v>0</v>
      </c>
      <c r="S1490" s="19" t="s">
        <v>4147</v>
      </c>
      <c r="T1490" s="17"/>
      <c r="U1490" s="66"/>
    </row>
    <row r="1491" spans="2:21" s="15" customFormat="1" ht="29" x14ac:dyDescent="0.35">
      <c r="B1491" s="64">
        <v>45779</v>
      </c>
      <c r="C1491" s="17">
        <v>1385</v>
      </c>
      <c r="D1491" s="85" t="s">
        <v>4136</v>
      </c>
      <c r="E1491" s="85" t="s">
        <v>4132</v>
      </c>
      <c r="F1491" s="85" t="s">
        <v>1468</v>
      </c>
      <c r="G1491" s="17" t="s">
        <v>4133</v>
      </c>
      <c r="H1491" s="17" t="s">
        <v>1930</v>
      </c>
      <c r="I1491" s="145" t="s">
        <v>39</v>
      </c>
      <c r="J1491" s="17" t="s">
        <v>4153</v>
      </c>
      <c r="K1491" s="17" t="s">
        <v>1742</v>
      </c>
      <c r="L1491" s="17" t="s">
        <v>39</v>
      </c>
      <c r="M1491" s="17">
        <v>8128613191</v>
      </c>
      <c r="N1491" s="16">
        <v>868166057893893</v>
      </c>
      <c r="O1491" s="16" t="s">
        <v>4155</v>
      </c>
      <c r="P1491" s="17" t="s">
        <v>4154</v>
      </c>
      <c r="Q1491" s="17" t="s">
        <v>2559</v>
      </c>
      <c r="R1491" s="18">
        <v>0</v>
      </c>
      <c r="S1491" s="19" t="s">
        <v>4147</v>
      </c>
      <c r="T1491" s="17"/>
      <c r="U1491" s="66"/>
    </row>
    <row r="1492" spans="2:21" s="15" customFormat="1" ht="29" x14ac:dyDescent="0.35">
      <c r="B1492" s="64">
        <v>45779</v>
      </c>
      <c r="C1492" s="17">
        <v>1386</v>
      </c>
      <c r="D1492" s="85" t="s">
        <v>4137</v>
      </c>
      <c r="E1492" s="85" t="s">
        <v>4132</v>
      </c>
      <c r="F1492" s="85" t="s">
        <v>1468</v>
      </c>
      <c r="G1492" s="17" t="s">
        <v>4133</v>
      </c>
      <c r="H1492" s="17" t="s">
        <v>1930</v>
      </c>
      <c r="I1492" s="145" t="s">
        <v>39</v>
      </c>
      <c r="J1492" s="17" t="s">
        <v>4101</v>
      </c>
      <c r="K1492" s="17" t="s">
        <v>1797</v>
      </c>
      <c r="L1492" s="17" t="s">
        <v>39</v>
      </c>
      <c r="M1492" s="65">
        <v>8120364365</v>
      </c>
      <c r="N1492" s="16">
        <v>868166058820630</v>
      </c>
      <c r="O1492" s="16" t="s">
        <v>4158</v>
      </c>
      <c r="P1492" s="17" t="s">
        <v>4157</v>
      </c>
      <c r="Q1492" s="17" t="s">
        <v>2559</v>
      </c>
      <c r="R1492" s="18">
        <v>0</v>
      </c>
      <c r="S1492" s="19" t="s">
        <v>4147</v>
      </c>
      <c r="T1492" s="17"/>
      <c r="U1492" s="66"/>
    </row>
    <row r="1493" spans="2:21" s="15" customFormat="1" ht="29" x14ac:dyDescent="0.35">
      <c r="B1493" s="64">
        <v>45779</v>
      </c>
      <c r="C1493" s="17">
        <v>1387</v>
      </c>
      <c r="D1493" s="85" t="s">
        <v>4138</v>
      </c>
      <c r="E1493" s="85" t="s">
        <v>4132</v>
      </c>
      <c r="F1493" s="85" t="s">
        <v>1468</v>
      </c>
      <c r="G1493" s="17" t="s">
        <v>4133</v>
      </c>
      <c r="H1493" s="17" t="s">
        <v>1930</v>
      </c>
      <c r="I1493" s="145" t="s">
        <v>39</v>
      </c>
      <c r="J1493" s="17" t="s">
        <v>4160</v>
      </c>
      <c r="K1493" s="17" t="s">
        <v>1807</v>
      </c>
      <c r="L1493" s="17" t="s">
        <v>39</v>
      </c>
      <c r="M1493" s="65">
        <v>8120364407</v>
      </c>
      <c r="N1493" s="16">
        <v>868166058820747</v>
      </c>
      <c r="O1493" s="16" t="s">
        <v>39</v>
      </c>
      <c r="P1493" s="17" t="s">
        <v>1806</v>
      </c>
      <c r="Q1493" s="17" t="s">
        <v>2559</v>
      </c>
      <c r="R1493" s="18">
        <v>0</v>
      </c>
      <c r="S1493" s="19" t="s">
        <v>4147</v>
      </c>
      <c r="T1493" s="17"/>
      <c r="U1493" s="66"/>
    </row>
    <row r="1494" spans="2:21" s="15" customFormat="1" ht="29" x14ac:dyDescent="0.35">
      <c r="B1494" s="64">
        <v>45779</v>
      </c>
      <c r="C1494" s="17">
        <v>1388</v>
      </c>
      <c r="D1494" s="85" t="s">
        <v>4139</v>
      </c>
      <c r="E1494" s="85" t="s">
        <v>4132</v>
      </c>
      <c r="F1494" s="85" t="s">
        <v>1468</v>
      </c>
      <c r="G1494" s="17" t="s">
        <v>4133</v>
      </c>
      <c r="H1494" s="17" t="s">
        <v>1930</v>
      </c>
      <c r="I1494" s="145" t="s">
        <v>39</v>
      </c>
      <c r="J1494" s="17" t="s">
        <v>4161</v>
      </c>
      <c r="K1494" s="17" t="s">
        <v>1917</v>
      </c>
      <c r="L1494" s="17" t="s">
        <v>39</v>
      </c>
      <c r="M1494" s="14">
        <v>8120392455</v>
      </c>
      <c r="N1494" s="38">
        <v>868166059175539</v>
      </c>
      <c r="O1494" s="16" t="s">
        <v>39</v>
      </c>
      <c r="P1494" s="17" t="s">
        <v>1918</v>
      </c>
      <c r="Q1494" s="17" t="s">
        <v>2559</v>
      </c>
      <c r="R1494" s="18">
        <v>0</v>
      </c>
      <c r="S1494" s="19" t="s">
        <v>4147</v>
      </c>
      <c r="T1494" s="17"/>
      <c r="U1494" s="66"/>
    </row>
    <row r="1495" spans="2:21" s="15" customFormat="1" ht="29" x14ac:dyDescent="0.35">
      <c r="B1495" s="64">
        <v>45779</v>
      </c>
      <c r="C1495" s="17">
        <v>1389</v>
      </c>
      <c r="D1495" s="85" t="s">
        <v>4140</v>
      </c>
      <c r="E1495" s="85" t="s">
        <v>4132</v>
      </c>
      <c r="F1495" s="85" t="s">
        <v>1468</v>
      </c>
      <c r="G1495" s="17" t="s">
        <v>4133</v>
      </c>
      <c r="H1495" s="17" t="s">
        <v>1930</v>
      </c>
      <c r="I1495" s="145" t="s">
        <v>39</v>
      </c>
      <c r="J1495" s="17" t="s">
        <v>4162</v>
      </c>
      <c r="K1495" s="17" t="s">
        <v>2127</v>
      </c>
      <c r="L1495" s="17" t="s">
        <v>39</v>
      </c>
      <c r="M1495" s="16">
        <v>8110228303</v>
      </c>
      <c r="N1495" s="16">
        <v>868166057566846</v>
      </c>
      <c r="O1495" s="17" t="s">
        <v>2128</v>
      </c>
      <c r="P1495" s="17" t="s">
        <v>39</v>
      </c>
      <c r="Q1495" s="17" t="s">
        <v>2559</v>
      </c>
      <c r="R1495" s="18">
        <v>0</v>
      </c>
      <c r="S1495" s="19" t="s">
        <v>4147</v>
      </c>
      <c r="T1495" s="17"/>
      <c r="U1495" s="66"/>
    </row>
    <row r="1496" spans="2:21" s="15" customFormat="1" ht="29" x14ac:dyDescent="0.35">
      <c r="B1496" s="64">
        <v>45779</v>
      </c>
      <c r="C1496" s="17">
        <v>1390</v>
      </c>
      <c r="D1496" s="85" t="s">
        <v>4141</v>
      </c>
      <c r="E1496" s="85" t="s">
        <v>4132</v>
      </c>
      <c r="F1496" s="85" t="s">
        <v>1468</v>
      </c>
      <c r="G1496" s="17" t="s">
        <v>4133</v>
      </c>
      <c r="H1496" s="17" t="s">
        <v>1930</v>
      </c>
      <c r="I1496" s="145" t="s">
        <v>39</v>
      </c>
      <c r="J1496" s="17" t="s">
        <v>4163</v>
      </c>
      <c r="K1496" s="17" t="s">
        <v>2149</v>
      </c>
      <c r="L1496" s="17" t="s">
        <v>39</v>
      </c>
      <c r="M1496" s="16">
        <v>8118220273</v>
      </c>
      <c r="N1496" s="16">
        <v>359857084516731</v>
      </c>
      <c r="O1496" s="16" t="s">
        <v>39</v>
      </c>
      <c r="P1496" s="17" t="s">
        <v>39</v>
      </c>
      <c r="Q1496" s="17" t="s">
        <v>2559</v>
      </c>
      <c r="R1496" s="18">
        <v>0</v>
      </c>
      <c r="S1496" s="19" t="s">
        <v>4147</v>
      </c>
      <c r="T1496" s="17"/>
      <c r="U1496" s="66"/>
    </row>
    <row r="1497" spans="2:21" s="15" customFormat="1" ht="29" x14ac:dyDescent="0.35">
      <c r="B1497" s="64">
        <v>45779</v>
      </c>
      <c r="C1497" s="17">
        <v>1391</v>
      </c>
      <c r="D1497" s="85" t="s">
        <v>4142</v>
      </c>
      <c r="E1497" s="85" t="s">
        <v>4132</v>
      </c>
      <c r="F1497" s="85" t="s">
        <v>1468</v>
      </c>
      <c r="G1497" s="17" t="s">
        <v>4133</v>
      </c>
      <c r="H1497" s="17" t="s">
        <v>1930</v>
      </c>
      <c r="I1497" s="145" t="s">
        <v>39</v>
      </c>
      <c r="J1497" s="17" t="s">
        <v>4164</v>
      </c>
      <c r="K1497" s="17" t="s">
        <v>2371</v>
      </c>
      <c r="L1497" s="17" t="s">
        <v>39</v>
      </c>
      <c r="M1497" s="16">
        <v>8331830193</v>
      </c>
      <c r="N1497" s="16">
        <v>869220041854211</v>
      </c>
      <c r="O1497" s="16" t="s">
        <v>39</v>
      </c>
      <c r="P1497" s="17" t="s">
        <v>2372</v>
      </c>
      <c r="Q1497" s="17" t="s">
        <v>2559</v>
      </c>
      <c r="R1497" s="18">
        <v>0</v>
      </c>
      <c r="S1497" s="19" t="s">
        <v>4147</v>
      </c>
      <c r="T1497" s="17"/>
      <c r="U1497" s="66"/>
    </row>
    <row r="1498" spans="2:21" s="15" customFormat="1" ht="29" x14ac:dyDescent="0.35">
      <c r="B1498" s="64">
        <v>45779</v>
      </c>
      <c r="C1498" s="17">
        <v>1392</v>
      </c>
      <c r="D1498" s="85" t="s">
        <v>4143</v>
      </c>
      <c r="E1498" s="85" t="s">
        <v>4132</v>
      </c>
      <c r="F1498" s="85" t="s">
        <v>1468</v>
      </c>
      <c r="G1498" s="17" t="s">
        <v>4133</v>
      </c>
      <c r="H1498" s="17" t="s">
        <v>1930</v>
      </c>
      <c r="I1498" s="145" t="s">
        <v>39</v>
      </c>
      <c r="J1498" s="17" t="s">
        <v>4165</v>
      </c>
      <c r="K1498" s="17" t="s">
        <v>1636</v>
      </c>
      <c r="L1498" s="17" t="s">
        <v>39</v>
      </c>
      <c r="M1498" s="65">
        <v>8115382595</v>
      </c>
      <c r="N1498" s="16">
        <v>868166057385288</v>
      </c>
      <c r="O1498" s="16" t="s">
        <v>4167</v>
      </c>
      <c r="P1498" s="17" t="s">
        <v>4166</v>
      </c>
      <c r="Q1498" s="17" t="s">
        <v>2559</v>
      </c>
      <c r="R1498" s="18">
        <v>0</v>
      </c>
      <c r="S1498" s="19" t="s">
        <v>4147</v>
      </c>
      <c r="T1498" s="17"/>
      <c r="U1498" s="66"/>
    </row>
    <row r="1499" spans="2:21" s="15" customFormat="1" ht="29" x14ac:dyDescent="0.35">
      <c r="B1499" s="64">
        <v>45779</v>
      </c>
      <c r="C1499" s="17">
        <v>1393</v>
      </c>
      <c r="D1499" s="85" t="s">
        <v>4144</v>
      </c>
      <c r="E1499" s="85" t="s">
        <v>4132</v>
      </c>
      <c r="F1499" s="85" t="s">
        <v>1468</v>
      </c>
      <c r="G1499" s="17" t="s">
        <v>4133</v>
      </c>
      <c r="H1499" s="17" t="s">
        <v>1930</v>
      </c>
      <c r="I1499" s="145" t="s">
        <v>39</v>
      </c>
      <c r="J1499" s="17" t="s">
        <v>4168</v>
      </c>
      <c r="K1499" s="17" t="s">
        <v>1842</v>
      </c>
      <c r="L1499" s="17" t="s">
        <v>39</v>
      </c>
      <c r="M1499" s="65">
        <v>8119168050</v>
      </c>
      <c r="N1499" s="16">
        <v>868166058822677</v>
      </c>
      <c r="O1499" s="16" t="s">
        <v>39</v>
      </c>
      <c r="P1499" s="17" t="s">
        <v>1841</v>
      </c>
      <c r="Q1499" s="17" t="s">
        <v>2559</v>
      </c>
      <c r="R1499" s="18">
        <v>0</v>
      </c>
      <c r="S1499" s="19" t="s">
        <v>4147</v>
      </c>
      <c r="T1499" s="17"/>
      <c r="U1499" s="66"/>
    </row>
    <row r="1500" spans="2:21" s="15" customFormat="1" ht="29" x14ac:dyDescent="0.35">
      <c r="B1500" s="64">
        <v>45782</v>
      </c>
      <c r="C1500" s="17">
        <v>1394</v>
      </c>
      <c r="D1500" s="85">
        <v>820</v>
      </c>
      <c r="E1500" s="85" t="s">
        <v>4169</v>
      </c>
      <c r="F1500" s="85" t="s">
        <v>13</v>
      </c>
      <c r="G1500" s="17" t="s">
        <v>1805</v>
      </c>
      <c r="H1500" s="14" t="s">
        <v>1744</v>
      </c>
      <c r="I1500" s="145" t="s">
        <v>4170</v>
      </c>
      <c r="J1500" s="17" t="s">
        <v>4171</v>
      </c>
      <c r="K1500" s="95" t="s">
        <v>4172</v>
      </c>
      <c r="L1500" s="17" t="s">
        <v>4117</v>
      </c>
      <c r="M1500" s="16">
        <v>8123213131</v>
      </c>
      <c r="N1500" s="16">
        <v>864943048174433</v>
      </c>
      <c r="O1500" s="16" t="s">
        <v>39</v>
      </c>
      <c r="P1500" s="17" t="s">
        <v>4173</v>
      </c>
      <c r="Q1500" s="17" t="s">
        <v>8</v>
      </c>
      <c r="R1500" s="18">
        <v>1999.84</v>
      </c>
      <c r="S1500" s="19">
        <v>174</v>
      </c>
      <c r="T1500" s="17"/>
      <c r="U1500" s="66"/>
    </row>
    <row r="1501" spans="2:21" s="15" customFormat="1" ht="29" x14ac:dyDescent="0.35">
      <c r="B1501" s="64">
        <v>45787</v>
      </c>
      <c r="C1501" s="17">
        <v>1395</v>
      </c>
      <c r="D1501" s="74" t="s">
        <v>5069</v>
      </c>
      <c r="E1501" s="85" t="s">
        <v>4245</v>
      </c>
      <c r="F1501" s="85" t="s">
        <v>13</v>
      </c>
      <c r="G1501" s="17" t="s">
        <v>1805</v>
      </c>
      <c r="H1501" s="14" t="s">
        <v>1744</v>
      </c>
      <c r="I1501" s="145">
        <v>0.45833333333333331</v>
      </c>
      <c r="J1501" s="17" t="s">
        <v>4246</v>
      </c>
      <c r="K1501" s="95" t="s">
        <v>4247</v>
      </c>
      <c r="L1501" s="17" t="s">
        <v>965</v>
      </c>
      <c r="M1501" s="16">
        <v>8123211819</v>
      </c>
      <c r="N1501" s="16">
        <v>864943048176826</v>
      </c>
      <c r="O1501" s="16" t="s">
        <v>39</v>
      </c>
      <c r="P1501" s="17" t="s">
        <v>4248</v>
      </c>
      <c r="Q1501" s="17" t="s">
        <v>8</v>
      </c>
      <c r="R1501" s="18">
        <v>1999.84</v>
      </c>
      <c r="S1501" s="19" t="s">
        <v>5002</v>
      </c>
      <c r="T1501" s="17"/>
      <c r="U1501" s="66"/>
    </row>
    <row r="1502" spans="2:21" s="15" customFormat="1" ht="29" x14ac:dyDescent="0.35">
      <c r="B1502" s="64">
        <v>45791</v>
      </c>
      <c r="C1502" s="17">
        <v>1396</v>
      </c>
      <c r="D1502" s="85" t="s">
        <v>4288</v>
      </c>
      <c r="E1502" s="85" t="s">
        <v>4255</v>
      </c>
      <c r="F1502" s="85" t="s">
        <v>13</v>
      </c>
      <c r="G1502" s="17" t="s">
        <v>1805</v>
      </c>
      <c r="H1502" s="14" t="s">
        <v>1744</v>
      </c>
      <c r="I1502" s="145">
        <v>0.45833333333333331</v>
      </c>
      <c r="J1502" s="17" t="s">
        <v>4256</v>
      </c>
      <c r="K1502" s="17" t="s">
        <v>4257</v>
      </c>
      <c r="L1502" s="17" t="s">
        <v>4117</v>
      </c>
      <c r="M1502" s="16">
        <v>8128601790</v>
      </c>
      <c r="N1502" s="16">
        <v>864943048174565</v>
      </c>
      <c r="O1502" s="16" t="s">
        <v>39</v>
      </c>
      <c r="P1502" s="17" t="s">
        <v>4258</v>
      </c>
      <c r="Q1502" s="17" t="s">
        <v>4293</v>
      </c>
      <c r="R1502" s="18">
        <v>1999.84</v>
      </c>
      <c r="S1502" s="19" t="s">
        <v>4295</v>
      </c>
      <c r="T1502" s="17"/>
      <c r="U1502" s="66"/>
    </row>
    <row r="1503" spans="2:21" s="15" customFormat="1" ht="29" x14ac:dyDescent="0.35">
      <c r="B1503" s="64">
        <v>45789</v>
      </c>
      <c r="C1503" s="17">
        <v>1397</v>
      </c>
      <c r="D1503" s="134" t="s">
        <v>4259</v>
      </c>
      <c r="E1503" s="85" t="s">
        <v>4264</v>
      </c>
      <c r="F1503" s="85" t="s">
        <v>1468</v>
      </c>
      <c r="G1503" s="17" t="s">
        <v>4133</v>
      </c>
      <c r="H1503" s="17" t="s">
        <v>1930</v>
      </c>
      <c r="I1503" s="145" t="s">
        <v>39</v>
      </c>
      <c r="J1503" s="135" t="s">
        <v>4266</v>
      </c>
      <c r="K1503" s="17" t="s">
        <v>1453</v>
      </c>
      <c r="L1503" s="17" t="s">
        <v>39</v>
      </c>
      <c r="M1503" s="65">
        <v>8118249865</v>
      </c>
      <c r="N1503" s="16">
        <v>869220041339627</v>
      </c>
      <c r="O1503" s="17" t="s">
        <v>987</v>
      </c>
      <c r="P1503" s="17" t="s">
        <v>39</v>
      </c>
      <c r="Q1503" s="17" t="s">
        <v>2559</v>
      </c>
      <c r="R1503" s="18">
        <v>0</v>
      </c>
      <c r="S1503" s="19" t="s">
        <v>4265</v>
      </c>
      <c r="T1503" s="17"/>
      <c r="U1503" s="66"/>
    </row>
    <row r="1504" spans="2:21" s="15" customFormat="1" ht="29" x14ac:dyDescent="0.35">
      <c r="B1504" s="64">
        <v>45789</v>
      </c>
      <c r="C1504" s="17">
        <v>1398</v>
      </c>
      <c r="D1504" s="134" t="s">
        <v>4260</v>
      </c>
      <c r="E1504" s="85" t="s">
        <v>4264</v>
      </c>
      <c r="F1504" s="85" t="s">
        <v>1468</v>
      </c>
      <c r="G1504" s="17" t="s">
        <v>4133</v>
      </c>
      <c r="H1504" s="17" t="s">
        <v>1930</v>
      </c>
      <c r="I1504" s="145" t="s">
        <v>39</v>
      </c>
      <c r="J1504" s="135" t="s">
        <v>4267</v>
      </c>
      <c r="K1504" s="17" t="s">
        <v>1639</v>
      </c>
      <c r="L1504" s="17" t="s">
        <v>39</v>
      </c>
      <c r="M1504" s="65">
        <v>8115009294</v>
      </c>
      <c r="N1504" s="16">
        <v>868166057400434</v>
      </c>
      <c r="O1504" s="16" t="s">
        <v>4272</v>
      </c>
      <c r="P1504" s="17" t="s">
        <v>4271</v>
      </c>
      <c r="Q1504" s="17" t="s">
        <v>2559</v>
      </c>
      <c r="R1504" s="18">
        <v>0</v>
      </c>
      <c r="S1504" s="19" t="s">
        <v>4265</v>
      </c>
      <c r="T1504" s="17"/>
      <c r="U1504" s="66"/>
    </row>
    <row r="1505" spans="2:22" s="15" customFormat="1" ht="29" x14ac:dyDescent="0.35">
      <c r="B1505" s="64">
        <v>45789</v>
      </c>
      <c r="C1505" s="17">
        <v>1399</v>
      </c>
      <c r="D1505" s="134" t="s">
        <v>4261</v>
      </c>
      <c r="E1505" s="85" t="s">
        <v>4264</v>
      </c>
      <c r="F1505" s="85" t="s">
        <v>1468</v>
      </c>
      <c r="G1505" s="17" t="s">
        <v>4133</v>
      </c>
      <c r="H1505" s="17" t="s">
        <v>1930</v>
      </c>
      <c r="I1505" s="145" t="s">
        <v>39</v>
      </c>
      <c r="J1505" s="17" t="s">
        <v>4274</v>
      </c>
      <c r="K1505" s="17" t="s">
        <v>1718</v>
      </c>
      <c r="L1505" s="17" t="s">
        <v>39</v>
      </c>
      <c r="M1505" s="65">
        <v>8131037027</v>
      </c>
      <c r="N1505" s="16">
        <v>869220041535760</v>
      </c>
      <c r="O1505" s="119" t="s">
        <v>4276</v>
      </c>
      <c r="P1505" s="70" t="s">
        <v>4275</v>
      </c>
      <c r="Q1505" s="17" t="s">
        <v>2559</v>
      </c>
      <c r="R1505" s="18">
        <v>0</v>
      </c>
      <c r="S1505" s="19" t="s">
        <v>4265</v>
      </c>
      <c r="T1505" s="17"/>
      <c r="U1505" s="66"/>
    </row>
    <row r="1506" spans="2:22" s="15" customFormat="1" ht="29" x14ac:dyDescent="0.35">
      <c r="B1506" s="64">
        <v>45789</v>
      </c>
      <c r="C1506" s="17">
        <v>1400</v>
      </c>
      <c r="D1506" s="134" t="s">
        <v>4262</v>
      </c>
      <c r="E1506" s="85" t="s">
        <v>4264</v>
      </c>
      <c r="F1506" s="85" t="s">
        <v>1468</v>
      </c>
      <c r="G1506" s="17" t="s">
        <v>4133</v>
      </c>
      <c r="H1506" s="17" t="s">
        <v>1930</v>
      </c>
      <c r="I1506" s="145" t="s">
        <v>39</v>
      </c>
      <c r="J1506" s="17" t="s">
        <v>4278</v>
      </c>
      <c r="K1506" s="17" t="s">
        <v>1821</v>
      </c>
      <c r="L1506" s="17" t="s">
        <v>39</v>
      </c>
      <c r="M1506" s="65">
        <v>8134059952</v>
      </c>
      <c r="N1506" s="16">
        <v>868166058825803</v>
      </c>
      <c r="O1506" s="16" t="s">
        <v>4280</v>
      </c>
      <c r="P1506" s="17" t="s">
        <v>4279</v>
      </c>
      <c r="Q1506" s="17" t="s">
        <v>2559</v>
      </c>
      <c r="R1506" s="18">
        <v>0</v>
      </c>
      <c r="S1506" s="19" t="s">
        <v>4265</v>
      </c>
      <c r="T1506" s="17"/>
      <c r="U1506" s="66"/>
    </row>
    <row r="1507" spans="2:22" s="15" customFormat="1" ht="29" x14ac:dyDescent="0.35">
      <c r="B1507" s="64">
        <v>45789</v>
      </c>
      <c r="C1507" s="17">
        <v>1401</v>
      </c>
      <c r="D1507" s="134" t="s">
        <v>4263</v>
      </c>
      <c r="E1507" s="85" t="s">
        <v>4264</v>
      </c>
      <c r="F1507" s="85" t="s">
        <v>1468</v>
      </c>
      <c r="G1507" s="17" t="s">
        <v>4133</v>
      </c>
      <c r="H1507" s="17" t="s">
        <v>1930</v>
      </c>
      <c r="I1507" s="145" t="s">
        <v>39</v>
      </c>
      <c r="J1507" s="17" t="s">
        <v>4281</v>
      </c>
      <c r="K1507" s="17" t="s">
        <v>2174</v>
      </c>
      <c r="L1507" s="17" t="s">
        <v>39</v>
      </c>
      <c r="M1507" s="16">
        <v>8119166780</v>
      </c>
      <c r="N1507" s="16">
        <v>868166059144626</v>
      </c>
      <c r="O1507" s="16" t="s">
        <v>4284</v>
      </c>
      <c r="P1507" s="17" t="s">
        <v>4283</v>
      </c>
      <c r="Q1507" s="17" t="s">
        <v>2559</v>
      </c>
      <c r="R1507" s="18">
        <v>0</v>
      </c>
      <c r="S1507" s="19" t="s">
        <v>4265</v>
      </c>
      <c r="T1507" s="17"/>
      <c r="U1507" s="66"/>
    </row>
    <row r="1508" spans="2:22" s="15" customFormat="1" ht="29" x14ac:dyDescent="0.35">
      <c r="B1508" s="64">
        <v>45792</v>
      </c>
      <c r="C1508" s="17">
        <v>1402</v>
      </c>
      <c r="D1508" s="85" t="s">
        <v>4288</v>
      </c>
      <c r="E1508" s="85" t="s">
        <v>4289</v>
      </c>
      <c r="F1508" s="85" t="s">
        <v>6</v>
      </c>
      <c r="G1508" s="17" t="s">
        <v>1805</v>
      </c>
      <c r="H1508" s="14" t="s">
        <v>1744</v>
      </c>
      <c r="I1508" s="145">
        <v>0.45833333333333331</v>
      </c>
      <c r="J1508" s="17" t="s">
        <v>4256</v>
      </c>
      <c r="K1508" s="17" t="s">
        <v>4257</v>
      </c>
      <c r="L1508" s="17" t="s">
        <v>965</v>
      </c>
      <c r="M1508" s="16">
        <v>8128601790</v>
      </c>
      <c r="N1508" s="16">
        <v>864943048174565</v>
      </c>
      <c r="O1508" s="16" t="s">
        <v>39</v>
      </c>
      <c r="P1508" s="17" t="s">
        <v>4258</v>
      </c>
      <c r="Q1508" s="17" t="s">
        <v>4293</v>
      </c>
      <c r="R1508" s="18">
        <v>500</v>
      </c>
      <c r="S1508" s="19" t="s">
        <v>4295</v>
      </c>
      <c r="T1508" s="17"/>
      <c r="U1508" s="66"/>
    </row>
    <row r="1509" spans="2:22" s="15" customFormat="1" ht="29" x14ac:dyDescent="0.35">
      <c r="B1509" s="64">
        <v>45792</v>
      </c>
      <c r="C1509" s="17">
        <v>1403</v>
      </c>
      <c r="D1509" s="85">
        <v>823</v>
      </c>
      <c r="E1509" s="85" t="s">
        <v>4290</v>
      </c>
      <c r="F1509" s="85" t="s">
        <v>138</v>
      </c>
      <c r="G1509" s="17" t="s">
        <v>1805</v>
      </c>
      <c r="H1509" s="14" t="s">
        <v>1744</v>
      </c>
      <c r="I1509" s="145">
        <v>0</v>
      </c>
      <c r="J1509" s="17" t="s">
        <v>4256</v>
      </c>
      <c r="K1509" s="17" t="s">
        <v>4291</v>
      </c>
      <c r="L1509" s="17" t="s">
        <v>965</v>
      </c>
      <c r="M1509" s="16">
        <v>8128601790</v>
      </c>
      <c r="N1509" s="16">
        <v>864943048174565</v>
      </c>
      <c r="O1509" s="16" t="s">
        <v>39</v>
      </c>
      <c r="P1509" s="17" t="s">
        <v>4292</v>
      </c>
      <c r="Q1509" s="17" t="s">
        <v>4294</v>
      </c>
      <c r="R1509" s="18">
        <v>500</v>
      </c>
      <c r="S1509" s="19">
        <v>174</v>
      </c>
      <c r="T1509" s="17"/>
      <c r="U1509" s="66"/>
    </row>
    <row r="1510" spans="2:22" s="15" customFormat="1" ht="29" x14ac:dyDescent="0.35">
      <c r="B1510" s="64">
        <v>45792</v>
      </c>
      <c r="C1510" s="17">
        <v>1404</v>
      </c>
      <c r="D1510" s="85" t="s">
        <v>39</v>
      </c>
      <c r="E1510" s="136">
        <v>45792</v>
      </c>
      <c r="F1510" s="85" t="s">
        <v>40</v>
      </c>
      <c r="G1510" s="17" t="s">
        <v>1805</v>
      </c>
      <c r="H1510" s="17" t="s">
        <v>4285</v>
      </c>
      <c r="I1510" s="145">
        <v>0.58333333333333337</v>
      </c>
      <c r="J1510" s="17" t="s">
        <v>4286</v>
      </c>
      <c r="K1510" s="17" t="s">
        <v>4287</v>
      </c>
      <c r="L1510" s="17" t="s">
        <v>4117</v>
      </c>
      <c r="M1510" s="16" t="s">
        <v>39</v>
      </c>
      <c r="N1510" s="16" t="s">
        <v>39</v>
      </c>
      <c r="O1510" s="16" t="s">
        <v>39</v>
      </c>
      <c r="P1510" s="17" t="s">
        <v>39</v>
      </c>
      <c r="Q1510" s="17" t="s">
        <v>4296</v>
      </c>
      <c r="R1510" s="18">
        <v>290</v>
      </c>
      <c r="S1510" s="19" t="s">
        <v>39</v>
      </c>
      <c r="T1510" s="17"/>
      <c r="U1510" s="66"/>
    </row>
    <row r="1511" spans="2:22" s="15" customFormat="1" ht="29" x14ac:dyDescent="0.35">
      <c r="B1511" s="64">
        <v>45797</v>
      </c>
      <c r="C1511" s="17">
        <v>1405</v>
      </c>
      <c r="D1511" s="85">
        <v>824</v>
      </c>
      <c r="E1511" s="85" t="s">
        <v>4297</v>
      </c>
      <c r="F1511" s="85" t="s">
        <v>13</v>
      </c>
      <c r="G1511" s="17" t="s">
        <v>1805</v>
      </c>
      <c r="H1511" s="14" t="s">
        <v>1744</v>
      </c>
      <c r="I1511" s="145" t="s">
        <v>4301</v>
      </c>
      <c r="J1511" s="17" t="s">
        <v>4298</v>
      </c>
      <c r="K1511" s="17" t="s">
        <v>4299</v>
      </c>
      <c r="L1511" s="17" t="s">
        <v>4117</v>
      </c>
      <c r="M1511" s="16">
        <v>8123535759</v>
      </c>
      <c r="N1511" s="16">
        <v>864943048176800</v>
      </c>
      <c r="O1511" s="16" t="s">
        <v>39</v>
      </c>
      <c r="P1511" s="17" t="s">
        <v>4300</v>
      </c>
      <c r="Q1511" s="17" t="s">
        <v>8</v>
      </c>
      <c r="R1511" s="18">
        <v>1999.84</v>
      </c>
      <c r="S1511" s="19">
        <v>174</v>
      </c>
      <c r="T1511" s="17"/>
      <c r="U1511" s="66"/>
    </row>
    <row r="1512" spans="2:22" s="15" customFormat="1" ht="43.5" x14ac:dyDescent="0.35">
      <c r="B1512" s="64">
        <v>45799</v>
      </c>
      <c r="C1512" s="17">
        <v>1406</v>
      </c>
      <c r="D1512" s="85">
        <v>825</v>
      </c>
      <c r="E1512" s="85" t="s">
        <v>4344</v>
      </c>
      <c r="F1512" s="85" t="s">
        <v>13</v>
      </c>
      <c r="G1512" s="17" t="s">
        <v>1805</v>
      </c>
      <c r="H1512" s="17" t="s">
        <v>2413</v>
      </c>
      <c r="I1512" s="145" t="s">
        <v>4345</v>
      </c>
      <c r="J1512" s="17" t="s">
        <v>4346</v>
      </c>
      <c r="K1512" s="17" t="s">
        <v>4348</v>
      </c>
      <c r="L1512" s="17" t="s">
        <v>965</v>
      </c>
      <c r="M1512" s="16">
        <v>8123215743</v>
      </c>
      <c r="N1512" s="16">
        <v>864943048176792</v>
      </c>
      <c r="O1512" s="16" t="s">
        <v>4347</v>
      </c>
      <c r="P1512" s="17"/>
      <c r="Q1512" s="17" t="s">
        <v>8</v>
      </c>
      <c r="R1512" s="18">
        <v>1999.84</v>
      </c>
      <c r="S1512" s="19">
        <v>174</v>
      </c>
      <c r="T1512" s="17"/>
      <c r="U1512" s="66"/>
    </row>
    <row r="1513" spans="2:22" s="15" customFormat="1" ht="29" x14ac:dyDescent="0.35">
      <c r="B1513" s="64">
        <v>45805</v>
      </c>
      <c r="C1513" s="17">
        <v>1407</v>
      </c>
      <c r="D1513" s="85">
        <v>826</v>
      </c>
      <c r="E1513" s="85" t="s">
        <v>4349</v>
      </c>
      <c r="F1513" s="85" t="s">
        <v>13</v>
      </c>
      <c r="G1513" s="17" t="s">
        <v>1805</v>
      </c>
      <c r="H1513" s="17" t="s">
        <v>4354</v>
      </c>
      <c r="I1513" s="145" t="s">
        <v>39</v>
      </c>
      <c r="J1513" s="17" t="s">
        <v>4350</v>
      </c>
      <c r="K1513" s="17" t="s">
        <v>4351</v>
      </c>
      <c r="L1513" s="17" t="s">
        <v>965</v>
      </c>
      <c r="M1513" s="14">
        <v>8120403236</v>
      </c>
      <c r="N1513" s="38">
        <v>864943048175919</v>
      </c>
      <c r="O1513" s="14" t="s">
        <v>4352</v>
      </c>
      <c r="P1513" s="17" t="s">
        <v>39</v>
      </c>
      <c r="Q1513" s="17" t="s">
        <v>8</v>
      </c>
      <c r="R1513" s="18">
        <v>1999.84</v>
      </c>
      <c r="S1513" s="19">
        <v>174</v>
      </c>
      <c r="T1513" s="17"/>
      <c r="U1513" s="66"/>
      <c r="V1513" s="15" t="s">
        <v>4353</v>
      </c>
    </row>
    <row r="1514" spans="2:22" s="15" customFormat="1" ht="29" x14ac:dyDescent="0.35">
      <c r="B1514" s="64">
        <v>45806</v>
      </c>
      <c r="C1514" s="17">
        <v>1408</v>
      </c>
      <c r="D1514" s="85" t="s">
        <v>4923</v>
      </c>
      <c r="E1514" s="85" t="s">
        <v>4355</v>
      </c>
      <c r="F1514" s="85" t="s">
        <v>13</v>
      </c>
      <c r="G1514" s="17" t="s">
        <v>1805</v>
      </c>
      <c r="H1514" s="14" t="s">
        <v>1744</v>
      </c>
      <c r="I1514" s="145" t="s">
        <v>4356</v>
      </c>
      <c r="J1514" s="17" t="s">
        <v>4357</v>
      </c>
      <c r="K1514" s="17" t="s">
        <v>4359</v>
      </c>
      <c r="L1514" s="17" t="s">
        <v>965</v>
      </c>
      <c r="M1514" s="16">
        <v>8110504480</v>
      </c>
      <c r="N1514" s="16">
        <v>864943048174839</v>
      </c>
      <c r="O1514" s="16" t="s">
        <v>39</v>
      </c>
      <c r="P1514" s="17" t="s">
        <v>4360</v>
      </c>
      <c r="Q1514" s="17" t="s">
        <v>8</v>
      </c>
      <c r="R1514" s="18">
        <v>1999.84</v>
      </c>
      <c r="S1514" s="19" t="s">
        <v>4912</v>
      </c>
      <c r="T1514" s="17"/>
      <c r="U1514" s="66"/>
    </row>
    <row r="1515" spans="2:22" s="15" customFormat="1" ht="29" x14ac:dyDescent="0.35">
      <c r="B1515" s="64">
        <v>45806</v>
      </c>
      <c r="C1515" s="17">
        <v>1409</v>
      </c>
      <c r="D1515" s="85">
        <v>828</v>
      </c>
      <c r="E1515" s="85" t="s">
        <v>4355</v>
      </c>
      <c r="F1515" s="85" t="s">
        <v>13</v>
      </c>
      <c r="G1515" s="17" t="s">
        <v>1805</v>
      </c>
      <c r="H1515" s="14" t="s">
        <v>1744</v>
      </c>
      <c r="I1515" s="145" t="s">
        <v>4356</v>
      </c>
      <c r="J1515" s="17" t="s">
        <v>4358</v>
      </c>
      <c r="K1515" s="17" t="s">
        <v>4361</v>
      </c>
      <c r="L1515" s="17" t="s">
        <v>965</v>
      </c>
      <c r="M1515" s="16">
        <v>8110503329</v>
      </c>
      <c r="N1515" s="16">
        <v>864943048174805</v>
      </c>
      <c r="O1515" s="16" t="s">
        <v>39</v>
      </c>
      <c r="P1515" s="17" t="s">
        <v>4362</v>
      </c>
      <c r="Q1515" s="17" t="s">
        <v>8</v>
      </c>
      <c r="R1515" s="18">
        <v>1999.84</v>
      </c>
      <c r="S1515" s="19">
        <v>174</v>
      </c>
      <c r="T1515" s="17"/>
      <c r="U1515" s="66"/>
    </row>
    <row r="1516" spans="2:22" s="15" customFormat="1" ht="29" x14ac:dyDescent="0.35">
      <c r="B1516" s="64">
        <v>45810</v>
      </c>
      <c r="C1516" s="17">
        <v>1410</v>
      </c>
      <c r="D1516" s="85">
        <v>829</v>
      </c>
      <c r="E1516" s="85" t="s">
        <v>4363</v>
      </c>
      <c r="F1516" s="85" t="s">
        <v>13</v>
      </c>
      <c r="G1516" s="17" t="s">
        <v>1805</v>
      </c>
      <c r="H1516" s="14" t="s">
        <v>1744</v>
      </c>
      <c r="I1516" s="145" t="s">
        <v>4364</v>
      </c>
      <c r="J1516" s="17" t="s">
        <v>4365</v>
      </c>
      <c r="K1516" s="17" t="s">
        <v>4366</v>
      </c>
      <c r="L1516" s="17" t="s">
        <v>965</v>
      </c>
      <c r="M1516" s="16">
        <v>8110449952</v>
      </c>
      <c r="N1516" s="16">
        <v>864943048175901</v>
      </c>
      <c r="O1516" s="16" t="s">
        <v>4373</v>
      </c>
      <c r="P1516" s="17" t="s">
        <v>4374</v>
      </c>
      <c r="Q1516" s="17" t="s">
        <v>8</v>
      </c>
      <c r="R1516" s="18">
        <v>1999.84</v>
      </c>
      <c r="S1516" s="19">
        <v>174</v>
      </c>
      <c r="T1516" s="17"/>
      <c r="U1516" s="66"/>
    </row>
    <row r="1517" spans="2:22" s="15" customFormat="1" ht="29" x14ac:dyDescent="0.35">
      <c r="B1517" s="64">
        <v>45812</v>
      </c>
      <c r="C1517" s="17">
        <v>1411</v>
      </c>
      <c r="D1517" s="85">
        <v>830</v>
      </c>
      <c r="E1517" s="85" t="s">
        <v>4367</v>
      </c>
      <c r="F1517" s="85" t="s">
        <v>13</v>
      </c>
      <c r="G1517" s="17" t="s">
        <v>1805</v>
      </c>
      <c r="H1517" s="14" t="s">
        <v>1744</v>
      </c>
      <c r="I1517" s="145" t="s">
        <v>4368</v>
      </c>
      <c r="J1517" s="17" t="s">
        <v>4372</v>
      </c>
      <c r="K1517" s="17" t="s">
        <v>4371</v>
      </c>
      <c r="L1517" s="17" t="s">
        <v>965</v>
      </c>
      <c r="M1517" s="16">
        <v>8110509145</v>
      </c>
      <c r="N1517" s="16">
        <v>864943048176164</v>
      </c>
      <c r="O1517" s="16" t="s">
        <v>4369</v>
      </c>
      <c r="P1517" s="17" t="s">
        <v>4370</v>
      </c>
      <c r="Q1517" s="17" t="s">
        <v>8</v>
      </c>
      <c r="R1517" s="18">
        <v>1999.84</v>
      </c>
      <c r="S1517" s="19">
        <v>174</v>
      </c>
      <c r="T1517" s="17"/>
      <c r="U1517" s="66"/>
    </row>
    <row r="1518" spans="2:22" s="15" customFormat="1" ht="29" x14ac:dyDescent="0.35">
      <c r="B1518" s="64">
        <v>45818</v>
      </c>
      <c r="C1518" s="17">
        <v>1412</v>
      </c>
      <c r="D1518" s="85" t="s">
        <v>39</v>
      </c>
      <c r="E1518" s="85" t="s">
        <v>39</v>
      </c>
      <c r="F1518" s="85" t="s">
        <v>40</v>
      </c>
      <c r="G1518" s="17" t="s">
        <v>1805</v>
      </c>
      <c r="H1518" s="17" t="s">
        <v>4376</v>
      </c>
      <c r="I1518" s="145">
        <v>0.70833333333333337</v>
      </c>
      <c r="J1518" s="17" t="s">
        <v>4377</v>
      </c>
      <c r="K1518" s="17" t="s">
        <v>4375</v>
      </c>
      <c r="L1518" s="17" t="s">
        <v>965</v>
      </c>
      <c r="M1518" s="16" t="s">
        <v>39</v>
      </c>
      <c r="N1518" s="16" t="s">
        <v>39</v>
      </c>
      <c r="O1518" s="16" t="s">
        <v>39</v>
      </c>
      <c r="P1518" s="17" t="s">
        <v>39</v>
      </c>
      <c r="Q1518" s="17" t="s">
        <v>4378</v>
      </c>
      <c r="R1518" s="18">
        <v>290</v>
      </c>
      <c r="S1518" s="19">
        <v>0</v>
      </c>
      <c r="T1518" s="17"/>
      <c r="U1518" s="66"/>
    </row>
    <row r="1519" spans="2:22" s="15" customFormat="1" ht="43.5" x14ac:dyDescent="0.35">
      <c r="B1519" s="64">
        <v>45819</v>
      </c>
      <c r="C1519" s="17">
        <v>1413</v>
      </c>
      <c r="D1519" s="85" t="s">
        <v>39</v>
      </c>
      <c r="E1519" s="85" t="s">
        <v>39</v>
      </c>
      <c r="F1519" s="85" t="s">
        <v>4385</v>
      </c>
      <c r="G1519" s="17" t="s">
        <v>1805</v>
      </c>
      <c r="H1519" s="17" t="s">
        <v>2413</v>
      </c>
      <c r="I1519" s="145">
        <v>0.5</v>
      </c>
      <c r="J1519" s="17" t="s">
        <v>4380</v>
      </c>
      <c r="K1519" s="17" t="s">
        <v>4381</v>
      </c>
      <c r="L1519" s="17" t="s">
        <v>965</v>
      </c>
      <c r="M1519" s="16" t="s">
        <v>39</v>
      </c>
      <c r="N1519" s="16" t="s">
        <v>39</v>
      </c>
      <c r="O1519" s="16" t="s">
        <v>39</v>
      </c>
      <c r="P1519" s="17" t="s">
        <v>39</v>
      </c>
      <c r="Q1519" s="17" t="s">
        <v>4384</v>
      </c>
      <c r="R1519" s="18" t="s">
        <v>39</v>
      </c>
      <c r="S1519" s="19" t="s">
        <v>39</v>
      </c>
      <c r="T1519" s="17"/>
      <c r="U1519" s="66"/>
    </row>
    <row r="1520" spans="2:22" s="15" customFormat="1" ht="43.5" x14ac:dyDescent="0.35">
      <c r="B1520" s="64">
        <v>45819</v>
      </c>
      <c r="C1520" s="17">
        <v>1413</v>
      </c>
      <c r="D1520" s="85" t="s">
        <v>5258</v>
      </c>
      <c r="E1520" s="85" t="s">
        <v>4379</v>
      </c>
      <c r="F1520" s="85" t="s">
        <v>13</v>
      </c>
      <c r="G1520" s="17" t="s">
        <v>1805</v>
      </c>
      <c r="H1520" s="17" t="s">
        <v>2413</v>
      </c>
      <c r="I1520" s="145">
        <v>0.5</v>
      </c>
      <c r="J1520" s="17" t="s">
        <v>5275</v>
      </c>
      <c r="K1520" s="17" t="s">
        <v>4386</v>
      </c>
      <c r="L1520" s="17" t="s">
        <v>965</v>
      </c>
      <c r="M1520" s="16">
        <v>8120227229</v>
      </c>
      <c r="N1520" s="16">
        <v>864943048176073</v>
      </c>
      <c r="O1520" s="16" t="s">
        <v>4382</v>
      </c>
      <c r="P1520" s="17" t="s">
        <v>4383</v>
      </c>
      <c r="Q1520" s="17" t="s">
        <v>8</v>
      </c>
      <c r="R1520" s="18">
        <v>1999.84</v>
      </c>
      <c r="S1520" s="19" t="s">
        <v>5264</v>
      </c>
      <c r="T1520" s="17"/>
      <c r="U1520" s="66"/>
    </row>
    <row r="1521" spans="2:21" s="15" customFormat="1" ht="43.5" x14ac:dyDescent="0.35">
      <c r="B1521" s="64">
        <v>45824</v>
      </c>
      <c r="C1521" s="17">
        <v>1414</v>
      </c>
      <c r="D1521" s="85" t="s">
        <v>5259</v>
      </c>
      <c r="E1521" s="85" t="s">
        <v>4388</v>
      </c>
      <c r="F1521" s="85" t="s">
        <v>13</v>
      </c>
      <c r="G1521" s="17" t="s">
        <v>1805</v>
      </c>
      <c r="H1521" s="17" t="s">
        <v>2413</v>
      </c>
      <c r="I1521" s="145">
        <v>0.5625</v>
      </c>
      <c r="J1521" s="17" t="s">
        <v>4389</v>
      </c>
      <c r="K1521" s="17" t="s">
        <v>4390</v>
      </c>
      <c r="L1521" s="17" t="s">
        <v>4117</v>
      </c>
      <c r="M1521" s="16">
        <v>8115198384</v>
      </c>
      <c r="N1521" s="16">
        <v>864943047770520</v>
      </c>
      <c r="O1521" s="16" t="s">
        <v>4391</v>
      </c>
      <c r="P1521" s="17" t="s">
        <v>4392</v>
      </c>
      <c r="Q1521" s="17" t="s">
        <v>8</v>
      </c>
      <c r="R1521" s="18">
        <v>1999.84</v>
      </c>
      <c r="S1521" s="19" t="s">
        <v>5264</v>
      </c>
      <c r="T1521" s="17"/>
      <c r="U1521" s="66"/>
    </row>
    <row r="1522" spans="2:21" s="15" customFormat="1" ht="48" x14ac:dyDescent="0.35">
      <c r="B1522" s="64">
        <v>45825</v>
      </c>
      <c r="C1522" s="17">
        <v>1415</v>
      </c>
      <c r="D1522" s="74" t="s">
        <v>5056</v>
      </c>
      <c r="E1522" s="85" t="s">
        <v>4393</v>
      </c>
      <c r="F1522" s="85" t="s">
        <v>36</v>
      </c>
      <c r="G1522" s="17" t="s">
        <v>4133</v>
      </c>
      <c r="H1522" s="17" t="s">
        <v>4394</v>
      </c>
      <c r="I1522" s="145" t="s">
        <v>4599</v>
      </c>
      <c r="J1522" s="17" t="s">
        <v>4395</v>
      </c>
      <c r="K1522" s="17" t="s">
        <v>4396</v>
      </c>
      <c r="L1522" s="17" t="s">
        <v>965</v>
      </c>
      <c r="M1522" s="16">
        <v>8182597047</v>
      </c>
      <c r="N1522" s="16">
        <v>868166059143966</v>
      </c>
      <c r="O1522" s="16" t="s">
        <v>4397</v>
      </c>
      <c r="P1522" s="17" t="s">
        <v>2177</v>
      </c>
      <c r="Q1522" s="99" t="s">
        <v>4398</v>
      </c>
      <c r="R1522" s="18">
        <f>522</f>
        <v>522</v>
      </c>
      <c r="S1522" s="19" t="s">
        <v>5002</v>
      </c>
      <c r="T1522" s="17"/>
      <c r="U1522" s="66"/>
    </row>
    <row r="1523" spans="2:21" s="15" customFormat="1" ht="29" x14ac:dyDescent="0.35">
      <c r="B1523" s="64">
        <v>45826</v>
      </c>
      <c r="C1523" s="17">
        <v>1416</v>
      </c>
      <c r="D1523" s="85" t="s">
        <v>5260</v>
      </c>
      <c r="E1523" s="85" t="s">
        <v>4399</v>
      </c>
      <c r="F1523" s="85" t="s">
        <v>13</v>
      </c>
      <c r="G1523" s="17" t="s">
        <v>1805</v>
      </c>
      <c r="H1523" s="14" t="s">
        <v>1744</v>
      </c>
      <c r="I1523" s="145" t="s">
        <v>4599</v>
      </c>
      <c r="J1523" s="17" t="s">
        <v>4400</v>
      </c>
      <c r="K1523" s="14" t="s">
        <v>4402</v>
      </c>
      <c r="L1523" s="17" t="s">
        <v>4117</v>
      </c>
      <c r="M1523" s="16">
        <v>8115166506</v>
      </c>
      <c r="N1523" s="16">
        <v>864943047771817</v>
      </c>
      <c r="O1523" s="16" t="s">
        <v>39</v>
      </c>
      <c r="P1523" s="17" t="s">
        <v>4401</v>
      </c>
      <c r="Q1523" s="17" t="s">
        <v>8</v>
      </c>
      <c r="R1523" s="18">
        <v>1999.84</v>
      </c>
      <c r="S1523" s="19" t="s">
        <v>5264</v>
      </c>
      <c r="T1523" s="17"/>
      <c r="U1523" s="66"/>
    </row>
    <row r="1524" spans="2:21" s="15" customFormat="1" ht="29" x14ac:dyDescent="0.35">
      <c r="B1524" s="64">
        <v>45828</v>
      </c>
      <c r="C1524" s="17">
        <v>1417</v>
      </c>
      <c r="D1524" s="85">
        <v>834</v>
      </c>
      <c r="E1524" s="85" t="s">
        <v>4403</v>
      </c>
      <c r="F1524" s="85" t="s">
        <v>13</v>
      </c>
      <c r="G1524" s="17" t="s">
        <v>1805</v>
      </c>
      <c r="H1524" s="14" t="s">
        <v>1744</v>
      </c>
      <c r="I1524" s="145" t="s">
        <v>4459</v>
      </c>
      <c r="J1524" s="17" t="s">
        <v>4404</v>
      </c>
      <c r="K1524" s="14" t="s">
        <v>4405</v>
      </c>
      <c r="L1524" s="17" t="s">
        <v>4117</v>
      </c>
      <c r="M1524" s="16">
        <v>8115399957</v>
      </c>
      <c r="N1524" s="16">
        <v>864943047771288</v>
      </c>
      <c r="O1524" s="16" t="s">
        <v>39</v>
      </c>
      <c r="P1524" s="17" t="s">
        <v>4406</v>
      </c>
      <c r="Q1524" s="17" t="s">
        <v>8</v>
      </c>
      <c r="R1524" s="18">
        <v>1999.84</v>
      </c>
      <c r="S1524" s="19">
        <v>174</v>
      </c>
      <c r="T1524" s="17"/>
      <c r="U1524" s="66"/>
    </row>
    <row r="1525" spans="2:21" s="15" customFormat="1" ht="29" x14ac:dyDescent="0.35">
      <c r="B1525" s="64">
        <v>45832</v>
      </c>
      <c r="C1525" s="17">
        <v>1418</v>
      </c>
      <c r="D1525" s="85" t="s">
        <v>39</v>
      </c>
      <c r="E1525" s="85" t="s">
        <v>4412</v>
      </c>
      <c r="F1525" s="85" t="s">
        <v>1468</v>
      </c>
      <c r="G1525" s="17" t="s">
        <v>1805</v>
      </c>
      <c r="H1525" s="17" t="s">
        <v>1930</v>
      </c>
      <c r="I1525" s="145" t="s">
        <v>39</v>
      </c>
      <c r="J1525" s="17" t="s">
        <v>24</v>
      </c>
      <c r="K1525" s="17" t="s">
        <v>1667</v>
      </c>
      <c r="L1525" s="17" t="s">
        <v>39</v>
      </c>
      <c r="M1525" s="16">
        <v>8118249885</v>
      </c>
      <c r="N1525" s="16">
        <v>868166056884950</v>
      </c>
      <c r="O1525" s="16" t="s">
        <v>4409</v>
      </c>
      <c r="P1525" s="17" t="s">
        <v>4410</v>
      </c>
      <c r="Q1525" s="17" t="s">
        <v>2559</v>
      </c>
      <c r="R1525" s="18"/>
      <c r="S1525" s="41" t="s">
        <v>4411</v>
      </c>
      <c r="T1525" s="17"/>
      <c r="U1525" s="66"/>
    </row>
    <row r="1526" spans="2:21" s="15" customFormat="1" ht="29" x14ac:dyDescent="0.35">
      <c r="B1526" s="64">
        <v>45838</v>
      </c>
      <c r="C1526" s="17">
        <v>1419</v>
      </c>
      <c r="D1526" s="74" t="s">
        <v>5070</v>
      </c>
      <c r="E1526" s="85" t="s">
        <v>4403</v>
      </c>
      <c r="F1526" s="85" t="s">
        <v>13</v>
      </c>
      <c r="G1526" s="17" t="s">
        <v>1805</v>
      </c>
      <c r="H1526" s="14" t="s">
        <v>1744</v>
      </c>
      <c r="I1526" s="145" t="s">
        <v>4619</v>
      </c>
      <c r="J1526" s="17" t="s">
        <v>4414</v>
      </c>
      <c r="K1526" s="17" t="s">
        <v>4415</v>
      </c>
      <c r="L1526" s="17" t="s">
        <v>965</v>
      </c>
      <c r="M1526" s="16">
        <v>8186027697</v>
      </c>
      <c r="N1526" s="16">
        <v>864943048677146</v>
      </c>
      <c r="O1526" s="16" t="s">
        <v>39</v>
      </c>
      <c r="P1526" s="17" t="s">
        <v>4416</v>
      </c>
      <c r="Q1526" s="17" t="s">
        <v>8</v>
      </c>
      <c r="R1526" s="18">
        <v>1999.84</v>
      </c>
      <c r="S1526" s="19" t="s">
        <v>5002</v>
      </c>
      <c r="T1526" s="17"/>
      <c r="U1526" s="66"/>
    </row>
    <row r="1527" spans="2:21" s="15" customFormat="1" ht="43.5" x14ac:dyDescent="0.35">
      <c r="B1527" s="64">
        <v>45842</v>
      </c>
      <c r="C1527" s="17">
        <v>1420</v>
      </c>
      <c r="D1527" s="85">
        <v>836</v>
      </c>
      <c r="E1527" s="85" t="s">
        <v>4417</v>
      </c>
      <c r="F1527" s="85" t="s">
        <v>13</v>
      </c>
      <c r="G1527" s="17" t="s">
        <v>1805</v>
      </c>
      <c r="H1527" s="17" t="s">
        <v>2413</v>
      </c>
      <c r="I1527" s="145" t="s">
        <v>960</v>
      </c>
      <c r="J1527" s="17" t="s">
        <v>4418</v>
      </c>
      <c r="K1527" s="17" t="s">
        <v>4419</v>
      </c>
      <c r="L1527" s="17" t="s">
        <v>4117</v>
      </c>
      <c r="M1527" s="16">
        <v>8186019220</v>
      </c>
      <c r="N1527" s="16">
        <v>864943048826628</v>
      </c>
      <c r="O1527" s="16" t="s">
        <v>4420</v>
      </c>
      <c r="P1527" s="17" t="s">
        <v>4421</v>
      </c>
      <c r="Q1527" s="17" t="s">
        <v>8</v>
      </c>
      <c r="R1527" s="18">
        <v>1999.84</v>
      </c>
      <c r="S1527" s="19">
        <v>174</v>
      </c>
      <c r="T1527" s="17"/>
      <c r="U1527" s="66"/>
    </row>
    <row r="1528" spans="2:21" s="15" customFormat="1" ht="29" x14ac:dyDescent="0.35">
      <c r="B1528" s="64">
        <v>45842</v>
      </c>
      <c r="C1528" s="17">
        <v>1421</v>
      </c>
      <c r="D1528" s="85">
        <v>837</v>
      </c>
      <c r="E1528" s="85" t="s">
        <v>4417</v>
      </c>
      <c r="F1528" s="85" t="s">
        <v>13</v>
      </c>
      <c r="G1528" s="17" t="s">
        <v>1805</v>
      </c>
      <c r="H1528" s="14" t="s">
        <v>1744</v>
      </c>
      <c r="I1528" s="145">
        <v>0.5</v>
      </c>
      <c r="J1528" s="17" t="s">
        <v>4422</v>
      </c>
      <c r="K1528" s="17" t="s">
        <v>4423</v>
      </c>
      <c r="L1528" s="17" t="s">
        <v>4117</v>
      </c>
      <c r="M1528" s="16">
        <v>8186030408</v>
      </c>
      <c r="N1528" s="16">
        <v>864943048788893</v>
      </c>
      <c r="O1528" s="16" t="s">
        <v>39</v>
      </c>
      <c r="P1528" s="17" t="s">
        <v>4424</v>
      </c>
      <c r="Q1528" s="17" t="s">
        <v>8</v>
      </c>
      <c r="R1528" s="18">
        <v>1999.84</v>
      </c>
      <c r="S1528" s="19">
        <v>174</v>
      </c>
      <c r="T1528" s="17"/>
      <c r="U1528" s="66"/>
    </row>
    <row r="1529" spans="2:21" s="15" customFormat="1" ht="29" x14ac:dyDescent="0.35">
      <c r="B1529" s="64">
        <v>45846</v>
      </c>
      <c r="C1529" s="17">
        <v>1422</v>
      </c>
      <c r="D1529" s="74" t="s">
        <v>5071</v>
      </c>
      <c r="E1529" s="85" t="s">
        <v>4425</v>
      </c>
      <c r="F1529" s="85" t="s">
        <v>13</v>
      </c>
      <c r="G1529" s="17" t="s">
        <v>1805</v>
      </c>
      <c r="H1529" s="14" t="s">
        <v>1744</v>
      </c>
      <c r="I1529" s="145">
        <v>0.54166666666666663</v>
      </c>
      <c r="J1529" s="17" t="s">
        <v>4426</v>
      </c>
      <c r="K1529" s="17" t="s">
        <v>4427</v>
      </c>
      <c r="L1529" s="17" t="s">
        <v>4117</v>
      </c>
      <c r="M1529" s="16">
        <v>8110440925</v>
      </c>
      <c r="N1529" s="16">
        <v>864943048787457</v>
      </c>
      <c r="O1529" s="16" t="s">
        <v>39</v>
      </c>
      <c r="P1529" s="17" t="s">
        <v>4428</v>
      </c>
      <c r="Q1529" s="17" t="s">
        <v>8</v>
      </c>
      <c r="R1529" s="18">
        <v>1999.84</v>
      </c>
      <c r="S1529" s="19" t="s">
        <v>5002</v>
      </c>
      <c r="T1529" s="17"/>
      <c r="U1529" s="66"/>
    </row>
    <row r="1530" spans="2:21" s="15" customFormat="1" ht="43.5" x14ac:dyDescent="0.35">
      <c r="B1530" s="64">
        <v>45846</v>
      </c>
      <c r="C1530" s="17">
        <v>1423</v>
      </c>
      <c r="D1530" s="85" t="s">
        <v>4515</v>
      </c>
      <c r="E1530" s="85" t="s">
        <v>4425</v>
      </c>
      <c r="F1530" s="85" t="s">
        <v>13</v>
      </c>
      <c r="G1530" s="17" t="s">
        <v>1805</v>
      </c>
      <c r="H1530" s="17" t="s">
        <v>989</v>
      </c>
      <c r="I1530" s="145">
        <v>0.58333333333333337</v>
      </c>
      <c r="J1530" s="17" t="s">
        <v>4430</v>
      </c>
      <c r="K1530" s="17" t="s">
        <v>4429</v>
      </c>
      <c r="L1530" s="17" t="s">
        <v>4117</v>
      </c>
      <c r="M1530" s="16">
        <v>8110440977</v>
      </c>
      <c r="N1530" s="16">
        <v>864943048789289</v>
      </c>
      <c r="O1530" s="16" t="s">
        <v>39</v>
      </c>
      <c r="P1530" s="17" t="s">
        <v>4431</v>
      </c>
      <c r="Q1530" s="17" t="s">
        <v>8</v>
      </c>
      <c r="R1530" s="18">
        <v>1999.84</v>
      </c>
      <c r="S1530" s="19" t="s">
        <v>4517</v>
      </c>
      <c r="T1530" s="17"/>
      <c r="U1530" s="66"/>
    </row>
    <row r="1531" spans="2:21" s="15" customFormat="1" ht="29" x14ac:dyDescent="0.35">
      <c r="B1531" s="64">
        <v>45846</v>
      </c>
      <c r="C1531" s="17">
        <v>1424</v>
      </c>
      <c r="D1531" s="138" t="s">
        <v>4432</v>
      </c>
      <c r="E1531" s="85" t="s">
        <v>4433</v>
      </c>
      <c r="F1531" s="85" t="s">
        <v>1468</v>
      </c>
      <c r="G1531" s="17" t="s">
        <v>4133</v>
      </c>
      <c r="H1531" s="17" t="s">
        <v>1930</v>
      </c>
      <c r="I1531" s="145" t="s">
        <v>39</v>
      </c>
      <c r="J1531" s="135" t="s">
        <v>4439</v>
      </c>
      <c r="K1531" s="14" t="s">
        <v>1331</v>
      </c>
      <c r="L1531" s="17" t="s">
        <v>39</v>
      </c>
      <c r="M1531" s="38">
        <v>8126225782</v>
      </c>
      <c r="N1531" s="38">
        <v>868166053311783</v>
      </c>
      <c r="O1531" s="38" t="s">
        <v>4440</v>
      </c>
      <c r="P1531" s="14" t="s">
        <v>4441</v>
      </c>
      <c r="Q1531" s="17" t="s">
        <v>2559</v>
      </c>
      <c r="R1531" s="18">
        <v>0</v>
      </c>
      <c r="S1531" s="19" t="s">
        <v>4438</v>
      </c>
      <c r="T1531" s="17"/>
      <c r="U1531" s="66"/>
    </row>
    <row r="1532" spans="2:21" s="15" customFormat="1" ht="29" x14ac:dyDescent="0.35">
      <c r="B1532" s="64">
        <v>45846</v>
      </c>
      <c r="C1532" s="17">
        <v>1425</v>
      </c>
      <c r="D1532" s="138" t="s">
        <v>4434</v>
      </c>
      <c r="E1532" s="85" t="s">
        <v>4433</v>
      </c>
      <c r="F1532" s="85" t="s">
        <v>1468</v>
      </c>
      <c r="G1532" s="17" t="s">
        <v>4133</v>
      </c>
      <c r="H1532" s="17" t="s">
        <v>1930</v>
      </c>
      <c r="I1532" s="145" t="s">
        <v>39</v>
      </c>
      <c r="J1532" s="135" t="s">
        <v>4442</v>
      </c>
      <c r="K1532" s="14" t="s">
        <v>1395</v>
      </c>
      <c r="L1532" s="17" t="s">
        <v>39</v>
      </c>
      <c r="M1532" s="37">
        <v>8126221220</v>
      </c>
      <c r="N1532" s="37">
        <v>868166052723764</v>
      </c>
      <c r="O1532" s="37" t="s">
        <v>39</v>
      </c>
      <c r="P1532" s="14" t="s">
        <v>854</v>
      </c>
      <c r="Q1532" s="17" t="s">
        <v>2559</v>
      </c>
      <c r="R1532" s="18">
        <v>0</v>
      </c>
      <c r="S1532" s="19" t="s">
        <v>4438</v>
      </c>
      <c r="T1532" s="17"/>
      <c r="U1532" s="66"/>
    </row>
    <row r="1533" spans="2:21" s="15" customFormat="1" ht="29" x14ac:dyDescent="0.35">
      <c r="B1533" s="64">
        <v>45846</v>
      </c>
      <c r="C1533" s="17">
        <v>1426</v>
      </c>
      <c r="D1533" s="138" t="s">
        <v>4435</v>
      </c>
      <c r="E1533" s="85" t="s">
        <v>4433</v>
      </c>
      <c r="F1533" s="85" t="s">
        <v>1468</v>
      </c>
      <c r="G1533" s="17" t="s">
        <v>4133</v>
      </c>
      <c r="H1533" s="17" t="s">
        <v>1930</v>
      </c>
      <c r="I1533" s="145" t="s">
        <v>39</v>
      </c>
      <c r="J1533" s="14" t="s">
        <v>4444</v>
      </c>
      <c r="K1533" s="14" t="s">
        <v>1401</v>
      </c>
      <c r="L1533" s="17" t="s">
        <v>39</v>
      </c>
      <c r="M1533" s="37">
        <v>8135516743</v>
      </c>
      <c r="N1533" s="37">
        <v>868166053043501</v>
      </c>
      <c r="O1533" s="37" t="s">
        <v>4446</v>
      </c>
      <c r="P1533" s="14" t="s">
        <v>4445</v>
      </c>
      <c r="Q1533" s="17" t="s">
        <v>2559</v>
      </c>
      <c r="R1533" s="18">
        <v>0</v>
      </c>
      <c r="S1533" s="19" t="s">
        <v>4438</v>
      </c>
      <c r="T1533" s="17"/>
      <c r="U1533" s="66"/>
    </row>
    <row r="1534" spans="2:21" s="15" customFormat="1" ht="29" x14ac:dyDescent="0.35">
      <c r="B1534" s="64">
        <v>45846</v>
      </c>
      <c r="C1534" s="17">
        <v>1427</v>
      </c>
      <c r="D1534" s="138" t="s">
        <v>4436</v>
      </c>
      <c r="E1534" s="85" t="s">
        <v>4433</v>
      </c>
      <c r="F1534" s="85" t="s">
        <v>1468</v>
      </c>
      <c r="G1534" s="17" t="s">
        <v>4133</v>
      </c>
      <c r="H1534" s="17" t="s">
        <v>1930</v>
      </c>
      <c r="I1534" s="145" t="s">
        <v>39</v>
      </c>
      <c r="J1534" s="17" t="s">
        <v>4447</v>
      </c>
      <c r="K1534" s="14" t="s">
        <v>1415</v>
      </c>
      <c r="L1534" s="17" t="s">
        <v>39</v>
      </c>
      <c r="M1534" s="16">
        <v>8118003620</v>
      </c>
      <c r="N1534" s="16">
        <v>868166057587487</v>
      </c>
      <c r="O1534" s="38" t="s">
        <v>4452</v>
      </c>
      <c r="P1534" s="14" t="s">
        <v>4451</v>
      </c>
      <c r="Q1534" s="17" t="s">
        <v>2559</v>
      </c>
      <c r="R1534" s="18">
        <v>0</v>
      </c>
      <c r="S1534" s="19" t="s">
        <v>4438</v>
      </c>
      <c r="T1534" s="19" t="s">
        <v>4725</v>
      </c>
      <c r="U1534" s="66"/>
    </row>
    <row r="1535" spans="2:21" s="15" customFormat="1" ht="43.5" x14ac:dyDescent="0.35">
      <c r="B1535" s="64">
        <v>45846</v>
      </c>
      <c r="C1535" s="17">
        <v>1428</v>
      </c>
      <c r="D1535" s="90" t="s">
        <v>4437</v>
      </c>
      <c r="E1535" s="85" t="s">
        <v>4433</v>
      </c>
      <c r="F1535" s="85" t="s">
        <v>1468</v>
      </c>
      <c r="G1535" s="17" t="s">
        <v>4133</v>
      </c>
      <c r="H1535" s="17" t="s">
        <v>1930</v>
      </c>
      <c r="I1535" s="145" t="s">
        <v>39</v>
      </c>
      <c r="J1535" s="14" t="s">
        <v>4455</v>
      </c>
      <c r="K1535" s="14" t="s">
        <v>1420</v>
      </c>
      <c r="L1535" s="17" t="s">
        <v>39</v>
      </c>
      <c r="M1535" s="14">
        <v>8115173440</v>
      </c>
      <c r="N1535" s="38">
        <v>868166054431572</v>
      </c>
      <c r="O1535" s="14" t="s">
        <v>881</v>
      </c>
      <c r="P1535" s="17" t="s">
        <v>39</v>
      </c>
      <c r="Q1535" s="17" t="s">
        <v>2559</v>
      </c>
      <c r="R1535" s="18">
        <v>0</v>
      </c>
      <c r="S1535" s="19" t="s">
        <v>4438</v>
      </c>
      <c r="T1535" s="17"/>
      <c r="U1535" s="66"/>
    </row>
    <row r="1536" spans="2:21" s="15" customFormat="1" ht="29" x14ac:dyDescent="0.35">
      <c r="B1536" s="64">
        <v>45846</v>
      </c>
      <c r="C1536" s="17">
        <v>1429</v>
      </c>
      <c r="D1536" s="138" t="s">
        <v>4260</v>
      </c>
      <c r="E1536" s="85" t="s">
        <v>4433</v>
      </c>
      <c r="F1536" s="85" t="s">
        <v>1468</v>
      </c>
      <c r="G1536" s="17" t="s">
        <v>4133</v>
      </c>
      <c r="H1536" s="17" t="s">
        <v>1930</v>
      </c>
      <c r="I1536" s="145" t="s">
        <v>39</v>
      </c>
      <c r="J1536" s="135" t="s">
        <v>4267</v>
      </c>
      <c r="K1536" s="17" t="s">
        <v>1639</v>
      </c>
      <c r="L1536" s="17" t="s">
        <v>39</v>
      </c>
      <c r="M1536" s="65">
        <v>8115009294</v>
      </c>
      <c r="N1536" s="16">
        <v>868166057400434</v>
      </c>
      <c r="O1536" s="16" t="s">
        <v>4272</v>
      </c>
      <c r="P1536" s="17" t="s">
        <v>4271</v>
      </c>
      <c r="Q1536" s="85" t="s">
        <v>4456</v>
      </c>
      <c r="R1536" s="18">
        <v>0</v>
      </c>
      <c r="S1536" s="19" t="s">
        <v>4265</v>
      </c>
      <c r="T1536" s="19" t="s">
        <v>4438</v>
      </c>
      <c r="U1536" s="66"/>
    </row>
    <row r="1537" spans="2:21" s="15" customFormat="1" ht="29" x14ac:dyDescent="0.35">
      <c r="B1537" s="64">
        <v>45855</v>
      </c>
      <c r="C1537" s="17">
        <v>1430</v>
      </c>
      <c r="D1537" s="85">
        <v>840</v>
      </c>
      <c r="E1537" s="85" t="s">
        <v>4457</v>
      </c>
      <c r="F1537" s="85" t="s">
        <v>13</v>
      </c>
      <c r="G1537" s="17" t="s">
        <v>1805</v>
      </c>
      <c r="H1537" s="14" t="s">
        <v>1744</v>
      </c>
      <c r="I1537" s="145" t="s">
        <v>4458</v>
      </c>
      <c r="J1537" s="17" t="s">
        <v>4460</v>
      </c>
      <c r="K1537" s="17" t="s">
        <v>4461</v>
      </c>
      <c r="L1537" s="17" t="s">
        <v>965</v>
      </c>
      <c r="M1537" s="16">
        <v>8118228124</v>
      </c>
      <c r="N1537" s="16">
        <v>864943048787663</v>
      </c>
      <c r="O1537" s="16" t="s">
        <v>39</v>
      </c>
      <c r="P1537" s="17" t="s">
        <v>4462</v>
      </c>
      <c r="Q1537" s="17" t="s">
        <v>8</v>
      </c>
      <c r="R1537" s="18">
        <v>1999.84</v>
      </c>
      <c r="S1537" s="19">
        <v>174</v>
      </c>
      <c r="T1537" s="17"/>
      <c r="U1537" s="66"/>
    </row>
    <row r="1538" spans="2:21" s="15" customFormat="1" ht="29" x14ac:dyDescent="0.35">
      <c r="B1538" s="64">
        <v>45862</v>
      </c>
      <c r="C1538" s="17">
        <v>1431</v>
      </c>
      <c r="D1538" s="85">
        <v>841</v>
      </c>
      <c r="E1538" s="85" t="s">
        <v>4463</v>
      </c>
      <c r="F1538" s="85" t="s">
        <v>13</v>
      </c>
      <c r="G1538" s="17" t="s">
        <v>1805</v>
      </c>
      <c r="H1538" s="14" t="s">
        <v>1744</v>
      </c>
      <c r="I1538" s="145" t="s">
        <v>4464</v>
      </c>
      <c r="J1538" s="17" t="s">
        <v>4466</v>
      </c>
      <c r="K1538" s="17" t="s">
        <v>4465</v>
      </c>
      <c r="L1538" s="17" t="s">
        <v>4117</v>
      </c>
      <c r="M1538" s="16">
        <v>8118203050</v>
      </c>
      <c r="N1538" s="16">
        <v>864943048879288</v>
      </c>
      <c r="O1538" s="16" t="s">
        <v>39</v>
      </c>
      <c r="P1538" s="17" t="s">
        <v>4467</v>
      </c>
      <c r="Q1538" s="17" t="s">
        <v>8</v>
      </c>
      <c r="R1538" s="18">
        <v>1999.84</v>
      </c>
      <c r="S1538" s="19">
        <v>174</v>
      </c>
      <c r="T1538" s="17"/>
      <c r="U1538" s="66"/>
    </row>
    <row r="1539" spans="2:21" s="15" customFormat="1" ht="29" x14ac:dyDescent="0.35">
      <c r="B1539" s="64">
        <v>45866</v>
      </c>
      <c r="C1539" s="17">
        <v>1432</v>
      </c>
      <c r="D1539" s="85">
        <v>842</v>
      </c>
      <c r="E1539" s="85" t="s">
        <v>4468</v>
      </c>
      <c r="F1539" s="85" t="s">
        <v>13</v>
      </c>
      <c r="G1539" s="17" t="s">
        <v>1805</v>
      </c>
      <c r="H1539" s="17" t="s">
        <v>4231</v>
      </c>
      <c r="I1539" s="145">
        <v>0.70833333333333337</v>
      </c>
      <c r="J1539" s="17" t="s">
        <v>4470</v>
      </c>
      <c r="K1539" s="17" t="s">
        <v>4469</v>
      </c>
      <c r="L1539" s="17" t="s">
        <v>965</v>
      </c>
      <c r="M1539" s="16">
        <v>8118226490</v>
      </c>
      <c r="N1539" s="16">
        <v>864943048878520</v>
      </c>
      <c r="O1539" s="16" t="s">
        <v>4471</v>
      </c>
      <c r="P1539" s="17" t="s">
        <v>4472</v>
      </c>
      <c r="Q1539" s="17" t="s">
        <v>8</v>
      </c>
      <c r="R1539" s="18">
        <v>1999.84</v>
      </c>
      <c r="S1539" s="19">
        <v>174</v>
      </c>
      <c r="T1539" s="17"/>
      <c r="U1539" s="66"/>
    </row>
    <row r="1540" spans="2:21" s="15" customFormat="1" ht="29" x14ac:dyDescent="0.35">
      <c r="B1540" s="64">
        <v>45868</v>
      </c>
      <c r="C1540" s="17">
        <v>1433</v>
      </c>
      <c r="D1540" s="85">
        <v>843</v>
      </c>
      <c r="E1540" s="85" t="s">
        <v>4473</v>
      </c>
      <c r="F1540" s="85" t="s">
        <v>13</v>
      </c>
      <c r="G1540" s="17" t="s">
        <v>1805</v>
      </c>
      <c r="H1540" s="17" t="s">
        <v>2343</v>
      </c>
      <c r="I1540" s="145" t="s">
        <v>4474</v>
      </c>
      <c r="J1540" s="17" t="s">
        <v>4475</v>
      </c>
      <c r="K1540" s="17" t="s">
        <v>4476</v>
      </c>
      <c r="L1540" s="17" t="s">
        <v>4117</v>
      </c>
      <c r="M1540" s="16">
        <v>8118226931</v>
      </c>
      <c r="N1540" s="16">
        <v>864943048878322</v>
      </c>
      <c r="O1540" s="16" t="s">
        <v>4477</v>
      </c>
      <c r="P1540" s="17" t="s">
        <v>39</v>
      </c>
      <c r="Q1540" s="17" t="s">
        <v>8</v>
      </c>
      <c r="R1540" s="18">
        <v>1999.84</v>
      </c>
      <c r="S1540" s="19">
        <v>174</v>
      </c>
      <c r="T1540" s="17"/>
      <c r="U1540" s="66"/>
    </row>
    <row r="1541" spans="2:21" s="15" customFormat="1" ht="29" x14ac:dyDescent="0.35">
      <c r="B1541" s="64">
        <v>45874</v>
      </c>
      <c r="C1541" s="17">
        <v>1434</v>
      </c>
      <c r="D1541" s="85">
        <v>844</v>
      </c>
      <c r="E1541" s="85" t="s">
        <v>4478</v>
      </c>
      <c r="F1541" s="85" t="s">
        <v>13</v>
      </c>
      <c r="G1541" s="17" t="s">
        <v>1805</v>
      </c>
      <c r="H1541" s="17" t="s">
        <v>4479</v>
      </c>
      <c r="I1541" s="145" t="s">
        <v>4443</v>
      </c>
      <c r="J1541" s="17" t="s">
        <v>4480</v>
      </c>
      <c r="K1541" s="17" t="s">
        <v>4481</v>
      </c>
      <c r="L1541" s="17" t="s">
        <v>4117</v>
      </c>
      <c r="M1541" s="16">
        <v>8118247311</v>
      </c>
      <c r="N1541" s="16">
        <v>864943048879718</v>
      </c>
      <c r="O1541" s="16" t="s">
        <v>4482</v>
      </c>
      <c r="P1541" s="17" t="s">
        <v>39</v>
      </c>
      <c r="Q1541" s="17" t="s">
        <v>8</v>
      </c>
      <c r="R1541" s="18">
        <v>1999.84</v>
      </c>
      <c r="S1541" s="19">
        <v>174</v>
      </c>
      <c r="T1541" s="17"/>
      <c r="U1541" s="66"/>
    </row>
    <row r="1542" spans="2:21" s="15" customFormat="1" ht="43.5" x14ac:dyDescent="0.35">
      <c r="B1542" s="64">
        <v>45877</v>
      </c>
      <c r="C1542" s="17">
        <v>1435</v>
      </c>
      <c r="D1542" s="85" t="s">
        <v>39</v>
      </c>
      <c r="E1542" s="85" t="s">
        <v>40</v>
      </c>
      <c r="F1542" s="85" t="s">
        <v>40</v>
      </c>
      <c r="G1542" s="17" t="s">
        <v>1805</v>
      </c>
      <c r="H1542" s="17" t="s">
        <v>4483</v>
      </c>
      <c r="I1542" s="145" t="s">
        <v>4459</v>
      </c>
      <c r="J1542" s="17" t="s">
        <v>4485</v>
      </c>
      <c r="K1542" s="17" t="s">
        <v>4486</v>
      </c>
      <c r="L1542" s="17" t="s">
        <v>965</v>
      </c>
      <c r="M1542" s="16" t="s">
        <v>39</v>
      </c>
      <c r="N1542" s="16" t="s">
        <v>39</v>
      </c>
      <c r="O1542" s="16" t="s">
        <v>39</v>
      </c>
      <c r="P1542" s="17" t="s">
        <v>39</v>
      </c>
      <c r="Q1542" s="17" t="s">
        <v>4487</v>
      </c>
      <c r="R1542" s="18">
        <v>290</v>
      </c>
      <c r="S1542" s="19">
        <v>0</v>
      </c>
      <c r="T1542" s="17"/>
      <c r="U1542" s="66"/>
    </row>
    <row r="1543" spans="2:21" s="15" customFormat="1" ht="29" x14ac:dyDescent="0.35">
      <c r="B1543" s="64">
        <v>45877</v>
      </c>
      <c r="C1543" s="17">
        <v>1436</v>
      </c>
      <c r="D1543" s="85">
        <v>845</v>
      </c>
      <c r="E1543" s="85" t="s">
        <v>4484</v>
      </c>
      <c r="F1543" s="85" t="s">
        <v>13</v>
      </c>
      <c r="G1543" s="17" t="s">
        <v>1805</v>
      </c>
      <c r="H1543" s="17" t="s">
        <v>4483</v>
      </c>
      <c r="I1543" s="145" t="s">
        <v>4103</v>
      </c>
      <c r="J1543" s="17" t="s">
        <v>4485</v>
      </c>
      <c r="K1543" s="17" t="s">
        <v>4490</v>
      </c>
      <c r="L1543" s="17" t="s">
        <v>965</v>
      </c>
      <c r="M1543" s="16">
        <v>8120308244</v>
      </c>
      <c r="N1543" s="16">
        <v>868166059892695</v>
      </c>
      <c r="O1543" s="16" t="s">
        <v>4488</v>
      </c>
      <c r="P1543" s="17" t="s">
        <v>4489</v>
      </c>
      <c r="Q1543" s="17" t="s">
        <v>8</v>
      </c>
      <c r="R1543" s="18">
        <v>1999.84</v>
      </c>
      <c r="S1543" s="19">
        <v>174</v>
      </c>
      <c r="T1543" s="17"/>
      <c r="U1543" s="66"/>
    </row>
    <row r="1544" spans="2:21" s="15" customFormat="1" ht="43.5" x14ac:dyDescent="0.35">
      <c r="B1544" s="64">
        <v>45881</v>
      </c>
      <c r="C1544" s="17">
        <v>1437</v>
      </c>
      <c r="D1544" s="85">
        <v>846</v>
      </c>
      <c r="E1544" s="85" t="s">
        <v>4491</v>
      </c>
      <c r="F1544" s="85" t="s">
        <v>13</v>
      </c>
      <c r="G1544" s="17" t="s">
        <v>1805</v>
      </c>
      <c r="H1544" s="17" t="s">
        <v>4492</v>
      </c>
      <c r="I1544" s="145" t="s">
        <v>4464</v>
      </c>
      <c r="J1544" s="17" t="s">
        <v>4493</v>
      </c>
      <c r="K1544" s="17" t="s">
        <v>4494</v>
      </c>
      <c r="L1544" s="17" t="s">
        <v>965</v>
      </c>
      <c r="M1544" s="16">
        <v>8110183560</v>
      </c>
      <c r="N1544" s="16">
        <v>864943048870501</v>
      </c>
      <c r="O1544" s="16" t="s">
        <v>4495</v>
      </c>
      <c r="P1544" s="17" t="s">
        <v>4496</v>
      </c>
      <c r="Q1544" s="17" t="s">
        <v>8</v>
      </c>
      <c r="R1544" s="18">
        <v>1999.84</v>
      </c>
      <c r="S1544" s="19">
        <v>174</v>
      </c>
      <c r="T1544" s="17"/>
      <c r="U1544" s="66"/>
    </row>
    <row r="1545" spans="2:21" s="15" customFormat="1" ht="29" x14ac:dyDescent="0.35">
      <c r="B1545" s="64">
        <v>45884</v>
      </c>
      <c r="C1545" s="17">
        <v>1438</v>
      </c>
      <c r="D1545" s="85">
        <v>847</v>
      </c>
      <c r="E1545" s="85" t="s">
        <v>4497</v>
      </c>
      <c r="F1545" s="85" t="s">
        <v>13</v>
      </c>
      <c r="G1545" s="17" t="s">
        <v>1805</v>
      </c>
      <c r="H1545" s="17" t="s">
        <v>4115</v>
      </c>
      <c r="I1545" s="145" t="s">
        <v>4103</v>
      </c>
      <c r="J1545" s="17" t="s">
        <v>4498</v>
      </c>
      <c r="K1545" s="17" t="s">
        <v>4499</v>
      </c>
      <c r="L1545" s="17" t="s">
        <v>965</v>
      </c>
      <c r="M1545" s="16">
        <v>8186019225</v>
      </c>
      <c r="N1545" s="16">
        <v>864943048872341</v>
      </c>
      <c r="O1545" s="16" t="s">
        <v>39</v>
      </c>
      <c r="P1545" s="17" t="s">
        <v>4500</v>
      </c>
      <c r="Q1545" s="17" t="s">
        <v>8</v>
      </c>
      <c r="R1545" s="18">
        <v>1999.84</v>
      </c>
      <c r="S1545" s="19">
        <v>174</v>
      </c>
      <c r="T1545" s="17"/>
      <c r="U1545" s="66"/>
    </row>
    <row r="1546" spans="2:21" s="15" customFormat="1" ht="29" x14ac:dyDescent="0.35">
      <c r="B1546" s="64">
        <v>45884</v>
      </c>
      <c r="C1546" s="17">
        <v>1439</v>
      </c>
      <c r="D1546" s="85">
        <v>848</v>
      </c>
      <c r="E1546" s="85" t="s">
        <v>4497</v>
      </c>
      <c r="F1546" s="85" t="s">
        <v>13</v>
      </c>
      <c r="G1546" s="17" t="s">
        <v>1805</v>
      </c>
      <c r="H1546" s="14" t="s">
        <v>1744</v>
      </c>
      <c r="I1546" s="145" t="s">
        <v>4408</v>
      </c>
      <c r="J1546" s="17" t="s">
        <v>4504</v>
      </c>
      <c r="K1546" s="17" t="s">
        <v>4501</v>
      </c>
      <c r="L1546" s="17" t="s">
        <v>965</v>
      </c>
      <c r="M1546" s="16">
        <v>8114495820</v>
      </c>
      <c r="N1546" s="16">
        <v>864943048871467</v>
      </c>
      <c r="O1546" s="16" t="s">
        <v>39</v>
      </c>
      <c r="P1546" s="17" t="s">
        <v>4505</v>
      </c>
      <c r="Q1546" s="17" t="s">
        <v>8</v>
      </c>
      <c r="R1546" s="18">
        <v>1999.84</v>
      </c>
      <c r="S1546" s="19">
        <v>174</v>
      </c>
      <c r="T1546" s="17"/>
      <c r="U1546" s="66"/>
    </row>
    <row r="1547" spans="2:21" s="15" customFormat="1" ht="43.5" x14ac:dyDescent="0.35">
      <c r="B1547" s="64">
        <v>45884</v>
      </c>
      <c r="C1547" s="17">
        <v>1440</v>
      </c>
      <c r="D1547" s="85" t="s">
        <v>39</v>
      </c>
      <c r="E1547" s="85" t="s">
        <v>39</v>
      </c>
      <c r="F1547" s="85" t="s">
        <v>1648</v>
      </c>
      <c r="G1547" s="17" t="s">
        <v>1805</v>
      </c>
      <c r="H1547" s="17" t="s">
        <v>2413</v>
      </c>
      <c r="I1547" s="145" t="s">
        <v>3579</v>
      </c>
      <c r="J1547" s="17" t="s">
        <v>4503</v>
      </c>
      <c r="K1547" s="14" t="s">
        <v>4502</v>
      </c>
      <c r="L1547" s="17" t="s">
        <v>965</v>
      </c>
      <c r="M1547" s="16" t="s">
        <v>39</v>
      </c>
      <c r="N1547" s="16" t="s">
        <v>39</v>
      </c>
      <c r="O1547" s="16" t="s">
        <v>39</v>
      </c>
      <c r="P1547" s="17" t="s">
        <v>39</v>
      </c>
      <c r="Q1547" s="17" t="s">
        <v>4506</v>
      </c>
      <c r="R1547" s="18">
        <v>1999.84</v>
      </c>
      <c r="S1547" s="19">
        <v>174</v>
      </c>
      <c r="T1547" s="17"/>
      <c r="U1547" s="66"/>
    </row>
    <row r="1548" spans="2:21" s="15" customFormat="1" ht="29" x14ac:dyDescent="0.35">
      <c r="B1548" s="64">
        <v>45884</v>
      </c>
      <c r="C1548" s="17">
        <v>1440</v>
      </c>
      <c r="D1548" s="85">
        <v>849</v>
      </c>
      <c r="E1548" s="85" t="s">
        <v>4497</v>
      </c>
      <c r="F1548" s="85" t="s">
        <v>13</v>
      </c>
      <c r="G1548" s="17" t="s">
        <v>1805</v>
      </c>
      <c r="H1548" s="17" t="s">
        <v>4507</v>
      </c>
      <c r="I1548" s="145" t="s">
        <v>4413</v>
      </c>
      <c r="J1548" s="17" t="s">
        <v>4509</v>
      </c>
      <c r="K1548" s="116" t="s">
        <v>4508</v>
      </c>
      <c r="L1548" s="17" t="s">
        <v>4117</v>
      </c>
      <c r="M1548" s="16">
        <v>8110442814</v>
      </c>
      <c r="N1548" s="16">
        <v>864943048872507</v>
      </c>
      <c r="O1548" s="16" t="s">
        <v>4510</v>
      </c>
      <c r="P1548" s="17" t="s">
        <v>39</v>
      </c>
      <c r="Q1548" s="17" t="s">
        <v>8</v>
      </c>
      <c r="R1548" s="18">
        <v>1999.84</v>
      </c>
      <c r="S1548" s="19">
        <v>174</v>
      </c>
      <c r="T1548" s="17"/>
      <c r="U1548" s="66"/>
    </row>
    <row r="1549" spans="2:21" s="15" customFormat="1" ht="29" x14ac:dyDescent="0.35">
      <c r="B1549" s="64">
        <v>45884</v>
      </c>
      <c r="C1549" s="17">
        <v>1441</v>
      </c>
      <c r="D1549" s="85" t="s">
        <v>4511</v>
      </c>
      <c r="E1549" s="85" t="s">
        <v>4516</v>
      </c>
      <c r="F1549" s="85" t="s">
        <v>1468</v>
      </c>
      <c r="G1549" s="17" t="s">
        <v>4133</v>
      </c>
      <c r="H1549" s="17" t="s">
        <v>1930</v>
      </c>
      <c r="I1549" s="145" t="s">
        <v>39</v>
      </c>
      <c r="J1549" s="17" t="s">
        <v>24</v>
      </c>
      <c r="K1549" s="17" t="s">
        <v>1438</v>
      </c>
      <c r="L1549" s="17" t="s">
        <v>39</v>
      </c>
      <c r="M1549" s="14">
        <v>8184713453</v>
      </c>
      <c r="N1549" s="38">
        <v>869220041212428</v>
      </c>
      <c r="O1549" s="38" t="s">
        <v>39</v>
      </c>
      <c r="P1549" s="14" t="s">
        <v>931</v>
      </c>
      <c r="Q1549" s="17" t="s">
        <v>2559</v>
      </c>
      <c r="R1549" s="18">
        <v>0</v>
      </c>
      <c r="S1549" s="19" t="s">
        <v>4517</v>
      </c>
      <c r="T1549" s="17"/>
      <c r="U1549" s="66"/>
    </row>
    <row r="1550" spans="2:21" s="15" customFormat="1" ht="29" x14ac:dyDescent="0.35">
      <c r="B1550" s="64">
        <v>45884</v>
      </c>
      <c r="C1550" s="17">
        <v>1442</v>
      </c>
      <c r="D1550" s="85" t="s">
        <v>4512</v>
      </c>
      <c r="E1550" s="85" t="s">
        <v>4516</v>
      </c>
      <c r="F1550" s="85" t="s">
        <v>1468</v>
      </c>
      <c r="G1550" s="17" t="s">
        <v>4133</v>
      </c>
      <c r="H1550" s="17" t="s">
        <v>1930</v>
      </c>
      <c r="I1550" s="145" t="s">
        <v>39</v>
      </c>
      <c r="J1550" s="17" t="s">
        <v>4099</v>
      </c>
      <c r="K1550" s="17" t="s">
        <v>1647</v>
      </c>
      <c r="L1550" s="17" t="s">
        <v>39</v>
      </c>
      <c r="M1550" s="65">
        <v>8110475448</v>
      </c>
      <c r="N1550" s="16">
        <v>869220041114699</v>
      </c>
      <c r="O1550" s="16" t="s">
        <v>4519</v>
      </c>
      <c r="P1550" s="17" t="s">
        <v>4518</v>
      </c>
      <c r="Q1550" s="17" t="s">
        <v>2559</v>
      </c>
      <c r="R1550" s="18">
        <v>0</v>
      </c>
      <c r="S1550" s="19" t="s">
        <v>4517</v>
      </c>
      <c r="T1550" s="17"/>
      <c r="U1550" s="66"/>
    </row>
    <row r="1551" spans="2:21" s="15" customFormat="1" ht="29" x14ac:dyDescent="0.35">
      <c r="B1551" s="64">
        <v>45884</v>
      </c>
      <c r="C1551" s="17">
        <v>1443</v>
      </c>
      <c r="D1551" s="85" t="s">
        <v>4513</v>
      </c>
      <c r="E1551" s="85" t="s">
        <v>4516</v>
      </c>
      <c r="F1551" s="85" t="s">
        <v>1468</v>
      </c>
      <c r="G1551" s="17" t="s">
        <v>4133</v>
      </c>
      <c r="H1551" s="17" t="s">
        <v>1930</v>
      </c>
      <c r="I1551" s="145" t="s">
        <v>39</v>
      </c>
      <c r="J1551" s="17" t="s">
        <v>4521</v>
      </c>
      <c r="K1551" s="17" t="s">
        <v>1770</v>
      </c>
      <c r="L1551" s="17" t="s">
        <v>39</v>
      </c>
      <c r="M1551" s="17">
        <v>8131314517</v>
      </c>
      <c r="N1551" s="16">
        <v>868166057892333</v>
      </c>
      <c r="O1551" s="16" t="s">
        <v>4523</v>
      </c>
      <c r="P1551" s="17" t="s">
        <v>4522</v>
      </c>
      <c r="Q1551" s="17" t="s">
        <v>2559</v>
      </c>
      <c r="R1551" s="18">
        <v>0</v>
      </c>
      <c r="S1551" s="19" t="s">
        <v>4517</v>
      </c>
      <c r="T1551" s="17"/>
      <c r="U1551" s="66"/>
    </row>
    <row r="1552" spans="2:21" s="15" customFormat="1" ht="29" x14ac:dyDescent="0.35">
      <c r="B1552" s="64">
        <v>45884</v>
      </c>
      <c r="C1552" s="17">
        <v>1444</v>
      </c>
      <c r="D1552" s="85" t="s">
        <v>4514</v>
      </c>
      <c r="E1552" s="85" t="s">
        <v>4516</v>
      </c>
      <c r="F1552" s="85" t="s">
        <v>1468</v>
      </c>
      <c r="G1552" s="17" t="s">
        <v>4133</v>
      </c>
      <c r="H1552" s="17" t="s">
        <v>1930</v>
      </c>
      <c r="I1552" s="145" t="s">
        <v>39</v>
      </c>
      <c r="J1552" s="17" t="s">
        <v>4525</v>
      </c>
      <c r="K1552" s="17" t="s">
        <v>1880</v>
      </c>
      <c r="L1552" s="17" t="s">
        <v>39</v>
      </c>
      <c r="M1552" s="16">
        <v>8120392428</v>
      </c>
      <c r="N1552" s="16">
        <v>868166059177436</v>
      </c>
      <c r="O1552" s="16" t="s">
        <v>4527</v>
      </c>
      <c r="P1552" s="17" t="s">
        <v>4526</v>
      </c>
      <c r="Q1552" s="17" t="s">
        <v>2559</v>
      </c>
      <c r="R1552" s="18">
        <v>0</v>
      </c>
      <c r="S1552" s="19" t="s">
        <v>4517</v>
      </c>
      <c r="T1552" s="17"/>
      <c r="U1552" s="66"/>
    </row>
    <row r="1553" spans="2:22" s="15" customFormat="1" ht="43.5" x14ac:dyDescent="0.35">
      <c r="B1553" s="64">
        <v>45884</v>
      </c>
      <c r="C1553" s="17">
        <v>1445</v>
      </c>
      <c r="D1553" s="85" t="s">
        <v>4515</v>
      </c>
      <c r="E1553" s="85" t="s">
        <v>4516</v>
      </c>
      <c r="F1553" s="85" t="s">
        <v>1468</v>
      </c>
      <c r="G1553" s="17" t="s">
        <v>4133</v>
      </c>
      <c r="H1553" s="17" t="s">
        <v>1930</v>
      </c>
      <c r="I1553" s="145" t="s">
        <v>39</v>
      </c>
      <c r="J1553" s="17" t="s">
        <v>4430</v>
      </c>
      <c r="K1553" s="17" t="s">
        <v>4429</v>
      </c>
      <c r="L1553" s="17" t="s">
        <v>39</v>
      </c>
      <c r="M1553" s="16">
        <v>8110440977</v>
      </c>
      <c r="N1553" s="16">
        <v>864943048789289</v>
      </c>
      <c r="O1553" s="16" t="s">
        <v>39</v>
      </c>
      <c r="P1553" s="17" t="s">
        <v>4431</v>
      </c>
      <c r="Q1553" s="17" t="s">
        <v>2559</v>
      </c>
      <c r="R1553" s="18">
        <v>0</v>
      </c>
      <c r="S1553" s="19" t="s">
        <v>4517</v>
      </c>
      <c r="T1553" s="17"/>
      <c r="U1553" s="66"/>
    </row>
    <row r="1554" spans="2:22" s="15" customFormat="1" ht="29" x14ac:dyDescent="0.35">
      <c r="B1554" s="64">
        <v>45889</v>
      </c>
      <c r="C1554" s="17">
        <v>1446</v>
      </c>
      <c r="D1554" s="85" t="s">
        <v>4793</v>
      </c>
      <c r="E1554" s="85" t="s">
        <v>4528</v>
      </c>
      <c r="F1554" s="85" t="s">
        <v>13</v>
      </c>
      <c r="G1554" s="17" t="s">
        <v>1805</v>
      </c>
      <c r="H1554" s="17" t="s">
        <v>4115</v>
      </c>
      <c r="I1554" s="145" t="s">
        <v>4103</v>
      </c>
      <c r="J1554" s="17" t="s">
        <v>4529</v>
      </c>
      <c r="K1554" s="17" t="s">
        <v>4813</v>
      </c>
      <c r="L1554" s="17" t="s">
        <v>4117</v>
      </c>
      <c r="M1554" s="16">
        <v>8110445048</v>
      </c>
      <c r="N1554" s="16">
        <v>864943048871814</v>
      </c>
      <c r="O1554" s="16" t="s">
        <v>39</v>
      </c>
      <c r="P1554" s="17" t="s">
        <v>4530</v>
      </c>
      <c r="Q1554" s="17" t="s">
        <v>2559</v>
      </c>
      <c r="R1554" s="18">
        <v>1999.84</v>
      </c>
      <c r="S1554" s="19" t="s">
        <v>4776</v>
      </c>
      <c r="T1554" s="17"/>
      <c r="U1554" s="66"/>
    </row>
    <row r="1555" spans="2:22" s="15" customFormat="1" ht="29" x14ac:dyDescent="0.35">
      <c r="B1555" s="64">
        <v>45892</v>
      </c>
      <c r="C1555" s="17">
        <v>1447</v>
      </c>
      <c r="D1555" s="85">
        <v>851</v>
      </c>
      <c r="E1555" s="85" t="s">
        <v>4533</v>
      </c>
      <c r="F1555" s="85" t="s">
        <v>13</v>
      </c>
      <c r="G1555" s="17" t="s">
        <v>1805</v>
      </c>
      <c r="H1555" s="17" t="s">
        <v>4115</v>
      </c>
      <c r="I1555" s="145" t="s">
        <v>4524</v>
      </c>
      <c r="J1555" s="17" t="s">
        <v>4531</v>
      </c>
      <c r="K1555" s="17" t="s">
        <v>4534</v>
      </c>
      <c r="L1555" s="17" t="s">
        <v>4117</v>
      </c>
      <c r="M1555" s="16">
        <v>8182542265</v>
      </c>
      <c r="N1555" s="16">
        <v>864943048880849</v>
      </c>
      <c r="O1555" s="16" t="s">
        <v>39</v>
      </c>
      <c r="P1555" s="17" t="s">
        <v>4532</v>
      </c>
      <c r="Q1555" s="17" t="s">
        <v>8</v>
      </c>
      <c r="R1555" s="18">
        <v>1999.84</v>
      </c>
      <c r="S1555" s="19">
        <v>174</v>
      </c>
      <c r="T1555" s="17"/>
      <c r="U1555" s="66"/>
    </row>
    <row r="1556" spans="2:22" s="15" customFormat="1" ht="29" x14ac:dyDescent="0.35">
      <c r="B1556" s="64">
        <v>45892</v>
      </c>
      <c r="C1556" s="17">
        <v>1447</v>
      </c>
      <c r="D1556" s="85" t="s">
        <v>39</v>
      </c>
      <c r="E1556" s="85" t="s">
        <v>40</v>
      </c>
      <c r="F1556" s="85" t="s">
        <v>40</v>
      </c>
      <c r="G1556" s="17" t="s">
        <v>1805</v>
      </c>
      <c r="H1556" s="17" t="s">
        <v>4202</v>
      </c>
      <c r="I1556" s="145" t="s">
        <v>3579</v>
      </c>
      <c r="J1556" s="17" t="s">
        <v>4535</v>
      </c>
      <c r="K1556" s="17" t="s">
        <v>4536</v>
      </c>
      <c r="L1556" s="17" t="s">
        <v>965</v>
      </c>
      <c r="M1556" s="16" t="s">
        <v>39</v>
      </c>
      <c r="N1556" s="16" t="s">
        <v>39</v>
      </c>
      <c r="O1556" s="16" t="s">
        <v>39</v>
      </c>
      <c r="P1556" s="17" t="s">
        <v>39</v>
      </c>
      <c r="Q1556" s="17" t="s">
        <v>4537</v>
      </c>
      <c r="R1556" s="18">
        <v>0</v>
      </c>
      <c r="S1556" s="19">
        <v>0</v>
      </c>
      <c r="T1556" s="17"/>
      <c r="U1556" s="66"/>
      <c r="V1556" s="15" t="s">
        <v>4538</v>
      </c>
    </row>
    <row r="1557" spans="2:22" s="15" customFormat="1" ht="29" x14ac:dyDescent="0.35">
      <c r="B1557" s="64">
        <v>45895</v>
      </c>
      <c r="C1557" s="17">
        <v>1448</v>
      </c>
      <c r="D1557" s="85" t="s">
        <v>4924</v>
      </c>
      <c r="E1557" s="85" t="s">
        <v>4539</v>
      </c>
      <c r="F1557" s="85" t="s">
        <v>13</v>
      </c>
      <c r="G1557" s="17" t="s">
        <v>1805</v>
      </c>
      <c r="H1557" s="17" t="s">
        <v>4540</v>
      </c>
      <c r="I1557" s="145" t="s">
        <v>56</v>
      </c>
      <c r="J1557" s="17" t="s">
        <v>4541</v>
      </c>
      <c r="K1557" s="17" t="s">
        <v>4543</v>
      </c>
      <c r="L1557" s="17" t="s">
        <v>965</v>
      </c>
      <c r="M1557" s="16">
        <v>8110444934</v>
      </c>
      <c r="N1557" s="16">
        <v>864943048914317</v>
      </c>
      <c r="O1557" s="16" t="s">
        <v>4542</v>
      </c>
      <c r="P1557" s="17" t="s">
        <v>39</v>
      </c>
      <c r="Q1557" s="17" t="s">
        <v>8</v>
      </c>
      <c r="R1557" s="18">
        <v>1999.84</v>
      </c>
      <c r="S1557" s="19" t="s">
        <v>4912</v>
      </c>
      <c r="T1557" s="17"/>
      <c r="U1557" s="66"/>
    </row>
    <row r="1558" spans="2:22" s="15" customFormat="1" ht="43.5" x14ac:dyDescent="0.35">
      <c r="B1558" s="64">
        <v>45902</v>
      </c>
      <c r="C1558" s="17">
        <v>1449</v>
      </c>
      <c r="D1558" s="85">
        <v>853</v>
      </c>
      <c r="E1558" s="85" t="s">
        <v>4544</v>
      </c>
      <c r="F1558" s="85" t="s">
        <v>13</v>
      </c>
      <c r="G1558" s="17" t="s">
        <v>1805</v>
      </c>
      <c r="H1558" s="17" t="s">
        <v>2413</v>
      </c>
      <c r="I1558" s="145" t="s">
        <v>4520</v>
      </c>
      <c r="J1558" s="17" t="s">
        <v>4546</v>
      </c>
      <c r="K1558" s="17" t="s">
        <v>4545</v>
      </c>
      <c r="L1558" s="17" t="s">
        <v>4117</v>
      </c>
      <c r="M1558" s="16">
        <v>8182542705</v>
      </c>
      <c r="N1558" s="16">
        <v>861768074643784</v>
      </c>
      <c r="O1558" s="16" t="s">
        <v>4547</v>
      </c>
      <c r="P1558" s="17" t="s">
        <v>4548</v>
      </c>
      <c r="Q1558" s="17" t="s">
        <v>8</v>
      </c>
      <c r="R1558" s="18">
        <v>1999.84</v>
      </c>
      <c r="S1558" s="19">
        <v>174</v>
      </c>
      <c r="T1558" s="17"/>
      <c r="U1558" s="66"/>
    </row>
    <row r="1559" spans="2:22" s="15" customFormat="1" ht="29" x14ac:dyDescent="0.35">
      <c r="B1559" s="64">
        <v>45903</v>
      </c>
      <c r="C1559" s="17">
        <v>1450</v>
      </c>
      <c r="D1559" s="85">
        <v>854</v>
      </c>
      <c r="E1559" s="85" t="s">
        <v>4549</v>
      </c>
      <c r="F1559" s="85" t="s">
        <v>13</v>
      </c>
      <c r="G1559" s="17" t="s">
        <v>1805</v>
      </c>
      <c r="H1559" s="17" t="s">
        <v>4202</v>
      </c>
      <c r="I1559" s="145" t="s">
        <v>4443</v>
      </c>
      <c r="J1559" s="17" t="s">
        <v>4550</v>
      </c>
      <c r="K1559" s="17" t="s">
        <v>4551</v>
      </c>
      <c r="L1559" s="17" t="s">
        <v>4117</v>
      </c>
      <c r="M1559" s="16">
        <v>8182542550</v>
      </c>
      <c r="N1559" s="16">
        <v>862667083524556</v>
      </c>
      <c r="O1559" s="16" t="s">
        <v>39</v>
      </c>
      <c r="P1559" s="17" t="s">
        <v>4552</v>
      </c>
      <c r="Q1559" s="17" t="s">
        <v>8</v>
      </c>
      <c r="R1559" s="18">
        <v>1999.84</v>
      </c>
      <c r="S1559" s="19">
        <v>174</v>
      </c>
      <c r="T1559" s="17"/>
      <c r="U1559" s="66"/>
    </row>
    <row r="1560" spans="2:22" s="15" customFormat="1" ht="29" x14ac:dyDescent="0.35">
      <c r="B1560" s="64">
        <v>45905</v>
      </c>
      <c r="C1560" s="17">
        <v>1451</v>
      </c>
      <c r="D1560" s="85">
        <v>855</v>
      </c>
      <c r="E1560" s="85" t="s">
        <v>4553</v>
      </c>
      <c r="F1560" s="85" t="s">
        <v>13</v>
      </c>
      <c r="G1560" s="17" t="s">
        <v>1805</v>
      </c>
      <c r="H1560" s="17" t="s">
        <v>4202</v>
      </c>
      <c r="I1560" s="145" t="s">
        <v>4554</v>
      </c>
      <c r="J1560" s="17" t="s">
        <v>4559</v>
      </c>
      <c r="K1560" s="17" t="s">
        <v>4555</v>
      </c>
      <c r="L1560" s="17" t="s">
        <v>4117</v>
      </c>
      <c r="M1560" s="16">
        <v>8182542263</v>
      </c>
      <c r="N1560" s="16">
        <v>862667083471394</v>
      </c>
      <c r="O1560" s="16" t="s">
        <v>39</v>
      </c>
      <c r="P1560" s="17" t="s">
        <v>4556</v>
      </c>
      <c r="Q1560" s="17" t="s">
        <v>8</v>
      </c>
      <c r="R1560" s="18">
        <v>1999.84</v>
      </c>
      <c r="S1560" s="19">
        <v>174</v>
      </c>
      <c r="T1560" s="17"/>
      <c r="U1560" s="66"/>
    </row>
    <row r="1561" spans="2:22" s="15" customFormat="1" ht="29" x14ac:dyDescent="0.35">
      <c r="B1561" s="64">
        <v>45905</v>
      </c>
      <c r="C1561" s="17">
        <v>1452</v>
      </c>
      <c r="D1561" s="85">
        <v>856</v>
      </c>
      <c r="E1561" s="85" t="s">
        <v>4553</v>
      </c>
      <c r="F1561" s="85" t="s">
        <v>13</v>
      </c>
      <c r="G1561" s="17" t="s">
        <v>1805</v>
      </c>
      <c r="H1561" s="14" t="s">
        <v>1744</v>
      </c>
      <c r="I1561" s="145" t="s">
        <v>4557</v>
      </c>
      <c r="J1561" s="17" t="s">
        <v>4558</v>
      </c>
      <c r="K1561" s="17" t="s">
        <v>4560</v>
      </c>
      <c r="L1561" s="17" t="s">
        <v>4117</v>
      </c>
      <c r="M1561" s="16">
        <v>8182529529</v>
      </c>
      <c r="N1561" s="16">
        <v>862667083657521</v>
      </c>
      <c r="O1561" s="16" t="s">
        <v>39</v>
      </c>
      <c r="P1561" s="17" t="s">
        <v>4561</v>
      </c>
      <c r="Q1561" s="17" t="s">
        <v>8</v>
      </c>
      <c r="R1561" s="18">
        <v>1999.84</v>
      </c>
      <c r="S1561" s="19">
        <v>174</v>
      </c>
      <c r="T1561" s="17"/>
      <c r="U1561" s="66"/>
    </row>
    <row r="1562" spans="2:22" s="15" customFormat="1" ht="29" x14ac:dyDescent="0.35">
      <c r="B1562" s="64">
        <v>45909</v>
      </c>
      <c r="C1562" s="17">
        <v>1453</v>
      </c>
      <c r="D1562" s="85" t="s">
        <v>39</v>
      </c>
      <c r="E1562" s="85" t="s">
        <v>4562</v>
      </c>
      <c r="F1562" s="85" t="s">
        <v>1648</v>
      </c>
      <c r="G1562" s="17" t="s">
        <v>1805</v>
      </c>
      <c r="H1562" s="14" t="s">
        <v>1744</v>
      </c>
      <c r="I1562" s="145" t="s">
        <v>39</v>
      </c>
      <c r="J1562" s="17" t="s">
        <v>4563</v>
      </c>
      <c r="K1562" s="17" t="s">
        <v>4564</v>
      </c>
      <c r="L1562" s="17" t="s">
        <v>39</v>
      </c>
      <c r="M1562" s="16" t="s">
        <v>39</v>
      </c>
      <c r="N1562" s="16" t="s">
        <v>39</v>
      </c>
      <c r="O1562" s="16" t="s">
        <v>39</v>
      </c>
      <c r="P1562" s="17" t="s">
        <v>39</v>
      </c>
      <c r="Q1562" s="17" t="s">
        <v>4565</v>
      </c>
      <c r="R1562" s="18">
        <v>0</v>
      </c>
      <c r="S1562" s="19">
        <v>0</v>
      </c>
      <c r="T1562" s="17"/>
      <c r="U1562" s="66"/>
    </row>
    <row r="1563" spans="2:22" s="15" customFormat="1" ht="29" x14ac:dyDescent="0.35">
      <c r="B1563" s="64">
        <v>45911</v>
      </c>
      <c r="C1563" s="17">
        <v>1454</v>
      </c>
      <c r="D1563" s="85">
        <v>857</v>
      </c>
      <c r="E1563" s="85" t="s">
        <v>4566</v>
      </c>
      <c r="F1563" s="85" t="s">
        <v>13</v>
      </c>
      <c r="G1563" s="17" t="s">
        <v>1805</v>
      </c>
      <c r="H1563" s="14" t="s">
        <v>1744</v>
      </c>
      <c r="I1563" s="145" t="s">
        <v>960</v>
      </c>
      <c r="J1563" s="17" t="s">
        <v>4568</v>
      </c>
      <c r="K1563" s="17" t="s">
        <v>4567</v>
      </c>
      <c r="L1563" s="17" t="s">
        <v>4117</v>
      </c>
      <c r="M1563" s="16">
        <v>8182529418</v>
      </c>
      <c r="N1563" s="16">
        <v>861768078077641</v>
      </c>
      <c r="O1563" s="16" t="s">
        <v>39</v>
      </c>
      <c r="P1563" s="17" t="s">
        <v>4569</v>
      </c>
      <c r="Q1563" s="17" t="s">
        <v>8</v>
      </c>
      <c r="R1563" s="18">
        <v>1999.84</v>
      </c>
      <c r="S1563" s="19">
        <v>174</v>
      </c>
      <c r="T1563" s="17"/>
      <c r="U1563" s="66"/>
    </row>
    <row r="1564" spans="2:22" s="15" customFormat="1" ht="29" x14ac:dyDescent="0.35">
      <c r="B1564" s="64">
        <v>45912</v>
      </c>
      <c r="C1564" s="17">
        <v>1455</v>
      </c>
      <c r="D1564" s="85">
        <v>858</v>
      </c>
      <c r="E1564" s="85" t="s">
        <v>4570</v>
      </c>
      <c r="F1564" s="85" t="s">
        <v>13</v>
      </c>
      <c r="G1564" s="17" t="s">
        <v>1805</v>
      </c>
      <c r="H1564" s="14" t="s">
        <v>1744</v>
      </c>
      <c r="I1564" s="145" t="s">
        <v>4413</v>
      </c>
      <c r="J1564" s="17" t="s">
        <v>4571</v>
      </c>
      <c r="K1564" s="17" t="s">
        <v>4573</v>
      </c>
      <c r="L1564" s="17" t="s">
        <v>965</v>
      </c>
      <c r="M1564" s="16">
        <v>8120149963</v>
      </c>
      <c r="N1564" s="16">
        <v>869706063875431</v>
      </c>
      <c r="O1564" s="16" t="s">
        <v>39</v>
      </c>
      <c r="P1564" s="17" t="s">
        <v>4572</v>
      </c>
      <c r="Q1564" s="17" t="s">
        <v>8</v>
      </c>
      <c r="R1564" s="18">
        <v>1999.84</v>
      </c>
      <c r="S1564" s="19">
        <v>174</v>
      </c>
      <c r="T1564" s="17"/>
      <c r="U1564" s="66"/>
    </row>
    <row r="1565" spans="2:22" s="15" customFormat="1" ht="29" x14ac:dyDescent="0.35">
      <c r="B1565" s="64">
        <v>45912</v>
      </c>
      <c r="C1565" s="17">
        <v>1456</v>
      </c>
      <c r="D1565" s="85">
        <v>859</v>
      </c>
      <c r="E1565" s="85" t="s">
        <v>4570</v>
      </c>
      <c r="F1565" s="85" t="s">
        <v>13</v>
      </c>
      <c r="G1565" s="17" t="s">
        <v>1805</v>
      </c>
      <c r="H1565" s="17" t="s">
        <v>4574</v>
      </c>
      <c r="I1565" s="145" t="s">
        <v>4575</v>
      </c>
      <c r="J1565" s="17" t="s">
        <v>4576</v>
      </c>
      <c r="K1565" s="17" t="s">
        <v>4577</v>
      </c>
      <c r="L1565" s="17" t="s">
        <v>965</v>
      </c>
      <c r="M1565" s="16">
        <v>8182542597</v>
      </c>
      <c r="N1565" s="16">
        <v>861768074561771</v>
      </c>
      <c r="O1565" s="16" t="s">
        <v>39</v>
      </c>
      <c r="P1565" s="17" t="s">
        <v>4578</v>
      </c>
      <c r="Q1565" s="17" t="s">
        <v>8</v>
      </c>
      <c r="R1565" s="18">
        <v>1999.84</v>
      </c>
      <c r="S1565" s="19">
        <v>174</v>
      </c>
      <c r="T1565" s="17"/>
      <c r="U1565" s="66"/>
    </row>
    <row r="1566" spans="2:22" s="15" customFormat="1" ht="29" x14ac:dyDescent="0.35">
      <c r="B1566" s="64">
        <v>45918</v>
      </c>
      <c r="C1566" s="17">
        <v>1457</v>
      </c>
      <c r="D1566" s="85">
        <v>860</v>
      </c>
      <c r="E1566" s="85" t="s">
        <v>4579</v>
      </c>
      <c r="F1566" s="85" t="s">
        <v>13</v>
      </c>
      <c r="G1566" s="17" t="s">
        <v>1805</v>
      </c>
      <c r="H1566" s="17" t="s">
        <v>4580</v>
      </c>
      <c r="I1566" s="145">
        <v>0.45833333333333331</v>
      </c>
      <c r="J1566" s="17" t="s">
        <v>4586</v>
      </c>
      <c r="K1566" s="17" t="s">
        <v>4581</v>
      </c>
      <c r="L1566" s="17" t="s">
        <v>965</v>
      </c>
      <c r="M1566" s="16">
        <v>8180201501</v>
      </c>
      <c r="N1566" s="16">
        <v>869706063875761</v>
      </c>
      <c r="O1566" s="16" t="s">
        <v>4582</v>
      </c>
      <c r="P1566" s="17" t="s">
        <v>4583</v>
      </c>
      <c r="Q1566" s="17" t="s">
        <v>8</v>
      </c>
      <c r="R1566" s="18">
        <v>1999.84</v>
      </c>
      <c r="S1566" s="19">
        <v>174</v>
      </c>
      <c r="T1566" s="17"/>
      <c r="U1566" s="66"/>
    </row>
    <row r="1567" spans="2:22" s="15" customFormat="1" ht="43.5" x14ac:dyDescent="0.35">
      <c r="B1567" s="64">
        <v>45918</v>
      </c>
      <c r="C1567" s="17">
        <v>1458</v>
      </c>
      <c r="D1567" s="85">
        <v>440</v>
      </c>
      <c r="E1567" s="85" t="s">
        <v>40</v>
      </c>
      <c r="F1567" s="85" t="s">
        <v>40</v>
      </c>
      <c r="G1567" s="17" t="s">
        <v>4133</v>
      </c>
      <c r="H1567" s="17" t="s">
        <v>4584</v>
      </c>
      <c r="I1567" s="145">
        <v>0.625</v>
      </c>
      <c r="J1567" s="17" t="s">
        <v>4585</v>
      </c>
      <c r="K1567" s="17" t="s">
        <v>4587</v>
      </c>
      <c r="L1567" s="17" t="s">
        <v>4117</v>
      </c>
      <c r="M1567" s="16" t="s">
        <v>39</v>
      </c>
      <c r="N1567" s="16" t="s">
        <v>39</v>
      </c>
      <c r="O1567" s="16" t="s">
        <v>39</v>
      </c>
      <c r="P1567" s="17" t="s">
        <v>39</v>
      </c>
      <c r="Q1567" s="17" t="s">
        <v>4588</v>
      </c>
      <c r="R1567" s="18">
        <v>290</v>
      </c>
      <c r="S1567" s="19">
        <v>0</v>
      </c>
      <c r="T1567" s="17"/>
      <c r="U1567" s="66"/>
    </row>
    <row r="1568" spans="2:22" s="15" customFormat="1" ht="130.5" x14ac:dyDescent="0.35">
      <c r="B1568" s="64">
        <v>45920</v>
      </c>
      <c r="C1568" s="17">
        <v>1459</v>
      </c>
      <c r="D1568" s="85">
        <v>440</v>
      </c>
      <c r="E1568" s="85" t="s">
        <v>4589</v>
      </c>
      <c r="F1568" s="85" t="s">
        <v>36</v>
      </c>
      <c r="G1568" s="17" t="s">
        <v>4133</v>
      </c>
      <c r="H1568" s="17" t="s">
        <v>4584</v>
      </c>
      <c r="I1568" s="145">
        <v>0.625</v>
      </c>
      <c r="J1568" s="17" t="s">
        <v>4585</v>
      </c>
      <c r="K1568" s="17" t="s">
        <v>4587</v>
      </c>
      <c r="L1568" s="17" t="s">
        <v>965</v>
      </c>
      <c r="M1568" s="16">
        <v>8120323495</v>
      </c>
      <c r="N1568" s="16">
        <v>863844052821185</v>
      </c>
      <c r="O1568" s="16" t="s">
        <v>4590</v>
      </c>
      <c r="P1568" s="17" t="s">
        <v>4591</v>
      </c>
      <c r="Q1568" s="17" t="s">
        <v>4592</v>
      </c>
      <c r="R1568" s="18">
        <v>522</v>
      </c>
      <c r="S1568" s="19">
        <v>0</v>
      </c>
      <c r="T1568" s="17"/>
      <c r="U1568" s="66"/>
    </row>
    <row r="1569" spans="2:21" s="15" customFormat="1" ht="29" x14ac:dyDescent="0.35">
      <c r="B1569" s="64">
        <v>45926</v>
      </c>
      <c r="C1569" s="17">
        <v>1460</v>
      </c>
      <c r="D1569" s="85" t="s">
        <v>39</v>
      </c>
      <c r="E1569" s="85" t="s">
        <v>40</v>
      </c>
      <c r="F1569" s="85" t="s">
        <v>40</v>
      </c>
      <c r="G1569" s="17" t="s">
        <v>1805</v>
      </c>
      <c r="H1569" s="14" t="s">
        <v>1744</v>
      </c>
      <c r="I1569" s="145" t="s">
        <v>4595</v>
      </c>
      <c r="J1569" s="17" t="s">
        <v>4597</v>
      </c>
      <c r="K1569" s="17" t="s">
        <v>4596</v>
      </c>
      <c r="L1569" s="17" t="s">
        <v>4117</v>
      </c>
      <c r="M1569" s="16" t="s">
        <v>39</v>
      </c>
      <c r="N1569" s="16" t="s">
        <v>39</v>
      </c>
      <c r="O1569" s="16" t="s">
        <v>39</v>
      </c>
      <c r="P1569" s="17" t="s">
        <v>39</v>
      </c>
      <c r="Q1569" s="17" t="s">
        <v>4598</v>
      </c>
      <c r="R1569" s="18">
        <v>290</v>
      </c>
      <c r="S1569" s="19">
        <v>0</v>
      </c>
      <c r="T1569" s="17"/>
      <c r="U1569" s="66"/>
    </row>
    <row r="1570" spans="2:21" s="15" customFormat="1" ht="29" x14ac:dyDescent="0.35">
      <c r="B1570" s="64">
        <v>45929</v>
      </c>
      <c r="C1570" s="17">
        <v>1461</v>
      </c>
      <c r="D1570" s="85">
        <v>861</v>
      </c>
      <c r="E1570" s="85" t="s">
        <v>4594</v>
      </c>
      <c r="F1570" s="85" t="s">
        <v>13</v>
      </c>
      <c r="G1570" s="17" t="s">
        <v>1805</v>
      </c>
      <c r="H1570" s="17" t="s">
        <v>4593</v>
      </c>
      <c r="I1570" s="145" t="s">
        <v>4599</v>
      </c>
      <c r="J1570" s="17" t="s">
        <v>4600</v>
      </c>
      <c r="K1570" s="14" t="s">
        <v>4601</v>
      </c>
      <c r="L1570" s="17" t="s">
        <v>965</v>
      </c>
      <c r="M1570" s="16">
        <v>8118205919</v>
      </c>
      <c r="N1570" s="16">
        <v>868166058820283</v>
      </c>
      <c r="O1570" s="16" t="s">
        <v>4602</v>
      </c>
      <c r="P1570" s="17" t="s">
        <v>39</v>
      </c>
      <c r="Q1570" s="17" t="s">
        <v>8</v>
      </c>
      <c r="R1570" s="18">
        <v>1999.84</v>
      </c>
      <c r="S1570" s="19">
        <v>174</v>
      </c>
      <c r="T1570" s="17"/>
      <c r="U1570" s="66"/>
    </row>
    <row r="1571" spans="2:21" s="15" customFormat="1" ht="52" x14ac:dyDescent="0.35">
      <c r="B1571" s="64">
        <v>45930</v>
      </c>
      <c r="C1571" s="17">
        <v>1462</v>
      </c>
      <c r="D1571" s="85" t="s">
        <v>5257</v>
      </c>
      <c r="E1571" s="85" t="s">
        <v>4603</v>
      </c>
      <c r="F1571" s="85" t="s">
        <v>36</v>
      </c>
      <c r="G1571" s="17" t="s">
        <v>4133</v>
      </c>
      <c r="H1571" s="17" t="s">
        <v>4604</v>
      </c>
      <c r="I1571" s="145" t="s">
        <v>4605</v>
      </c>
      <c r="J1571" s="17" t="s">
        <v>5274</v>
      </c>
      <c r="K1571" s="116" t="s">
        <v>4606</v>
      </c>
      <c r="L1571" s="17" t="s">
        <v>965</v>
      </c>
      <c r="M1571" s="16">
        <v>8333015361</v>
      </c>
      <c r="N1571" s="16">
        <v>869706060074020</v>
      </c>
      <c r="O1571" s="16" t="s">
        <v>3268</v>
      </c>
      <c r="P1571" s="17" t="s">
        <v>3269</v>
      </c>
      <c r="Q1571" s="95" t="s">
        <v>4607</v>
      </c>
      <c r="R1571" s="18">
        <v>522</v>
      </c>
      <c r="S1571" s="19" t="s">
        <v>5264</v>
      </c>
      <c r="T1571" s="17"/>
      <c r="U1571" s="66"/>
    </row>
    <row r="1572" spans="2:21" s="15" customFormat="1" ht="29" x14ac:dyDescent="0.35">
      <c r="B1572" s="64">
        <v>45939</v>
      </c>
      <c r="C1572" s="17">
        <v>1463</v>
      </c>
      <c r="D1572" s="85">
        <v>862</v>
      </c>
      <c r="E1572" s="85" t="s">
        <v>4608</v>
      </c>
      <c r="F1572" s="85" t="s">
        <v>13</v>
      </c>
      <c r="G1572" s="17" t="s">
        <v>1805</v>
      </c>
      <c r="H1572" s="14" t="s">
        <v>1744</v>
      </c>
      <c r="I1572" s="145" t="s">
        <v>4609</v>
      </c>
      <c r="J1572" s="17" t="s">
        <v>4610</v>
      </c>
      <c r="K1572" s="17" t="s">
        <v>4611</v>
      </c>
      <c r="L1572" s="17" t="s">
        <v>965</v>
      </c>
      <c r="M1572" s="16">
        <v>8183093423</v>
      </c>
      <c r="N1572" s="16">
        <v>862667089234598</v>
      </c>
      <c r="O1572" s="16" t="s">
        <v>39</v>
      </c>
      <c r="P1572" s="17" t="s">
        <v>4612</v>
      </c>
      <c r="Q1572" s="17" t="s">
        <v>8</v>
      </c>
      <c r="R1572" s="18">
        <v>1999.84</v>
      </c>
      <c r="S1572" s="19">
        <v>174</v>
      </c>
      <c r="T1572" s="17"/>
      <c r="U1572" s="66"/>
    </row>
    <row r="1573" spans="2:21" s="15" customFormat="1" ht="43.5" x14ac:dyDescent="0.35">
      <c r="B1573" s="64">
        <v>45946</v>
      </c>
      <c r="C1573" s="17">
        <v>1464</v>
      </c>
      <c r="D1573" s="85" t="s">
        <v>39</v>
      </c>
      <c r="E1573" s="85" t="s">
        <v>40</v>
      </c>
      <c r="F1573" s="85" t="s">
        <v>40</v>
      </c>
      <c r="G1573" s="17" t="s">
        <v>1805</v>
      </c>
      <c r="H1573" s="14" t="s">
        <v>1744</v>
      </c>
      <c r="I1573" s="145" t="s">
        <v>4614</v>
      </c>
      <c r="J1573" s="17" t="s">
        <v>4615</v>
      </c>
      <c r="K1573" s="17" t="s">
        <v>4617</v>
      </c>
      <c r="L1573" s="17" t="s">
        <v>4117</v>
      </c>
      <c r="M1573" s="16" t="s">
        <v>39</v>
      </c>
      <c r="N1573" s="16" t="s">
        <v>39</v>
      </c>
      <c r="O1573" s="16" t="s">
        <v>39</v>
      </c>
      <c r="P1573" s="17" t="s">
        <v>39</v>
      </c>
      <c r="Q1573" s="17" t="s">
        <v>4616</v>
      </c>
      <c r="R1573" s="18">
        <v>290</v>
      </c>
      <c r="S1573" s="19">
        <v>0</v>
      </c>
      <c r="T1573" s="17"/>
      <c r="U1573" s="66"/>
    </row>
    <row r="1574" spans="2:21" s="15" customFormat="1" ht="29" x14ac:dyDescent="0.35">
      <c r="B1574" s="64">
        <v>45947</v>
      </c>
      <c r="C1574" s="17">
        <v>1465</v>
      </c>
      <c r="D1574" s="85">
        <v>863</v>
      </c>
      <c r="E1574" s="85" t="s">
        <v>4613</v>
      </c>
      <c r="F1574" s="85" t="s">
        <v>13</v>
      </c>
      <c r="G1574" s="17" t="s">
        <v>1805</v>
      </c>
      <c r="H1574" s="14" t="s">
        <v>1744</v>
      </c>
      <c r="I1574" s="145">
        <v>0.45833333333333331</v>
      </c>
      <c r="J1574" s="17" t="s">
        <v>4615</v>
      </c>
      <c r="K1574" s="17" t="s">
        <v>4617</v>
      </c>
      <c r="L1574" s="17" t="s">
        <v>965</v>
      </c>
      <c r="M1574" s="16">
        <v>8110443754</v>
      </c>
      <c r="N1574" s="16">
        <v>862667089347028</v>
      </c>
      <c r="O1574" s="16" t="s">
        <v>39</v>
      </c>
      <c r="P1574" s="17" t="s">
        <v>4629</v>
      </c>
      <c r="Q1574" s="17" t="s">
        <v>8</v>
      </c>
      <c r="R1574" s="18">
        <v>1999.84</v>
      </c>
      <c r="S1574" s="19">
        <v>174</v>
      </c>
      <c r="T1574" s="17"/>
      <c r="U1574" s="66"/>
    </row>
    <row r="1575" spans="2:21" s="15" customFormat="1" ht="43.5" x14ac:dyDescent="0.35">
      <c r="B1575" s="64">
        <v>45948</v>
      </c>
      <c r="C1575" s="17">
        <v>1466</v>
      </c>
      <c r="D1575" s="85">
        <v>657</v>
      </c>
      <c r="E1575" s="85" t="s">
        <v>4623</v>
      </c>
      <c r="F1575" s="85" t="s">
        <v>36</v>
      </c>
      <c r="G1575" s="17" t="s">
        <v>1805</v>
      </c>
      <c r="H1575" s="14" t="s">
        <v>4624</v>
      </c>
      <c r="I1575" s="145" t="s">
        <v>4614</v>
      </c>
      <c r="J1575" s="17" t="s">
        <v>4630</v>
      </c>
      <c r="K1575" s="17" t="s">
        <v>4625</v>
      </c>
      <c r="L1575" s="17" t="s">
        <v>4117</v>
      </c>
      <c r="M1575" s="16">
        <v>8111819673</v>
      </c>
      <c r="N1575" s="16">
        <v>868166058820721</v>
      </c>
      <c r="O1575" s="16" t="s">
        <v>4628</v>
      </c>
      <c r="P1575" s="17" t="s">
        <v>4627</v>
      </c>
      <c r="Q1575" s="17" t="s">
        <v>4626</v>
      </c>
      <c r="R1575" s="18">
        <v>522</v>
      </c>
      <c r="S1575" s="19">
        <v>0</v>
      </c>
      <c r="T1575" s="17"/>
      <c r="U1575" s="66"/>
    </row>
    <row r="1576" spans="2:21" s="15" customFormat="1" ht="29" x14ac:dyDescent="0.35">
      <c r="B1576" s="64">
        <v>45950</v>
      </c>
      <c r="C1576" s="17">
        <v>1467</v>
      </c>
      <c r="D1576" s="85">
        <v>864</v>
      </c>
      <c r="E1576" s="85" t="s">
        <v>4618</v>
      </c>
      <c r="F1576" s="85" t="s">
        <v>13</v>
      </c>
      <c r="G1576" s="17" t="s">
        <v>1805</v>
      </c>
      <c r="H1576" s="14" t="s">
        <v>1744</v>
      </c>
      <c r="I1576" s="145" t="s">
        <v>4619</v>
      </c>
      <c r="J1576" s="17" t="s">
        <v>4620</v>
      </c>
      <c r="K1576" s="17" t="s">
        <v>4621</v>
      </c>
      <c r="L1576" s="17" t="s">
        <v>4117</v>
      </c>
      <c r="M1576" s="16">
        <v>8122018437</v>
      </c>
      <c r="N1576" s="16">
        <v>862667083543101</v>
      </c>
      <c r="O1576" s="16" t="s">
        <v>39</v>
      </c>
      <c r="P1576" s="17" t="s">
        <v>4622</v>
      </c>
      <c r="Q1576" s="17" t="s">
        <v>8</v>
      </c>
      <c r="R1576" s="18">
        <v>1999.84</v>
      </c>
      <c r="S1576" s="19">
        <v>174</v>
      </c>
      <c r="T1576" s="17"/>
      <c r="U1576" s="66"/>
    </row>
    <row r="1577" spans="2:21" s="15" customFormat="1" ht="43.5" x14ac:dyDescent="0.35">
      <c r="B1577" s="64">
        <v>45952</v>
      </c>
      <c r="C1577" s="17">
        <v>1468</v>
      </c>
      <c r="D1577" s="85">
        <v>865</v>
      </c>
      <c r="E1577" s="85" t="s">
        <v>4697</v>
      </c>
      <c r="F1577" s="85" t="s">
        <v>6</v>
      </c>
      <c r="G1577" s="17" t="s">
        <v>1805</v>
      </c>
      <c r="H1577" s="17" t="s">
        <v>2413</v>
      </c>
      <c r="I1577" s="145" t="s">
        <v>4408</v>
      </c>
      <c r="J1577" s="17" t="s">
        <v>4634</v>
      </c>
      <c r="K1577" s="17" t="s">
        <v>4635</v>
      </c>
      <c r="L1577" s="17" t="s">
        <v>965</v>
      </c>
      <c r="M1577" s="16">
        <v>8112751406</v>
      </c>
      <c r="N1577" s="16">
        <v>862667089278421</v>
      </c>
      <c r="O1577" s="16" t="s">
        <v>4636</v>
      </c>
      <c r="P1577" s="17" t="s">
        <v>39</v>
      </c>
      <c r="Q1577" s="17" t="s">
        <v>8</v>
      </c>
      <c r="R1577" s="18">
        <v>1999.84</v>
      </c>
      <c r="S1577" s="19" t="s">
        <v>4719</v>
      </c>
      <c r="T1577" s="17"/>
      <c r="U1577" s="66"/>
    </row>
    <row r="1578" spans="2:21" s="15" customFormat="1" ht="29" x14ac:dyDescent="0.35">
      <c r="B1578" s="64">
        <v>45953</v>
      </c>
      <c r="C1578" s="17">
        <v>1469</v>
      </c>
      <c r="D1578" s="85" t="s">
        <v>4436</v>
      </c>
      <c r="E1578" s="85" t="s">
        <v>4720</v>
      </c>
      <c r="F1578" s="85" t="s">
        <v>6</v>
      </c>
      <c r="G1578" s="17" t="s">
        <v>4133</v>
      </c>
      <c r="H1578" s="17" t="s">
        <v>4721</v>
      </c>
      <c r="I1578" s="145" t="s">
        <v>4700</v>
      </c>
      <c r="J1578" s="17" t="s">
        <v>4722</v>
      </c>
      <c r="K1578" s="17" t="s">
        <v>4723</v>
      </c>
      <c r="L1578" s="17" t="s">
        <v>965</v>
      </c>
      <c r="M1578" s="16">
        <v>8123536764</v>
      </c>
      <c r="N1578" s="16">
        <v>868166057587487</v>
      </c>
      <c r="O1578" s="38" t="s">
        <v>4452</v>
      </c>
      <c r="P1578" s="14" t="s">
        <v>4451</v>
      </c>
      <c r="Q1578" s="17" t="s">
        <v>4724</v>
      </c>
      <c r="R1578" s="18">
        <v>600</v>
      </c>
      <c r="S1578" s="19" t="s">
        <v>4725</v>
      </c>
      <c r="T1578" s="17"/>
      <c r="U1578" s="66"/>
    </row>
    <row r="1579" spans="2:21" s="15" customFormat="1" ht="29" x14ac:dyDescent="0.35">
      <c r="B1579" s="64">
        <v>45954</v>
      </c>
      <c r="C1579" s="17">
        <v>1470</v>
      </c>
      <c r="D1579" s="85" t="s">
        <v>39</v>
      </c>
      <c r="E1579" s="85" t="s">
        <v>40</v>
      </c>
      <c r="F1579" s="85" t="s">
        <v>40</v>
      </c>
      <c r="G1579" s="17" t="s">
        <v>1805</v>
      </c>
      <c r="H1579" s="14" t="s">
        <v>1744</v>
      </c>
      <c r="I1579" s="145">
        <v>0.52083333333333337</v>
      </c>
      <c r="J1579" s="17" t="s">
        <v>4642</v>
      </c>
      <c r="K1579" s="17" t="s">
        <v>4643</v>
      </c>
      <c r="L1579" s="17" t="s">
        <v>39</v>
      </c>
      <c r="M1579" s="16" t="s">
        <v>39</v>
      </c>
      <c r="N1579" s="16" t="s">
        <v>39</v>
      </c>
      <c r="O1579" s="16" t="s">
        <v>39</v>
      </c>
      <c r="P1579" s="17" t="s">
        <v>39</v>
      </c>
      <c r="Q1579" s="17" t="s">
        <v>4644</v>
      </c>
      <c r="R1579" s="18">
        <v>0</v>
      </c>
      <c r="S1579" s="19">
        <v>0</v>
      </c>
      <c r="T1579" s="17"/>
      <c r="U1579" s="66"/>
    </row>
    <row r="1580" spans="2:21" s="15" customFormat="1" ht="29" x14ac:dyDescent="0.35">
      <c r="B1580" s="64">
        <v>45955</v>
      </c>
      <c r="C1580" s="17">
        <v>1471</v>
      </c>
      <c r="D1580" s="85">
        <v>866</v>
      </c>
      <c r="E1580" s="85" t="s">
        <v>4637</v>
      </c>
      <c r="F1580" s="85" t="s">
        <v>13</v>
      </c>
      <c r="G1580" s="17" t="s">
        <v>4638</v>
      </c>
      <c r="H1580" s="17" t="s">
        <v>4639</v>
      </c>
      <c r="I1580" s="145" t="s">
        <v>4459</v>
      </c>
      <c r="J1580" s="17" t="s">
        <v>4640</v>
      </c>
      <c r="K1580" s="17" t="s">
        <v>4643</v>
      </c>
      <c r="L1580" s="17" t="s">
        <v>4117</v>
      </c>
      <c r="M1580" s="16">
        <v>8120225260</v>
      </c>
      <c r="N1580" s="16">
        <v>862667082660252</v>
      </c>
      <c r="O1580" s="16" t="s">
        <v>4641</v>
      </c>
      <c r="P1580" s="17" t="s">
        <v>39</v>
      </c>
      <c r="Q1580" s="17" t="s">
        <v>8</v>
      </c>
      <c r="R1580" s="18">
        <v>1999.84</v>
      </c>
      <c r="S1580" s="19">
        <v>174</v>
      </c>
      <c r="T1580" s="17"/>
      <c r="U1580" s="66"/>
    </row>
    <row r="1581" spans="2:21" s="15" customFormat="1" ht="29" x14ac:dyDescent="0.35">
      <c r="B1581" s="64">
        <v>45955</v>
      </c>
      <c r="C1581" s="17">
        <v>1472</v>
      </c>
      <c r="D1581" s="85">
        <v>867</v>
      </c>
      <c r="E1581" s="85" t="s">
        <v>4637</v>
      </c>
      <c r="F1581" s="85" t="s">
        <v>13</v>
      </c>
      <c r="G1581" s="17" t="s">
        <v>1805</v>
      </c>
      <c r="H1581" s="14" t="s">
        <v>1744</v>
      </c>
      <c r="I1581" s="145" t="s">
        <v>4413</v>
      </c>
      <c r="J1581" s="17" t="s">
        <v>4645</v>
      </c>
      <c r="K1581" s="116" t="s">
        <v>4646</v>
      </c>
      <c r="L1581" s="17" t="s">
        <v>4117</v>
      </c>
      <c r="M1581" s="16">
        <v>8123521799</v>
      </c>
      <c r="N1581" s="16">
        <v>862667081110598</v>
      </c>
      <c r="O1581" s="16" t="s">
        <v>39</v>
      </c>
      <c r="P1581" s="17" t="s">
        <v>4655</v>
      </c>
      <c r="Q1581" s="17" t="s">
        <v>8</v>
      </c>
      <c r="R1581" s="18">
        <v>1999.84</v>
      </c>
      <c r="S1581" s="19">
        <v>174</v>
      </c>
      <c r="T1581" s="17"/>
      <c r="U1581" s="66"/>
    </row>
    <row r="1582" spans="2:21" s="15" customFormat="1" ht="43.5" x14ac:dyDescent="0.35">
      <c r="B1582" s="64">
        <v>45958</v>
      </c>
      <c r="C1582" s="17">
        <v>1473</v>
      </c>
      <c r="D1582" s="85">
        <v>868</v>
      </c>
      <c r="E1582" s="85" t="s">
        <v>4656</v>
      </c>
      <c r="F1582" s="85" t="s">
        <v>13</v>
      </c>
      <c r="G1582" s="17" t="s">
        <v>1805</v>
      </c>
      <c r="H1582" s="17" t="s">
        <v>2413</v>
      </c>
      <c r="I1582" s="145" t="s">
        <v>4657</v>
      </c>
      <c r="J1582" s="17" t="s">
        <v>4658</v>
      </c>
      <c r="K1582" s="17" t="s">
        <v>4659</v>
      </c>
      <c r="L1582" s="17" t="s">
        <v>4660</v>
      </c>
      <c r="M1582" s="16">
        <v>8134040068</v>
      </c>
      <c r="N1582" s="16">
        <v>862667089234655</v>
      </c>
      <c r="O1582" s="16" t="s">
        <v>4661</v>
      </c>
      <c r="P1582" s="17" t="s">
        <v>4662</v>
      </c>
      <c r="Q1582" s="17" t="s">
        <v>8</v>
      </c>
      <c r="R1582" s="18">
        <v>1999.84</v>
      </c>
      <c r="S1582" s="19">
        <v>174</v>
      </c>
      <c r="T1582" s="17"/>
      <c r="U1582" s="66"/>
    </row>
    <row r="1583" spans="2:21" s="15" customFormat="1" ht="29" x14ac:dyDescent="0.35">
      <c r="B1583" s="64">
        <v>45967</v>
      </c>
      <c r="C1583" s="17">
        <v>1474</v>
      </c>
      <c r="D1583" s="85">
        <v>869</v>
      </c>
      <c r="E1583" s="85" t="s">
        <v>4663</v>
      </c>
      <c r="F1583" s="85" t="s">
        <v>13</v>
      </c>
      <c r="G1583" s="17" t="s">
        <v>1805</v>
      </c>
      <c r="H1583" s="14" t="s">
        <v>1744</v>
      </c>
      <c r="I1583" s="145" t="s">
        <v>4459</v>
      </c>
      <c r="J1583" s="17" t="s">
        <v>4664</v>
      </c>
      <c r="K1583" s="17" t="s">
        <v>4680</v>
      </c>
      <c r="L1583" s="17" t="s">
        <v>965</v>
      </c>
      <c r="M1583" s="16">
        <v>8118017800</v>
      </c>
      <c r="N1583" s="16">
        <v>869220041856711</v>
      </c>
      <c r="O1583" s="16" t="s">
        <v>39</v>
      </c>
      <c r="P1583" s="17" t="s">
        <v>4666</v>
      </c>
      <c r="Q1583" s="17" t="s">
        <v>8</v>
      </c>
      <c r="R1583" s="18">
        <v>1999.84</v>
      </c>
      <c r="S1583" s="19">
        <v>174</v>
      </c>
      <c r="T1583" s="17"/>
      <c r="U1583" s="66"/>
    </row>
    <row r="1584" spans="2:21" s="15" customFormat="1" ht="29" x14ac:dyDescent="0.35">
      <c r="B1584" s="64">
        <v>45967</v>
      </c>
      <c r="C1584" s="17">
        <v>1475</v>
      </c>
      <c r="D1584" s="85">
        <v>870</v>
      </c>
      <c r="E1584" s="85" t="s">
        <v>4663</v>
      </c>
      <c r="F1584" s="85" t="s">
        <v>13</v>
      </c>
      <c r="G1584" s="17" t="s">
        <v>1805</v>
      </c>
      <c r="H1584" s="14" t="s">
        <v>1744</v>
      </c>
      <c r="I1584" s="145" t="s">
        <v>4657</v>
      </c>
      <c r="J1584" s="17" t="s">
        <v>4665</v>
      </c>
      <c r="K1584" s="17" t="s">
        <v>4681</v>
      </c>
      <c r="L1584" s="17" t="s">
        <v>965</v>
      </c>
      <c r="M1584" s="16">
        <v>8114658304</v>
      </c>
      <c r="N1584" s="16">
        <v>862667081294970</v>
      </c>
      <c r="O1584" s="16" t="s">
        <v>39</v>
      </c>
      <c r="P1584" s="17" t="s">
        <v>4667</v>
      </c>
      <c r="Q1584" s="17" t="s">
        <v>8</v>
      </c>
      <c r="R1584" s="18">
        <v>1999.84</v>
      </c>
      <c r="S1584" s="19">
        <v>174</v>
      </c>
      <c r="T1584" s="17"/>
      <c r="U1584" s="66"/>
    </row>
    <row r="1585" spans="2:21" s="15" customFormat="1" ht="29" x14ac:dyDescent="0.35">
      <c r="B1585" s="64">
        <v>45967</v>
      </c>
      <c r="C1585" s="17">
        <v>1476</v>
      </c>
      <c r="D1585" s="85">
        <v>871</v>
      </c>
      <c r="E1585" s="85" t="s">
        <v>4663</v>
      </c>
      <c r="F1585" s="85" t="s">
        <v>13</v>
      </c>
      <c r="G1585" s="17" t="s">
        <v>1805</v>
      </c>
      <c r="H1585" s="17" t="s">
        <v>4115</v>
      </c>
      <c r="I1585" s="145" t="s">
        <v>56</v>
      </c>
      <c r="J1585" s="17" t="s">
        <v>4668</v>
      </c>
      <c r="K1585" s="17" t="s">
        <v>4682</v>
      </c>
      <c r="L1585" s="17" t="s">
        <v>965</v>
      </c>
      <c r="M1585" s="16">
        <v>8112458976</v>
      </c>
      <c r="N1585" s="16">
        <v>862667089224599</v>
      </c>
      <c r="O1585" s="16" t="s">
        <v>39</v>
      </c>
      <c r="P1585" s="17" t="s">
        <v>4669</v>
      </c>
      <c r="Q1585" s="17" t="s">
        <v>8</v>
      </c>
      <c r="R1585" s="18">
        <v>1999.84</v>
      </c>
      <c r="S1585" s="19">
        <v>174</v>
      </c>
      <c r="T1585" s="17"/>
      <c r="U1585" s="66"/>
    </row>
    <row r="1586" spans="2:21" s="15" customFormat="1" ht="29" x14ac:dyDescent="0.35">
      <c r="B1586" s="64">
        <v>45973</v>
      </c>
      <c r="C1586" s="17">
        <v>1477</v>
      </c>
      <c r="D1586" s="85" t="s">
        <v>39</v>
      </c>
      <c r="E1586" s="85" t="s">
        <v>40</v>
      </c>
      <c r="F1586" s="85" t="s">
        <v>40</v>
      </c>
      <c r="G1586" s="17" t="s">
        <v>1805</v>
      </c>
      <c r="H1586" s="17" t="s">
        <v>4671</v>
      </c>
      <c r="I1586" s="145" t="s">
        <v>56</v>
      </c>
      <c r="J1586" s="17" t="s">
        <v>4673</v>
      </c>
      <c r="K1586" s="17" t="s">
        <v>4683</v>
      </c>
      <c r="L1586" s="17" t="s">
        <v>965</v>
      </c>
      <c r="M1586" s="16" t="s">
        <v>39</v>
      </c>
      <c r="N1586" s="16" t="s">
        <v>39</v>
      </c>
      <c r="O1586" s="16" t="s">
        <v>39</v>
      </c>
      <c r="P1586" s="17" t="s">
        <v>39</v>
      </c>
      <c r="Q1586" s="17" t="s">
        <v>4674</v>
      </c>
      <c r="R1586" s="18">
        <v>290</v>
      </c>
      <c r="S1586" s="19">
        <v>0</v>
      </c>
      <c r="T1586" s="17"/>
      <c r="U1586" s="66"/>
    </row>
    <row r="1587" spans="2:21" s="15" customFormat="1" ht="29" x14ac:dyDescent="0.35">
      <c r="B1587" s="64">
        <v>45974</v>
      </c>
      <c r="C1587" s="17">
        <v>1478</v>
      </c>
      <c r="D1587" s="85">
        <v>872</v>
      </c>
      <c r="E1587" s="85" t="s">
        <v>4670</v>
      </c>
      <c r="F1587" s="85" t="s">
        <v>13</v>
      </c>
      <c r="G1587" s="17" t="s">
        <v>1805</v>
      </c>
      <c r="H1587" s="17" t="s">
        <v>4671</v>
      </c>
      <c r="I1587" s="145" t="s">
        <v>4672</v>
      </c>
      <c r="J1587" s="17" t="s">
        <v>4673</v>
      </c>
      <c r="K1587" s="17" t="s">
        <v>4683</v>
      </c>
      <c r="L1587" s="17" t="s">
        <v>50</v>
      </c>
      <c r="M1587" s="16">
        <v>8116801540</v>
      </c>
      <c r="N1587" s="16">
        <v>862667089247160</v>
      </c>
      <c r="O1587" s="16" t="s">
        <v>4676</v>
      </c>
      <c r="P1587" s="17" t="s">
        <v>4675</v>
      </c>
      <c r="Q1587" s="17" t="s">
        <v>8</v>
      </c>
      <c r="R1587" s="18">
        <v>1999.84</v>
      </c>
      <c r="S1587" s="19">
        <v>174</v>
      </c>
      <c r="T1587" s="17"/>
      <c r="U1587" s="66"/>
    </row>
    <row r="1588" spans="2:21" s="15" customFormat="1" ht="29" x14ac:dyDescent="0.35">
      <c r="B1588" s="64">
        <v>45979</v>
      </c>
      <c r="C1588" s="17">
        <v>1479</v>
      </c>
      <c r="D1588" s="85">
        <v>873</v>
      </c>
      <c r="E1588" s="85" t="s">
        <v>4677</v>
      </c>
      <c r="F1588" s="85" t="s">
        <v>13</v>
      </c>
      <c r="G1588" s="17" t="s">
        <v>1805</v>
      </c>
      <c r="H1588" s="14" t="s">
        <v>1744</v>
      </c>
      <c r="I1588" s="145" t="s">
        <v>3579</v>
      </c>
      <c r="J1588" s="17" t="s">
        <v>4678</v>
      </c>
      <c r="K1588" s="17" t="s">
        <v>4684</v>
      </c>
      <c r="L1588" s="17" t="s">
        <v>4660</v>
      </c>
      <c r="M1588" s="16">
        <v>8114737682</v>
      </c>
      <c r="N1588" s="16">
        <v>862667089259116</v>
      </c>
      <c r="O1588" s="16" t="s">
        <v>39</v>
      </c>
      <c r="P1588" s="17" t="s">
        <v>4679</v>
      </c>
      <c r="Q1588" s="17" t="s">
        <v>8</v>
      </c>
      <c r="R1588" s="18">
        <v>1999.84</v>
      </c>
      <c r="S1588" s="19">
        <v>174</v>
      </c>
      <c r="T1588" s="17"/>
      <c r="U1588" s="66"/>
    </row>
    <row r="1589" spans="2:21" s="15" customFormat="1" ht="29" x14ac:dyDescent="0.35">
      <c r="B1589" s="64">
        <v>45980</v>
      </c>
      <c r="C1589" s="17">
        <v>1480</v>
      </c>
      <c r="D1589" s="85">
        <v>874</v>
      </c>
      <c r="E1589" s="85" t="s">
        <v>4685</v>
      </c>
      <c r="F1589" s="85" t="s">
        <v>13</v>
      </c>
      <c r="G1589" s="17" t="s">
        <v>1805</v>
      </c>
      <c r="H1589" s="14" t="s">
        <v>1744</v>
      </c>
      <c r="I1589" s="145" t="s">
        <v>3579</v>
      </c>
      <c r="J1589" s="17" t="s">
        <v>4686</v>
      </c>
      <c r="K1589" s="17" t="s">
        <v>4687</v>
      </c>
      <c r="L1589" s="17" t="s">
        <v>4660</v>
      </c>
      <c r="M1589" s="16">
        <v>8116800759</v>
      </c>
      <c r="N1589" s="16">
        <v>862667089359080</v>
      </c>
      <c r="O1589" s="16" t="s">
        <v>39</v>
      </c>
      <c r="P1589" s="17" t="s">
        <v>4688</v>
      </c>
      <c r="Q1589" s="17" t="s">
        <v>8</v>
      </c>
      <c r="R1589" s="18">
        <v>1999.84</v>
      </c>
      <c r="S1589" s="19">
        <v>174</v>
      </c>
      <c r="T1589" s="17"/>
      <c r="U1589" s="66"/>
    </row>
    <row r="1590" spans="2:21" s="15" customFormat="1" ht="29" x14ac:dyDescent="0.35">
      <c r="B1590" s="64">
        <v>45981</v>
      </c>
      <c r="C1590" s="17">
        <v>1481</v>
      </c>
      <c r="D1590" s="74" t="s">
        <v>5072</v>
      </c>
      <c r="E1590" s="85" t="s">
        <v>4691</v>
      </c>
      <c r="F1590" s="85" t="s">
        <v>13</v>
      </c>
      <c r="G1590" s="17" t="s">
        <v>1805</v>
      </c>
      <c r="H1590" s="17" t="s">
        <v>4690</v>
      </c>
      <c r="I1590" s="145" t="s">
        <v>4345</v>
      </c>
      <c r="J1590" s="17" t="s">
        <v>4692</v>
      </c>
      <c r="K1590" s="17" t="s">
        <v>4689</v>
      </c>
      <c r="L1590" s="17" t="s">
        <v>4660</v>
      </c>
      <c r="M1590" s="16">
        <v>8126201204</v>
      </c>
      <c r="N1590" s="16">
        <v>862667089302866</v>
      </c>
      <c r="O1590" s="16" t="s">
        <v>4710</v>
      </c>
      <c r="P1590" s="17" t="s">
        <v>4709</v>
      </c>
      <c r="Q1590" s="17" t="s">
        <v>8</v>
      </c>
      <c r="R1590" s="18">
        <v>1999.84</v>
      </c>
      <c r="S1590" s="19" t="s">
        <v>5002</v>
      </c>
      <c r="T1590" s="17"/>
      <c r="U1590" s="66"/>
    </row>
    <row r="1591" spans="2:21" s="15" customFormat="1" ht="29" x14ac:dyDescent="0.35">
      <c r="B1591" s="64">
        <v>45982</v>
      </c>
      <c r="C1591" s="17">
        <v>1482</v>
      </c>
      <c r="D1591" s="85" t="s">
        <v>5261</v>
      </c>
      <c r="E1591" s="85" t="s">
        <v>4693</v>
      </c>
      <c r="F1591" s="85" t="s">
        <v>13</v>
      </c>
      <c r="G1591" s="17" t="s">
        <v>1805</v>
      </c>
      <c r="H1591" s="14" t="s">
        <v>4698</v>
      </c>
      <c r="I1591" s="145" t="s">
        <v>4599</v>
      </c>
      <c r="J1591" s="17" t="s">
        <v>4694</v>
      </c>
      <c r="K1591" s="17" t="s">
        <v>4695</v>
      </c>
      <c r="L1591" s="17" t="s">
        <v>4696</v>
      </c>
      <c r="M1591" s="16">
        <v>8116801511</v>
      </c>
      <c r="N1591" s="16">
        <v>862667082681670</v>
      </c>
      <c r="O1591" s="16" t="s">
        <v>39</v>
      </c>
      <c r="P1591" s="17" t="s">
        <v>4711</v>
      </c>
      <c r="Q1591" s="17" t="s">
        <v>8</v>
      </c>
      <c r="R1591" s="18">
        <v>1999.84</v>
      </c>
      <c r="S1591" s="19" t="s">
        <v>5264</v>
      </c>
      <c r="T1591" s="17"/>
      <c r="U1591" s="66"/>
    </row>
    <row r="1592" spans="2:21" s="15" customFormat="1" ht="43.5" x14ac:dyDescent="0.35">
      <c r="B1592" s="64">
        <v>45982</v>
      </c>
      <c r="C1592" s="17">
        <v>1483</v>
      </c>
      <c r="D1592" s="85">
        <v>865</v>
      </c>
      <c r="E1592" s="85" t="s">
        <v>4697</v>
      </c>
      <c r="F1592" s="85" t="s">
        <v>6</v>
      </c>
      <c r="G1592" s="17" t="s">
        <v>1805</v>
      </c>
      <c r="H1592" s="17" t="s">
        <v>4699</v>
      </c>
      <c r="I1592" s="145" t="s">
        <v>4700</v>
      </c>
      <c r="J1592" s="17" t="s">
        <v>4634</v>
      </c>
      <c r="K1592" s="17" t="s">
        <v>4702</v>
      </c>
      <c r="L1592" s="17" t="s">
        <v>4660</v>
      </c>
      <c r="M1592" s="16">
        <v>8112751406</v>
      </c>
      <c r="N1592" s="16">
        <v>862667089278421</v>
      </c>
      <c r="O1592" s="16" t="s">
        <v>4705</v>
      </c>
      <c r="P1592" s="17" t="s">
        <v>39</v>
      </c>
      <c r="Q1592" s="17" t="s">
        <v>4708</v>
      </c>
      <c r="R1592" s="18">
        <v>650</v>
      </c>
      <c r="S1592" s="19" t="s">
        <v>4719</v>
      </c>
      <c r="T1592" s="17"/>
      <c r="U1592" s="66"/>
    </row>
    <row r="1593" spans="2:21" s="15" customFormat="1" ht="43.5" x14ac:dyDescent="0.35">
      <c r="B1593" s="64">
        <v>45982</v>
      </c>
      <c r="C1593" s="17">
        <v>1484</v>
      </c>
      <c r="D1593" s="85">
        <v>877</v>
      </c>
      <c r="E1593" s="85" t="s">
        <v>4703</v>
      </c>
      <c r="F1593" s="85" t="s">
        <v>138</v>
      </c>
      <c r="G1593" s="17" t="s">
        <v>1805</v>
      </c>
      <c r="H1593" s="17" t="s">
        <v>4699</v>
      </c>
      <c r="I1593" s="145" t="s">
        <v>4700</v>
      </c>
      <c r="J1593" s="17" t="s">
        <v>4704</v>
      </c>
      <c r="K1593" s="17" t="s">
        <v>4701</v>
      </c>
      <c r="L1593" s="17" t="s">
        <v>4660</v>
      </c>
      <c r="M1593" s="16">
        <v>8112751406</v>
      </c>
      <c r="N1593" s="16">
        <v>862667089278421</v>
      </c>
      <c r="O1593" s="16" t="s">
        <v>4706</v>
      </c>
      <c r="P1593" s="17" t="s">
        <v>4707</v>
      </c>
      <c r="Q1593" s="17" t="s">
        <v>4708</v>
      </c>
      <c r="R1593" s="18">
        <v>600</v>
      </c>
      <c r="S1593" s="19">
        <v>174</v>
      </c>
      <c r="T1593" s="17"/>
      <c r="U1593" s="66"/>
    </row>
    <row r="1594" spans="2:21" s="15" customFormat="1" ht="29" x14ac:dyDescent="0.35">
      <c r="B1594" s="64">
        <v>45986</v>
      </c>
      <c r="C1594" s="17">
        <v>1485</v>
      </c>
      <c r="D1594" s="85">
        <v>878</v>
      </c>
      <c r="E1594" s="85" t="s">
        <v>4712</v>
      </c>
      <c r="F1594" s="85" t="s">
        <v>138</v>
      </c>
      <c r="G1594" s="17" t="s">
        <v>1805</v>
      </c>
      <c r="H1594" s="17" t="s">
        <v>4713</v>
      </c>
      <c r="I1594" s="145" t="s">
        <v>3579</v>
      </c>
      <c r="J1594" s="17" t="s">
        <v>4714</v>
      </c>
      <c r="K1594" s="17" t="s">
        <v>4715</v>
      </c>
      <c r="L1594" s="17" t="s">
        <v>965</v>
      </c>
      <c r="M1594" s="16">
        <v>8123536764</v>
      </c>
      <c r="N1594" s="16">
        <v>868166057587487</v>
      </c>
      <c r="O1594" s="16" t="s">
        <v>4716</v>
      </c>
      <c r="P1594" s="17" t="s">
        <v>4717</v>
      </c>
      <c r="Q1594" s="17" t="s">
        <v>4718</v>
      </c>
      <c r="R1594" s="18">
        <v>600</v>
      </c>
      <c r="S1594" s="19">
        <v>174</v>
      </c>
      <c r="T1594" s="17"/>
      <c r="U1594" s="66"/>
    </row>
    <row r="1595" spans="2:21" s="15" customFormat="1" ht="29" x14ac:dyDescent="0.35">
      <c r="B1595" s="64">
        <v>45992</v>
      </c>
      <c r="C1595" s="17">
        <v>1486</v>
      </c>
      <c r="D1595" s="85">
        <v>879</v>
      </c>
      <c r="E1595" s="85" t="s">
        <v>4726</v>
      </c>
      <c r="F1595" s="85" t="s">
        <v>13</v>
      </c>
      <c r="G1595" s="17" t="s">
        <v>1805</v>
      </c>
      <c r="H1595" s="14" t="s">
        <v>1744</v>
      </c>
      <c r="I1595" s="145" t="s">
        <v>3579</v>
      </c>
      <c r="J1595" s="17" t="s">
        <v>4727</v>
      </c>
      <c r="K1595" s="17" t="s">
        <v>4729</v>
      </c>
      <c r="L1595" s="17" t="s">
        <v>965</v>
      </c>
      <c r="M1595" s="16" t="s">
        <v>39</v>
      </c>
      <c r="N1595" s="16" t="s">
        <v>39</v>
      </c>
      <c r="O1595" s="16" t="s">
        <v>39</v>
      </c>
      <c r="P1595" s="17" t="s">
        <v>39</v>
      </c>
      <c r="Q1595" s="17" t="s">
        <v>8</v>
      </c>
      <c r="R1595" s="18">
        <v>1999.84</v>
      </c>
      <c r="S1595" s="19">
        <v>174</v>
      </c>
      <c r="T1595" s="17"/>
      <c r="U1595" s="66"/>
    </row>
    <row r="1596" spans="2:21" s="15" customFormat="1" ht="29" x14ac:dyDescent="0.35">
      <c r="B1596" s="64">
        <v>45992</v>
      </c>
      <c r="C1596" s="17">
        <v>1487</v>
      </c>
      <c r="D1596" s="85">
        <v>880</v>
      </c>
      <c r="E1596" s="85" t="s">
        <v>4726</v>
      </c>
      <c r="F1596" s="85" t="s">
        <v>13</v>
      </c>
      <c r="G1596" s="17" t="s">
        <v>1805</v>
      </c>
      <c r="H1596" s="14" t="s">
        <v>1744</v>
      </c>
      <c r="I1596" s="145" t="s">
        <v>3579</v>
      </c>
      <c r="J1596" s="17" t="s">
        <v>4728</v>
      </c>
      <c r="K1596" s="17" t="s">
        <v>4730</v>
      </c>
      <c r="L1596" s="17" t="s">
        <v>965</v>
      </c>
      <c r="M1596" s="16" t="s">
        <v>39</v>
      </c>
      <c r="N1596" s="16" t="s">
        <v>39</v>
      </c>
      <c r="O1596" s="16" t="s">
        <v>39</v>
      </c>
      <c r="P1596" s="17" t="s">
        <v>39</v>
      </c>
      <c r="Q1596" s="17" t="s">
        <v>8</v>
      </c>
      <c r="R1596" s="18">
        <v>1999.84</v>
      </c>
      <c r="S1596" s="19">
        <v>174</v>
      </c>
      <c r="T1596" s="17"/>
      <c r="U1596" s="66"/>
    </row>
    <row r="1597" spans="2:21" s="15" customFormat="1" ht="29" x14ac:dyDescent="0.35">
      <c r="B1597" s="64">
        <v>45993</v>
      </c>
      <c r="C1597" s="17">
        <v>1488</v>
      </c>
      <c r="D1597" s="85">
        <v>881</v>
      </c>
      <c r="E1597" s="85" t="s">
        <v>4733</v>
      </c>
      <c r="F1597" s="85" t="s">
        <v>13</v>
      </c>
      <c r="G1597" s="17" t="s">
        <v>1805</v>
      </c>
      <c r="H1597" s="14" t="s">
        <v>1744</v>
      </c>
      <c r="I1597" s="145" t="s">
        <v>3579</v>
      </c>
      <c r="J1597" s="17" t="s">
        <v>4731</v>
      </c>
      <c r="K1597" s="17" t="s">
        <v>4732</v>
      </c>
      <c r="L1597" s="17" t="s">
        <v>39</v>
      </c>
      <c r="M1597" s="16" t="s">
        <v>39</v>
      </c>
      <c r="N1597" s="16" t="s">
        <v>39</v>
      </c>
      <c r="O1597" s="16" t="s">
        <v>39</v>
      </c>
      <c r="P1597" s="17" t="s">
        <v>39</v>
      </c>
      <c r="Q1597" s="17" t="s">
        <v>8</v>
      </c>
      <c r="R1597" s="18">
        <v>1999.84</v>
      </c>
      <c r="S1597" s="19">
        <v>174</v>
      </c>
      <c r="T1597" s="17"/>
      <c r="U1597" s="66"/>
    </row>
    <row r="1598" spans="2:21" s="15" customFormat="1" ht="29" x14ac:dyDescent="0.35">
      <c r="B1598" s="64">
        <v>45995</v>
      </c>
      <c r="C1598" s="17">
        <v>1489</v>
      </c>
      <c r="D1598" s="85">
        <v>882</v>
      </c>
      <c r="E1598" s="85" t="s">
        <v>4734</v>
      </c>
      <c r="F1598" s="85" t="s">
        <v>13</v>
      </c>
      <c r="G1598" s="17" t="s">
        <v>1805</v>
      </c>
      <c r="H1598" s="14" t="s">
        <v>1744</v>
      </c>
      <c r="I1598" s="145" t="s">
        <v>3579</v>
      </c>
      <c r="J1598" s="17" t="s">
        <v>4735</v>
      </c>
      <c r="K1598" s="17" t="s">
        <v>4738</v>
      </c>
      <c r="L1598" s="17" t="s">
        <v>4660</v>
      </c>
      <c r="M1598" s="16">
        <v>8110446839</v>
      </c>
      <c r="N1598" s="16">
        <v>862667089396801</v>
      </c>
      <c r="O1598" s="16" t="s">
        <v>39</v>
      </c>
      <c r="P1598" s="17" t="s">
        <v>4739</v>
      </c>
      <c r="Q1598" s="17" t="s">
        <v>8</v>
      </c>
      <c r="R1598" s="18">
        <v>1999.84</v>
      </c>
      <c r="S1598" s="19">
        <v>174</v>
      </c>
      <c r="T1598" s="17"/>
      <c r="U1598" s="66"/>
    </row>
    <row r="1599" spans="2:21" s="15" customFormat="1" ht="29" x14ac:dyDescent="0.35">
      <c r="B1599" s="64">
        <v>45995</v>
      </c>
      <c r="C1599" s="17">
        <v>1490</v>
      </c>
      <c r="D1599" s="74" t="s">
        <v>5073</v>
      </c>
      <c r="E1599" s="85" t="s">
        <v>4734</v>
      </c>
      <c r="F1599" s="85" t="s">
        <v>13</v>
      </c>
      <c r="G1599" s="17" t="s">
        <v>1805</v>
      </c>
      <c r="H1599" s="14" t="s">
        <v>1744</v>
      </c>
      <c r="I1599" s="145" t="s">
        <v>3579</v>
      </c>
      <c r="J1599" s="17" t="s">
        <v>4737</v>
      </c>
      <c r="K1599" s="17" t="s">
        <v>4740</v>
      </c>
      <c r="L1599" s="17" t="s">
        <v>4660</v>
      </c>
      <c r="M1599" s="16">
        <v>8126045259</v>
      </c>
      <c r="N1599" s="16">
        <v>862667089231529</v>
      </c>
      <c r="O1599" s="16" t="s">
        <v>39</v>
      </c>
      <c r="P1599" s="17" t="s">
        <v>4742</v>
      </c>
      <c r="Q1599" s="17" t="s">
        <v>8</v>
      </c>
      <c r="R1599" s="18">
        <v>1999.84</v>
      </c>
      <c r="S1599" s="19" t="s">
        <v>5002</v>
      </c>
      <c r="T1599" s="17"/>
      <c r="U1599" s="66"/>
    </row>
    <row r="1600" spans="2:21" s="15" customFormat="1" ht="29" x14ac:dyDescent="0.35">
      <c r="B1600" s="64">
        <v>45995</v>
      </c>
      <c r="C1600" s="17">
        <v>1491</v>
      </c>
      <c r="D1600" s="85">
        <v>884</v>
      </c>
      <c r="E1600" s="85" t="s">
        <v>4734</v>
      </c>
      <c r="F1600" s="85" t="s">
        <v>13</v>
      </c>
      <c r="G1600" s="17" t="s">
        <v>1805</v>
      </c>
      <c r="H1600" s="14" t="s">
        <v>1744</v>
      </c>
      <c r="I1600" s="145" t="s">
        <v>3579</v>
      </c>
      <c r="J1600" s="17" t="s">
        <v>4736</v>
      </c>
      <c r="K1600" s="17" t="s">
        <v>4741</v>
      </c>
      <c r="L1600" s="17" t="s">
        <v>4660</v>
      </c>
      <c r="M1600" s="16">
        <v>8126174250</v>
      </c>
      <c r="N1600" s="16">
        <v>862667089398237</v>
      </c>
      <c r="O1600" s="16" t="s">
        <v>39</v>
      </c>
      <c r="P1600" s="17" t="s">
        <v>4743</v>
      </c>
      <c r="Q1600" s="17" t="s">
        <v>8</v>
      </c>
      <c r="R1600" s="18">
        <v>1999.84</v>
      </c>
      <c r="S1600" s="19" t="s">
        <v>4748</v>
      </c>
      <c r="T1600" s="17"/>
      <c r="U1600" s="66"/>
    </row>
    <row r="1601" spans="2:22" s="15" customFormat="1" ht="29" x14ac:dyDescent="0.35">
      <c r="B1601" s="64">
        <v>45996</v>
      </c>
      <c r="C1601" s="17">
        <v>1492</v>
      </c>
      <c r="D1601" s="85" t="s">
        <v>39</v>
      </c>
      <c r="E1601" s="85" t="s">
        <v>40</v>
      </c>
      <c r="F1601" s="85" t="s">
        <v>40</v>
      </c>
      <c r="G1601" s="17" t="s">
        <v>4638</v>
      </c>
      <c r="H1601" s="14" t="s">
        <v>1744</v>
      </c>
      <c r="I1601" s="145" t="s">
        <v>3579</v>
      </c>
      <c r="J1601" s="17" t="s">
        <v>39</v>
      </c>
      <c r="K1601" s="17" t="s">
        <v>4744</v>
      </c>
      <c r="L1601" s="17" t="s">
        <v>965</v>
      </c>
      <c r="M1601" s="16" t="s">
        <v>39</v>
      </c>
      <c r="N1601" s="16" t="s">
        <v>39</v>
      </c>
      <c r="O1601" s="16" t="s">
        <v>39</v>
      </c>
      <c r="P1601" s="17" t="s">
        <v>39</v>
      </c>
      <c r="Q1601" s="17" t="s">
        <v>4745</v>
      </c>
      <c r="R1601" s="18">
        <v>290</v>
      </c>
      <c r="S1601" s="19"/>
      <c r="T1601" s="17"/>
      <c r="U1601" s="66"/>
    </row>
    <row r="1602" spans="2:22" s="15" customFormat="1" ht="29" x14ac:dyDescent="0.35">
      <c r="B1602" s="64">
        <v>45996</v>
      </c>
      <c r="C1602" s="17">
        <v>1493</v>
      </c>
      <c r="D1602" s="85">
        <v>884</v>
      </c>
      <c r="E1602" s="85" t="s">
        <v>4746</v>
      </c>
      <c r="F1602" s="85" t="s">
        <v>6</v>
      </c>
      <c r="G1602" s="17" t="s">
        <v>1805</v>
      </c>
      <c r="H1602" s="14" t="s">
        <v>1744</v>
      </c>
      <c r="I1602" s="145" t="s">
        <v>3579</v>
      </c>
      <c r="J1602" s="17" t="s">
        <v>4736</v>
      </c>
      <c r="K1602" s="17" t="s">
        <v>4741</v>
      </c>
      <c r="L1602" s="17" t="s">
        <v>965</v>
      </c>
      <c r="M1602" s="16">
        <v>8126174250</v>
      </c>
      <c r="N1602" s="16">
        <v>862667089398237</v>
      </c>
      <c r="O1602" s="16" t="s">
        <v>39</v>
      </c>
      <c r="P1602" s="17" t="s">
        <v>4743</v>
      </c>
      <c r="Q1602" s="17" t="s">
        <v>4747</v>
      </c>
      <c r="R1602" s="18">
        <v>650</v>
      </c>
      <c r="S1602" s="19" t="s">
        <v>4748</v>
      </c>
      <c r="T1602" s="17"/>
      <c r="U1602" s="66"/>
    </row>
    <row r="1603" spans="2:22" s="15" customFormat="1" ht="29" x14ac:dyDescent="0.35">
      <c r="B1603" s="64">
        <v>45996</v>
      </c>
      <c r="C1603" s="17">
        <v>1494</v>
      </c>
      <c r="D1603" s="85" t="s">
        <v>5262</v>
      </c>
      <c r="E1603" s="85" t="s">
        <v>4749</v>
      </c>
      <c r="F1603" s="85" t="s">
        <v>138</v>
      </c>
      <c r="G1603" s="17" t="s">
        <v>1805</v>
      </c>
      <c r="H1603" s="14" t="s">
        <v>1744</v>
      </c>
      <c r="I1603" s="145" t="s">
        <v>3579</v>
      </c>
      <c r="J1603" s="17" t="s">
        <v>4736</v>
      </c>
      <c r="K1603" s="17" t="s">
        <v>4750</v>
      </c>
      <c r="L1603" s="17" t="s">
        <v>965</v>
      </c>
      <c r="M1603" s="16">
        <v>8126174250</v>
      </c>
      <c r="N1603" s="16">
        <v>862667089398237</v>
      </c>
      <c r="O1603" s="16" t="s">
        <v>4752</v>
      </c>
      <c r="P1603" s="17" t="s">
        <v>4753</v>
      </c>
      <c r="Q1603" s="17" t="s">
        <v>4751</v>
      </c>
      <c r="R1603" s="18">
        <v>600</v>
      </c>
      <c r="S1603" s="19" t="s">
        <v>5264</v>
      </c>
      <c r="T1603" s="17"/>
      <c r="U1603" s="66"/>
    </row>
    <row r="1604" spans="2:22" s="15" customFormat="1" ht="29" x14ac:dyDescent="0.35">
      <c r="B1604" s="64">
        <v>46001</v>
      </c>
      <c r="C1604" s="17">
        <v>1495</v>
      </c>
      <c r="D1604" s="85">
        <v>886</v>
      </c>
      <c r="E1604" s="85" t="s">
        <v>4754</v>
      </c>
      <c r="F1604" s="85" t="s">
        <v>13</v>
      </c>
      <c r="G1604" s="17" t="s">
        <v>1805</v>
      </c>
      <c r="H1604" s="17" t="s">
        <v>4755</v>
      </c>
      <c r="I1604" s="145" t="s">
        <v>3579</v>
      </c>
      <c r="J1604" s="17" t="s">
        <v>24</v>
      </c>
      <c r="K1604" s="17" t="s">
        <v>4756</v>
      </c>
      <c r="L1604" s="17" t="s">
        <v>4660</v>
      </c>
      <c r="M1604" s="16">
        <v>8126046200</v>
      </c>
      <c r="N1604" s="16">
        <v>862667089364593</v>
      </c>
      <c r="O1604" s="16" t="s">
        <v>4758</v>
      </c>
      <c r="P1604" s="17" t="s">
        <v>4757</v>
      </c>
      <c r="Q1604" s="17" t="s">
        <v>8</v>
      </c>
      <c r="R1604" s="18">
        <v>1999.84</v>
      </c>
      <c r="S1604" s="19">
        <v>174</v>
      </c>
      <c r="T1604" s="17"/>
      <c r="U1604" s="66"/>
    </row>
    <row r="1605" spans="2:22" s="15" customFormat="1" ht="29" x14ac:dyDescent="0.35">
      <c r="B1605" s="64">
        <v>46001</v>
      </c>
      <c r="C1605" s="17">
        <v>1496</v>
      </c>
      <c r="D1605" s="85">
        <v>887</v>
      </c>
      <c r="E1605" s="85" t="s">
        <v>4754</v>
      </c>
      <c r="F1605" s="85" t="s">
        <v>13</v>
      </c>
      <c r="G1605" s="17" t="s">
        <v>1805</v>
      </c>
      <c r="H1605" s="14" t="s">
        <v>4698</v>
      </c>
      <c r="I1605" s="145" t="s">
        <v>3579</v>
      </c>
      <c r="J1605" s="17" t="s">
        <v>4759</v>
      </c>
      <c r="K1605" s="17" t="s">
        <v>4761</v>
      </c>
      <c r="L1605" s="17" t="s">
        <v>4660</v>
      </c>
      <c r="M1605" s="16">
        <v>8126174243</v>
      </c>
      <c r="N1605" s="16">
        <v>862667089231198</v>
      </c>
      <c r="O1605" s="16" t="s">
        <v>39</v>
      </c>
      <c r="P1605" s="17" t="s">
        <v>4760</v>
      </c>
      <c r="Q1605" s="17" t="s">
        <v>8</v>
      </c>
      <c r="R1605" s="18">
        <v>1999.84</v>
      </c>
      <c r="S1605" s="19">
        <v>174</v>
      </c>
      <c r="T1605" s="17"/>
      <c r="U1605" s="66"/>
    </row>
    <row r="1606" spans="2:22" s="15" customFormat="1" ht="29" x14ac:dyDescent="0.35">
      <c r="B1606" s="64">
        <v>46001</v>
      </c>
      <c r="C1606" s="17">
        <v>1497</v>
      </c>
      <c r="D1606" s="85">
        <v>888</v>
      </c>
      <c r="E1606" s="85" t="s">
        <v>4754</v>
      </c>
      <c r="F1606" s="85" t="s">
        <v>13</v>
      </c>
      <c r="G1606" s="17" t="s">
        <v>1805</v>
      </c>
      <c r="H1606" s="14" t="s">
        <v>4698</v>
      </c>
      <c r="I1606" s="145" t="s">
        <v>3579</v>
      </c>
      <c r="J1606" s="17" t="s">
        <v>4762</v>
      </c>
      <c r="K1606" s="17" t="s">
        <v>4763</v>
      </c>
      <c r="L1606" s="17" t="s">
        <v>4660</v>
      </c>
      <c r="M1606" s="16">
        <v>8126174260</v>
      </c>
      <c r="N1606" s="16">
        <v>862667089247038</v>
      </c>
      <c r="O1606" s="16" t="s">
        <v>39</v>
      </c>
      <c r="P1606" s="17" t="s">
        <v>39</v>
      </c>
      <c r="Q1606" s="17" t="s">
        <v>8</v>
      </c>
      <c r="R1606" s="18">
        <v>1999.84</v>
      </c>
      <c r="S1606" s="19">
        <v>174</v>
      </c>
      <c r="T1606" s="17"/>
      <c r="U1606" s="66"/>
    </row>
    <row r="1607" spans="2:22" s="15" customFormat="1" ht="29" x14ac:dyDescent="0.35">
      <c r="B1607" s="64">
        <v>46006</v>
      </c>
      <c r="C1607" s="17">
        <v>1498</v>
      </c>
      <c r="D1607" s="85">
        <v>889</v>
      </c>
      <c r="E1607" s="85" t="s">
        <v>4764</v>
      </c>
      <c r="F1607" s="85" t="s">
        <v>13</v>
      </c>
      <c r="G1607" s="17" t="s">
        <v>1805</v>
      </c>
      <c r="H1607" s="14" t="s">
        <v>1744</v>
      </c>
      <c r="I1607" s="145" t="s">
        <v>3579</v>
      </c>
      <c r="J1607" s="17" t="s">
        <v>4765</v>
      </c>
      <c r="K1607" s="17" t="s">
        <v>4766</v>
      </c>
      <c r="L1607" s="17" t="s">
        <v>965</v>
      </c>
      <c r="M1607" s="16">
        <v>8182051345</v>
      </c>
      <c r="N1607" s="16">
        <v>862667089233830</v>
      </c>
      <c r="O1607" s="16" t="s">
        <v>39</v>
      </c>
      <c r="P1607" s="17" t="s">
        <v>4767</v>
      </c>
      <c r="Q1607" s="17" t="s">
        <v>8</v>
      </c>
      <c r="R1607" s="18">
        <v>1999.84</v>
      </c>
      <c r="S1607" s="19">
        <v>174</v>
      </c>
      <c r="T1607" s="17"/>
      <c r="U1607" s="66"/>
    </row>
    <row r="1608" spans="2:22" s="15" customFormat="1" ht="29" x14ac:dyDescent="0.35">
      <c r="B1608" s="64">
        <v>46007</v>
      </c>
      <c r="C1608" s="17">
        <v>1499</v>
      </c>
      <c r="D1608" s="85">
        <v>890</v>
      </c>
      <c r="E1608" s="85" t="s">
        <v>4768</v>
      </c>
      <c r="F1608" s="85" t="s">
        <v>13</v>
      </c>
      <c r="G1608" s="17" t="s">
        <v>1805</v>
      </c>
      <c r="H1608" s="14" t="s">
        <v>4698</v>
      </c>
      <c r="I1608" s="145" t="s">
        <v>3579</v>
      </c>
      <c r="J1608" s="17" t="s">
        <v>4769</v>
      </c>
      <c r="K1608" s="17" t="s">
        <v>4770</v>
      </c>
      <c r="L1608" s="17" t="s">
        <v>965</v>
      </c>
      <c r="M1608" s="16">
        <v>8126041799</v>
      </c>
      <c r="N1608" s="16">
        <v>862667089282357</v>
      </c>
      <c r="O1608" s="16" t="s">
        <v>39</v>
      </c>
      <c r="P1608" s="17" t="s">
        <v>4771</v>
      </c>
      <c r="Q1608" s="17" t="s">
        <v>8</v>
      </c>
      <c r="R1608" s="18">
        <v>1999.84</v>
      </c>
      <c r="S1608" s="19">
        <v>174</v>
      </c>
      <c r="T1608" s="17"/>
      <c r="U1608" s="66"/>
    </row>
    <row r="1609" spans="2:22" s="15" customFormat="1" ht="29" x14ac:dyDescent="0.35">
      <c r="B1609" s="64">
        <v>46007</v>
      </c>
      <c r="C1609" s="17">
        <v>1500</v>
      </c>
      <c r="D1609" s="85">
        <v>891</v>
      </c>
      <c r="E1609" s="85" t="s">
        <v>4768</v>
      </c>
      <c r="F1609" s="85" t="s">
        <v>13</v>
      </c>
      <c r="G1609" s="17" t="s">
        <v>1805</v>
      </c>
      <c r="H1609" s="14" t="s">
        <v>4698</v>
      </c>
      <c r="I1609" s="145" t="s">
        <v>3579</v>
      </c>
      <c r="J1609" s="17" t="s">
        <v>4772</v>
      </c>
      <c r="K1609" s="17" t="s">
        <v>4773</v>
      </c>
      <c r="L1609" s="17" t="s">
        <v>965</v>
      </c>
      <c r="M1609" s="16">
        <v>8115318248</v>
      </c>
      <c r="N1609" s="16">
        <v>868166059892547</v>
      </c>
      <c r="O1609" s="16" t="s">
        <v>39</v>
      </c>
      <c r="P1609" s="17" t="s">
        <v>4774</v>
      </c>
      <c r="Q1609" s="17" t="s">
        <v>8</v>
      </c>
      <c r="R1609" s="18">
        <v>1999.84</v>
      </c>
      <c r="S1609" s="19">
        <v>174</v>
      </c>
      <c r="T1609" s="17"/>
      <c r="U1609" s="66"/>
    </row>
    <row r="1610" spans="2:22" s="15" customFormat="1" ht="29" x14ac:dyDescent="0.35">
      <c r="B1610" s="64">
        <v>46008</v>
      </c>
      <c r="C1610" s="17">
        <v>1501</v>
      </c>
      <c r="D1610" s="85" t="s">
        <v>4783</v>
      </c>
      <c r="E1610" s="85" t="s">
        <v>4775</v>
      </c>
      <c r="F1610" s="85" t="s">
        <v>1468</v>
      </c>
      <c r="G1610" s="17" t="s">
        <v>4133</v>
      </c>
      <c r="H1610" s="17" t="s">
        <v>1930</v>
      </c>
      <c r="I1610" s="145" t="s">
        <v>39</v>
      </c>
      <c r="J1610" s="17" t="s">
        <v>4794</v>
      </c>
      <c r="K1610" s="17" t="s">
        <v>1457</v>
      </c>
      <c r="L1610" s="17" t="s">
        <v>39</v>
      </c>
      <c r="M1610" s="16">
        <v>8118227423</v>
      </c>
      <c r="N1610" s="16">
        <v>865011031932404</v>
      </c>
      <c r="O1610" s="16" t="s">
        <v>999</v>
      </c>
      <c r="P1610" s="17" t="s">
        <v>39</v>
      </c>
      <c r="Q1610" s="17" t="s">
        <v>2559</v>
      </c>
      <c r="R1610" s="18">
        <v>0</v>
      </c>
      <c r="S1610" s="19" t="s">
        <v>4776</v>
      </c>
      <c r="T1610" s="17"/>
      <c r="U1610" s="66"/>
      <c r="V1610" s="15" t="s">
        <v>4796</v>
      </c>
    </row>
    <row r="1611" spans="2:22" s="15" customFormat="1" ht="29" x14ac:dyDescent="0.35">
      <c r="B1611" s="64">
        <v>46008</v>
      </c>
      <c r="C1611" s="17">
        <v>1502</v>
      </c>
      <c r="D1611" s="85" t="s">
        <v>4784</v>
      </c>
      <c r="E1611" s="85" t="s">
        <v>4775</v>
      </c>
      <c r="F1611" s="85" t="s">
        <v>1468</v>
      </c>
      <c r="G1611" s="17" t="s">
        <v>4133</v>
      </c>
      <c r="H1611" s="17" t="s">
        <v>1930</v>
      </c>
      <c r="I1611" s="145" t="s">
        <v>39</v>
      </c>
      <c r="J1611" s="17" t="s">
        <v>26</v>
      </c>
      <c r="K1611" s="17" t="s">
        <v>4777</v>
      </c>
      <c r="L1611" s="17" t="s">
        <v>39</v>
      </c>
      <c r="M1611" s="16">
        <v>8123209954</v>
      </c>
      <c r="N1611" s="16">
        <v>869220040810792</v>
      </c>
      <c r="O1611" s="16" t="s">
        <v>39</v>
      </c>
      <c r="P1611" s="17" t="s">
        <v>1520</v>
      </c>
      <c r="Q1611" s="17" t="s">
        <v>2559</v>
      </c>
      <c r="R1611" s="18">
        <v>0</v>
      </c>
      <c r="S1611" s="19" t="s">
        <v>4776</v>
      </c>
      <c r="T1611" s="17"/>
      <c r="U1611" s="66"/>
      <c r="V1611" s="15" t="s">
        <v>4796</v>
      </c>
    </row>
    <row r="1612" spans="2:22" s="15" customFormat="1" ht="29" x14ac:dyDescent="0.35">
      <c r="B1612" s="64">
        <v>46008</v>
      </c>
      <c r="C1612" s="17">
        <v>1503</v>
      </c>
      <c r="D1612" s="85" t="s">
        <v>4785</v>
      </c>
      <c r="E1612" s="85" t="s">
        <v>4775</v>
      </c>
      <c r="F1612" s="85" t="s">
        <v>1468</v>
      </c>
      <c r="G1612" s="17" t="s">
        <v>4133</v>
      </c>
      <c r="H1612" s="17" t="s">
        <v>1930</v>
      </c>
      <c r="I1612" s="145" t="s">
        <v>39</v>
      </c>
      <c r="J1612" s="17" t="s">
        <v>4799</v>
      </c>
      <c r="K1612" s="17" t="s">
        <v>4778</v>
      </c>
      <c r="L1612" s="17" t="s">
        <v>39</v>
      </c>
      <c r="M1612" s="16">
        <v>8117462822</v>
      </c>
      <c r="N1612" s="16">
        <v>869220041534888</v>
      </c>
      <c r="O1612" s="16" t="s">
        <v>4798</v>
      </c>
      <c r="P1612" s="17" t="s">
        <v>4797</v>
      </c>
      <c r="Q1612" s="17" t="s">
        <v>2559</v>
      </c>
      <c r="R1612" s="18">
        <v>0</v>
      </c>
      <c r="S1612" s="19" t="s">
        <v>4776</v>
      </c>
      <c r="T1612" s="17"/>
      <c r="U1612" s="66"/>
      <c r="V1612" s="15" t="s">
        <v>4796</v>
      </c>
    </row>
    <row r="1613" spans="2:22" s="15" customFormat="1" ht="29" x14ac:dyDescent="0.35">
      <c r="B1613" s="64">
        <v>46008</v>
      </c>
      <c r="C1613" s="17">
        <v>1504</v>
      </c>
      <c r="D1613" s="85" t="s">
        <v>4786</v>
      </c>
      <c r="E1613" s="85" t="s">
        <v>4775</v>
      </c>
      <c r="F1613" s="85" t="s">
        <v>1468</v>
      </c>
      <c r="G1613" s="17" t="s">
        <v>4133</v>
      </c>
      <c r="H1613" s="17" t="s">
        <v>1930</v>
      </c>
      <c r="I1613" s="145" t="s">
        <v>39</v>
      </c>
      <c r="J1613" s="17" t="s">
        <v>4310</v>
      </c>
      <c r="K1613" s="17" t="s">
        <v>1771</v>
      </c>
      <c r="L1613" s="17" t="s">
        <v>39</v>
      </c>
      <c r="M1613" s="16">
        <v>8128618152</v>
      </c>
      <c r="N1613" s="16">
        <v>868166057894578</v>
      </c>
      <c r="O1613" s="16" t="s">
        <v>39</v>
      </c>
      <c r="P1613" s="17" t="s">
        <v>1772</v>
      </c>
      <c r="Q1613" s="17" t="s">
        <v>2559</v>
      </c>
      <c r="R1613" s="18">
        <v>0</v>
      </c>
      <c r="S1613" s="19" t="s">
        <v>4776</v>
      </c>
      <c r="T1613" s="17"/>
      <c r="U1613" s="66"/>
      <c r="V1613" s="15" t="s">
        <v>4796</v>
      </c>
    </row>
    <row r="1614" spans="2:22" s="15" customFormat="1" ht="29" x14ac:dyDescent="0.35">
      <c r="B1614" s="64">
        <v>46008</v>
      </c>
      <c r="C1614" s="17">
        <v>1505</v>
      </c>
      <c r="D1614" s="85" t="s">
        <v>4787</v>
      </c>
      <c r="E1614" s="85" t="s">
        <v>4775</v>
      </c>
      <c r="F1614" s="85" t="s">
        <v>1468</v>
      </c>
      <c r="G1614" s="17" t="s">
        <v>4133</v>
      </c>
      <c r="H1614" s="17" t="s">
        <v>1930</v>
      </c>
      <c r="I1614" s="145" t="s">
        <v>39</v>
      </c>
      <c r="J1614" s="17" t="s">
        <v>4804</v>
      </c>
      <c r="K1614" s="17" t="s">
        <v>4779</v>
      </c>
      <c r="L1614" s="17" t="s">
        <v>39</v>
      </c>
      <c r="M1614" s="16">
        <v>8119176079</v>
      </c>
      <c r="N1614" s="16">
        <v>868166058822230</v>
      </c>
      <c r="O1614" s="16" t="s">
        <v>4803</v>
      </c>
      <c r="P1614" s="17" t="s">
        <v>4802</v>
      </c>
      <c r="Q1614" s="17" t="s">
        <v>2559</v>
      </c>
      <c r="R1614" s="18">
        <v>0</v>
      </c>
      <c r="S1614" s="19" t="s">
        <v>4776</v>
      </c>
      <c r="T1614" s="17"/>
      <c r="U1614" s="66"/>
      <c r="V1614" s="15" t="s">
        <v>4796</v>
      </c>
    </row>
    <row r="1615" spans="2:22" s="15" customFormat="1" ht="29" x14ac:dyDescent="0.35">
      <c r="B1615" s="64">
        <v>46008</v>
      </c>
      <c r="C1615" s="17">
        <v>1506</v>
      </c>
      <c r="D1615" s="85" t="s">
        <v>4788</v>
      </c>
      <c r="E1615" s="85" t="s">
        <v>4775</v>
      </c>
      <c r="F1615" s="85" t="s">
        <v>1468</v>
      </c>
      <c r="G1615" s="17" t="s">
        <v>4133</v>
      </c>
      <c r="H1615" s="17" t="s">
        <v>1930</v>
      </c>
      <c r="I1615" s="145" t="s">
        <v>39</v>
      </c>
      <c r="J1615" s="17" t="s">
        <v>24</v>
      </c>
      <c r="K1615" s="17" t="s">
        <v>2308</v>
      </c>
      <c r="L1615" s="17" t="s">
        <v>39</v>
      </c>
      <c r="M1615" s="16">
        <v>8123521940</v>
      </c>
      <c r="N1615" s="16">
        <v>868166059892562</v>
      </c>
      <c r="O1615" s="16" t="s">
        <v>4806</v>
      </c>
      <c r="P1615" s="17" t="s">
        <v>4805</v>
      </c>
      <c r="Q1615" s="17" t="s">
        <v>2559</v>
      </c>
      <c r="R1615" s="18">
        <v>0</v>
      </c>
      <c r="S1615" s="19" t="s">
        <v>4776</v>
      </c>
      <c r="T1615" s="17"/>
      <c r="U1615" s="66"/>
      <c r="V1615" s="15" t="s">
        <v>4796</v>
      </c>
    </row>
    <row r="1616" spans="2:22" s="15" customFormat="1" ht="29" x14ac:dyDescent="0.35">
      <c r="B1616" s="64">
        <v>46008</v>
      </c>
      <c r="C1616" s="17">
        <v>1507</v>
      </c>
      <c r="D1616" s="85" t="s">
        <v>4789</v>
      </c>
      <c r="E1616" s="85" t="s">
        <v>4775</v>
      </c>
      <c r="F1616" s="85" t="s">
        <v>1468</v>
      </c>
      <c r="G1616" s="17" t="s">
        <v>4133</v>
      </c>
      <c r="H1616" s="17" t="s">
        <v>1930</v>
      </c>
      <c r="I1616" s="145" t="s">
        <v>39</v>
      </c>
      <c r="J1616" s="17" t="s">
        <v>26</v>
      </c>
      <c r="K1616" s="17" t="s">
        <v>4780</v>
      </c>
      <c r="L1616" s="17" t="s">
        <v>39</v>
      </c>
      <c r="M1616" s="16">
        <v>8331544294</v>
      </c>
      <c r="N1616" s="16">
        <v>869706060877182</v>
      </c>
      <c r="O1616" s="16" t="s">
        <v>4808</v>
      </c>
      <c r="P1616" s="17" t="s">
        <v>4807</v>
      </c>
      <c r="Q1616" s="17" t="s">
        <v>2559</v>
      </c>
      <c r="R1616" s="18">
        <v>0</v>
      </c>
      <c r="S1616" s="19" t="s">
        <v>4776</v>
      </c>
      <c r="T1616" s="17"/>
      <c r="U1616" s="66"/>
      <c r="V1616" s="15" t="s">
        <v>4796</v>
      </c>
    </row>
    <row r="1617" spans="2:22" s="15" customFormat="1" ht="29" x14ac:dyDescent="0.35">
      <c r="B1617" s="64">
        <v>46008</v>
      </c>
      <c r="C1617" s="17">
        <v>1508</v>
      </c>
      <c r="D1617" s="85" t="s">
        <v>4789</v>
      </c>
      <c r="E1617" s="85" t="s">
        <v>4775</v>
      </c>
      <c r="F1617" s="85" t="s">
        <v>1468</v>
      </c>
      <c r="G1617" s="17" t="s">
        <v>4133</v>
      </c>
      <c r="H1617" s="17" t="s">
        <v>1930</v>
      </c>
      <c r="I1617" s="145" t="s">
        <v>39</v>
      </c>
      <c r="J1617" s="17" t="s">
        <v>4809</v>
      </c>
      <c r="K1617" s="17" t="s">
        <v>4781</v>
      </c>
      <c r="L1617" s="17" t="s">
        <v>39</v>
      </c>
      <c r="M1617" s="16">
        <v>8331543228</v>
      </c>
      <c r="N1617" s="16">
        <v>869220041856596</v>
      </c>
      <c r="O1617" s="16" t="s">
        <v>3237</v>
      </c>
      <c r="P1617" s="17" t="s">
        <v>3238</v>
      </c>
      <c r="Q1617" s="17" t="s">
        <v>2559</v>
      </c>
      <c r="R1617" s="18">
        <v>0</v>
      </c>
      <c r="S1617" s="19" t="s">
        <v>4776</v>
      </c>
      <c r="T1617" s="17"/>
      <c r="U1617" s="66"/>
      <c r="V1617" s="15" t="s">
        <v>4796</v>
      </c>
    </row>
    <row r="1618" spans="2:22" s="15" customFormat="1" ht="29" x14ac:dyDescent="0.35">
      <c r="B1618" s="64">
        <v>46008</v>
      </c>
      <c r="C1618" s="17">
        <v>1509</v>
      </c>
      <c r="D1618" s="85" t="s">
        <v>4790</v>
      </c>
      <c r="E1618" s="85" t="s">
        <v>4775</v>
      </c>
      <c r="F1618" s="85" t="s">
        <v>1468</v>
      </c>
      <c r="G1618" s="17" t="s">
        <v>4133</v>
      </c>
      <c r="H1618" s="17" t="s">
        <v>1930</v>
      </c>
      <c r="I1618" s="145" t="s">
        <v>39</v>
      </c>
      <c r="J1618" s="17" t="s">
        <v>4810</v>
      </c>
      <c r="K1618" s="17" t="s">
        <v>4782</v>
      </c>
      <c r="L1618" s="17" t="s">
        <v>39</v>
      </c>
      <c r="M1618" s="16">
        <v>8332653901</v>
      </c>
      <c r="N1618" s="16">
        <v>869706060882224</v>
      </c>
      <c r="O1618" s="16" t="s">
        <v>39</v>
      </c>
      <c r="P1618" s="17" t="s">
        <v>2460</v>
      </c>
      <c r="Q1618" s="17" t="s">
        <v>2559</v>
      </c>
      <c r="R1618" s="18">
        <v>0</v>
      </c>
      <c r="S1618" s="19" t="s">
        <v>4776</v>
      </c>
      <c r="T1618" s="17"/>
      <c r="U1618" s="66"/>
      <c r="V1618" s="15" t="s">
        <v>4796</v>
      </c>
    </row>
    <row r="1619" spans="2:22" s="15" customFormat="1" ht="29" x14ac:dyDescent="0.35">
      <c r="B1619" s="64">
        <v>46008</v>
      </c>
      <c r="C1619" s="17">
        <v>1510</v>
      </c>
      <c r="D1619" s="85" t="s">
        <v>4791</v>
      </c>
      <c r="E1619" s="85" t="s">
        <v>4775</v>
      </c>
      <c r="F1619" s="85" t="s">
        <v>1468</v>
      </c>
      <c r="G1619" s="17" t="s">
        <v>4133</v>
      </c>
      <c r="H1619" s="17" t="s">
        <v>1930</v>
      </c>
      <c r="I1619" s="145" t="s">
        <v>39</v>
      </c>
      <c r="J1619" s="17" t="s">
        <v>4811</v>
      </c>
      <c r="K1619" s="17" t="s">
        <v>2483</v>
      </c>
      <c r="L1619" s="17" t="s">
        <v>39</v>
      </c>
      <c r="M1619" s="16">
        <v>8332322161</v>
      </c>
      <c r="N1619" s="16">
        <v>869706060878495</v>
      </c>
      <c r="O1619" s="16" t="s">
        <v>2482</v>
      </c>
      <c r="P1619" s="17" t="s">
        <v>39</v>
      </c>
      <c r="Q1619" s="17" t="s">
        <v>2559</v>
      </c>
      <c r="R1619" s="18">
        <v>0</v>
      </c>
      <c r="S1619" s="19" t="s">
        <v>4776</v>
      </c>
      <c r="T1619" s="17"/>
      <c r="U1619" s="66"/>
      <c r="V1619" s="15" t="s">
        <v>4796</v>
      </c>
    </row>
    <row r="1620" spans="2:22" s="15" customFormat="1" ht="29" x14ac:dyDescent="0.35">
      <c r="B1620" s="64">
        <v>46008</v>
      </c>
      <c r="C1620" s="17">
        <v>1511</v>
      </c>
      <c r="D1620" s="85" t="s">
        <v>4792</v>
      </c>
      <c r="E1620" s="85" t="s">
        <v>4775</v>
      </c>
      <c r="F1620" s="85" t="s">
        <v>1468</v>
      </c>
      <c r="G1620" s="17" t="s">
        <v>4133</v>
      </c>
      <c r="H1620" s="17" t="s">
        <v>1930</v>
      </c>
      <c r="I1620" s="145" t="s">
        <v>39</v>
      </c>
      <c r="J1620" s="17" t="s">
        <v>4812</v>
      </c>
      <c r="K1620" s="17" t="s">
        <v>4090</v>
      </c>
      <c r="L1620" s="17" t="s">
        <v>39</v>
      </c>
      <c r="M1620" s="16">
        <v>8119881804</v>
      </c>
      <c r="N1620" s="16">
        <v>864943047600024</v>
      </c>
      <c r="O1620" s="16" t="s">
        <v>39</v>
      </c>
      <c r="P1620" s="17" t="s">
        <v>4093</v>
      </c>
      <c r="Q1620" s="17" t="s">
        <v>2559</v>
      </c>
      <c r="R1620" s="18">
        <v>0</v>
      </c>
      <c r="S1620" s="19" t="s">
        <v>4776</v>
      </c>
      <c r="T1620" s="17"/>
      <c r="U1620" s="66"/>
      <c r="V1620" s="15" t="s">
        <v>4796</v>
      </c>
    </row>
    <row r="1621" spans="2:22" s="15" customFormat="1" ht="29" x14ac:dyDescent="0.35">
      <c r="B1621" s="64">
        <v>46008</v>
      </c>
      <c r="C1621" s="17">
        <v>1512</v>
      </c>
      <c r="D1621" s="85" t="s">
        <v>4793</v>
      </c>
      <c r="E1621" s="85" t="s">
        <v>4775</v>
      </c>
      <c r="F1621" s="85" t="s">
        <v>1468</v>
      </c>
      <c r="G1621" s="17" t="s">
        <v>4133</v>
      </c>
      <c r="H1621" s="17" t="s">
        <v>1930</v>
      </c>
      <c r="I1621" s="145" t="s">
        <v>39</v>
      </c>
      <c r="J1621" s="17" t="s">
        <v>4529</v>
      </c>
      <c r="K1621" s="17" t="s">
        <v>4813</v>
      </c>
      <c r="L1621" s="17" t="s">
        <v>39</v>
      </c>
      <c r="M1621" s="16">
        <v>8110445048</v>
      </c>
      <c r="N1621" s="16">
        <v>864943048871814</v>
      </c>
      <c r="O1621" s="16" t="s">
        <v>39</v>
      </c>
      <c r="P1621" s="17" t="s">
        <v>4530</v>
      </c>
      <c r="Q1621" s="17" t="s">
        <v>2559</v>
      </c>
      <c r="R1621" s="18">
        <v>0</v>
      </c>
      <c r="S1621" s="19" t="s">
        <v>4776</v>
      </c>
      <c r="T1621" s="17"/>
      <c r="U1621" s="66"/>
      <c r="V1621" s="15" t="s">
        <v>4796</v>
      </c>
    </row>
    <row r="1622" spans="2:22" s="15" customFormat="1" ht="29" x14ac:dyDescent="0.35">
      <c r="B1622" s="64">
        <v>46009</v>
      </c>
      <c r="C1622" s="17">
        <v>1513</v>
      </c>
      <c r="D1622" s="85">
        <v>892</v>
      </c>
      <c r="E1622" s="85" t="s">
        <v>4768</v>
      </c>
      <c r="F1622" s="85" t="s">
        <v>13</v>
      </c>
      <c r="G1622" s="17" t="s">
        <v>1805</v>
      </c>
      <c r="H1622" s="14" t="s">
        <v>4698</v>
      </c>
      <c r="I1622" s="145" t="s">
        <v>3579</v>
      </c>
      <c r="J1622" s="17" t="s">
        <v>4814</v>
      </c>
      <c r="K1622" s="17" t="s">
        <v>4815</v>
      </c>
      <c r="L1622" s="17" t="s">
        <v>4660</v>
      </c>
      <c r="M1622" s="16">
        <v>8184584402</v>
      </c>
      <c r="N1622" s="16">
        <v>862667089267713</v>
      </c>
      <c r="O1622" s="16" t="s">
        <v>39</v>
      </c>
      <c r="P1622" s="17" t="s">
        <v>4816</v>
      </c>
      <c r="Q1622" s="17" t="s">
        <v>8</v>
      </c>
      <c r="R1622" s="18">
        <v>1999.84</v>
      </c>
      <c r="S1622" s="19">
        <v>174</v>
      </c>
      <c r="T1622" s="17"/>
      <c r="U1622" s="66"/>
    </row>
    <row r="1623" spans="2:22" s="15" customFormat="1" ht="29" x14ac:dyDescent="0.35">
      <c r="B1623" s="64">
        <v>46014</v>
      </c>
      <c r="C1623" s="17">
        <v>1514</v>
      </c>
      <c r="D1623" s="85">
        <v>893</v>
      </c>
      <c r="E1623" s="85" t="s">
        <v>4817</v>
      </c>
      <c r="F1623" s="85" t="s">
        <v>13</v>
      </c>
      <c r="G1623" s="17" t="s">
        <v>1805</v>
      </c>
      <c r="H1623" s="14" t="s">
        <v>4698</v>
      </c>
      <c r="I1623" s="145" t="s">
        <v>3579</v>
      </c>
      <c r="J1623" s="17" t="s">
        <v>4818</v>
      </c>
      <c r="K1623" s="17" t="s">
        <v>4819</v>
      </c>
      <c r="L1623" s="17" t="s">
        <v>4660</v>
      </c>
      <c r="M1623" s="16" t="s">
        <v>39</v>
      </c>
      <c r="N1623" s="16">
        <v>862667089258464</v>
      </c>
      <c r="O1623" s="16" t="s">
        <v>39</v>
      </c>
      <c r="P1623" s="17" t="s">
        <v>4820</v>
      </c>
      <c r="Q1623" s="17" t="s">
        <v>8</v>
      </c>
      <c r="R1623" s="18">
        <v>1999.84</v>
      </c>
      <c r="S1623" s="19">
        <v>174</v>
      </c>
      <c r="T1623" s="17"/>
      <c r="U1623" s="66"/>
    </row>
    <row r="1624" spans="2:22" s="15" customFormat="1" ht="29" x14ac:dyDescent="0.35">
      <c r="B1624" s="64">
        <v>46014</v>
      </c>
      <c r="C1624" s="17">
        <v>1515</v>
      </c>
      <c r="D1624" s="85">
        <v>894</v>
      </c>
      <c r="E1624" s="85" t="s">
        <v>4817</v>
      </c>
      <c r="F1624" s="85" t="s">
        <v>13</v>
      </c>
      <c r="G1624" s="17" t="s">
        <v>1805</v>
      </c>
      <c r="H1624" s="17" t="s">
        <v>4755</v>
      </c>
      <c r="I1624" s="145" t="s">
        <v>3579</v>
      </c>
      <c r="J1624" s="17" t="s">
        <v>24</v>
      </c>
      <c r="K1624" s="17" t="s">
        <v>4821</v>
      </c>
      <c r="L1624" s="17" t="s">
        <v>4660</v>
      </c>
      <c r="M1624" s="16" t="s">
        <v>39</v>
      </c>
      <c r="N1624" s="16">
        <v>862667089247194</v>
      </c>
      <c r="O1624" s="16" t="s">
        <v>4822</v>
      </c>
      <c r="P1624" s="17" t="s">
        <v>4823</v>
      </c>
      <c r="Q1624" s="17" t="s">
        <v>8</v>
      </c>
      <c r="R1624" s="18">
        <v>1999.84</v>
      </c>
      <c r="S1624" s="19">
        <v>174</v>
      </c>
      <c r="T1624" s="17"/>
      <c r="U1624" s="66"/>
    </row>
    <row r="1625" spans="2:22" s="15" customFormat="1" ht="43.5" x14ac:dyDescent="0.35">
      <c r="B1625" s="64">
        <v>46020</v>
      </c>
      <c r="C1625" s="17">
        <v>1516</v>
      </c>
      <c r="D1625" s="85">
        <v>895</v>
      </c>
      <c r="E1625" s="85" t="s">
        <v>4824</v>
      </c>
      <c r="F1625" s="85" t="s">
        <v>13</v>
      </c>
      <c r="G1625" s="17" t="s">
        <v>1805</v>
      </c>
      <c r="H1625" s="17" t="s">
        <v>2413</v>
      </c>
      <c r="I1625" s="145" t="s">
        <v>3579</v>
      </c>
      <c r="J1625" s="17" t="s">
        <v>4825</v>
      </c>
      <c r="K1625" s="17" t="s">
        <v>4826</v>
      </c>
      <c r="L1625" s="17" t="s">
        <v>965</v>
      </c>
      <c r="M1625" s="16">
        <v>8126040220</v>
      </c>
      <c r="N1625" s="16">
        <v>862667089231628</v>
      </c>
      <c r="O1625" s="16" t="s">
        <v>4828</v>
      </c>
      <c r="P1625" s="17" t="s">
        <v>4827</v>
      </c>
      <c r="Q1625" s="17" t="s">
        <v>8</v>
      </c>
      <c r="R1625" s="18">
        <v>1999.84</v>
      </c>
      <c r="S1625" s="19">
        <v>174</v>
      </c>
      <c r="T1625" s="17"/>
      <c r="U1625" s="66"/>
    </row>
    <row r="1626" spans="2:22" s="15" customFormat="1" ht="29" x14ac:dyDescent="0.35">
      <c r="B1626" s="64">
        <v>46027</v>
      </c>
      <c r="C1626" s="17">
        <v>1517</v>
      </c>
      <c r="D1626" s="85">
        <v>896</v>
      </c>
      <c r="E1626" s="85" t="s">
        <v>4833</v>
      </c>
      <c r="F1626" s="85" t="s">
        <v>13</v>
      </c>
      <c r="G1626" s="17" t="s">
        <v>1805</v>
      </c>
      <c r="H1626" s="14" t="s">
        <v>4698</v>
      </c>
      <c r="I1626" s="145" t="s">
        <v>3579</v>
      </c>
      <c r="J1626" s="17" t="s">
        <v>4829</v>
      </c>
      <c r="K1626" s="17" t="s">
        <v>4830</v>
      </c>
      <c r="L1626" s="17" t="s">
        <v>965</v>
      </c>
      <c r="M1626" s="16">
        <v>8182069186</v>
      </c>
      <c r="N1626" s="16">
        <v>862667089364544</v>
      </c>
      <c r="O1626" s="16" t="s">
        <v>39</v>
      </c>
      <c r="P1626" s="17" t="s">
        <v>4831</v>
      </c>
      <c r="Q1626" s="17" t="s">
        <v>8</v>
      </c>
      <c r="R1626" s="18">
        <v>1999.84</v>
      </c>
      <c r="S1626" s="19">
        <v>174</v>
      </c>
      <c r="T1626" s="17"/>
      <c r="U1626" s="66"/>
    </row>
    <row r="1627" spans="2:22" s="15" customFormat="1" ht="29" x14ac:dyDescent="0.35">
      <c r="B1627" s="64">
        <v>46031</v>
      </c>
      <c r="C1627" s="17">
        <v>1518</v>
      </c>
      <c r="D1627" s="85">
        <v>897</v>
      </c>
      <c r="E1627" s="85" t="s">
        <v>4832</v>
      </c>
      <c r="F1627" s="85" t="s">
        <v>13</v>
      </c>
      <c r="G1627" s="17" t="s">
        <v>1805</v>
      </c>
      <c r="H1627" s="17" t="s">
        <v>4836</v>
      </c>
      <c r="I1627" s="145" t="s">
        <v>3579</v>
      </c>
      <c r="J1627" s="17" t="s">
        <v>4837</v>
      </c>
      <c r="K1627" s="17" t="s">
        <v>4834</v>
      </c>
      <c r="L1627" s="17" t="s">
        <v>965</v>
      </c>
      <c r="M1627" s="16" t="s">
        <v>39</v>
      </c>
      <c r="N1627" s="16" t="s">
        <v>39</v>
      </c>
      <c r="O1627" s="16" t="s">
        <v>39</v>
      </c>
      <c r="P1627" s="17" t="s">
        <v>39</v>
      </c>
      <c r="Q1627" s="17" t="s">
        <v>8</v>
      </c>
      <c r="R1627" s="18">
        <v>1999.84</v>
      </c>
      <c r="S1627" s="19">
        <v>174</v>
      </c>
      <c r="T1627" s="17"/>
      <c r="U1627" s="66"/>
    </row>
    <row r="1628" spans="2:22" s="15" customFormat="1" ht="43.5" x14ac:dyDescent="0.35">
      <c r="B1628" s="64">
        <v>46031</v>
      </c>
      <c r="C1628" s="17">
        <v>1519</v>
      </c>
      <c r="D1628" s="85">
        <v>898</v>
      </c>
      <c r="E1628" s="85" t="s">
        <v>4832</v>
      </c>
      <c r="F1628" s="85" t="s">
        <v>13</v>
      </c>
      <c r="G1628" s="17" t="s">
        <v>1805</v>
      </c>
      <c r="H1628" s="17" t="s">
        <v>2413</v>
      </c>
      <c r="I1628" s="145" t="s">
        <v>3579</v>
      </c>
      <c r="J1628" s="17" t="s">
        <v>4839</v>
      </c>
      <c r="K1628" s="17" t="s">
        <v>4835</v>
      </c>
      <c r="L1628" s="17" t="s">
        <v>4660</v>
      </c>
      <c r="M1628" s="16">
        <v>8182084078</v>
      </c>
      <c r="N1628" s="16">
        <v>862667089264629</v>
      </c>
      <c r="O1628" s="16" t="s">
        <v>4840</v>
      </c>
      <c r="P1628" s="17" t="s">
        <v>39</v>
      </c>
      <c r="Q1628" s="17" t="s">
        <v>8</v>
      </c>
      <c r="R1628" s="18">
        <v>1999.84</v>
      </c>
      <c r="S1628" s="19">
        <v>174</v>
      </c>
      <c r="T1628" s="17"/>
      <c r="U1628" s="66"/>
    </row>
    <row r="1629" spans="2:22" s="15" customFormat="1" ht="29" x14ac:dyDescent="0.35">
      <c r="B1629" s="64">
        <v>46031</v>
      </c>
      <c r="C1629" s="17">
        <v>1520</v>
      </c>
      <c r="D1629" s="85">
        <v>899</v>
      </c>
      <c r="E1629" s="85" t="s">
        <v>4832</v>
      </c>
      <c r="F1629" s="85" t="s">
        <v>13</v>
      </c>
      <c r="G1629" s="17" t="s">
        <v>1805</v>
      </c>
      <c r="H1629" s="14" t="s">
        <v>4698</v>
      </c>
      <c r="I1629" s="145" t="s">
        <v>3579</v>
      </c>
      <c r="J1629" s="17" t="s">
        <v>4838</v>
      </c>
      <c r="K1629" s="17" t="s">
        <v>4841</v>
      </c>
      <c r="L1629" s="17" t="s">
        <v>965</v>
      </c>
      <c r="M1629" s="16">
        <v>8182082152</v>
      </c>
      <c r="N1629" s="16">
        <v>862667089263159</v>
      </c>
      <c r="O1629" s="16" t="s">
        <v>39</v>
      </c>
      <c r="P1629" s="17" t="s">
        <v>39</v>
      </c>
      <c r="Q1629" s="17" t="s">
        <v>8</v>
      </c>
      <c r="R1629" s="18">
        <v>1999.84</v>
      </c>
      <c r="S1629" s="19">
        <v>174</v>
      </c>
      <c r="T1629" s="17"/>
      <c r="U1629" s="66"/>
    </row>
    <row r="1630" spans="2:22" s="15" customFormat="1" ht="29" x14ac:dyDescent="0.35">
      <c r="B1630" s="64">
        <v>46034</v>
      </c>
      <c r="C1630" s="17">
        <v>1521</v>
      </c>
      <c r="D1630" s="85">
        <v>900</v>
      </c>
      <c r="E1630" s="85" t="s">
        <v>4842</v>
      </c>
      <c r="F1630" s="85" t="s">
        <v>13</v>
      </c>
      <c r="G1630" s="17" t="s">
        <v>1805</v>
      </c>
      <c r="H1630" s="14" t="s">
        <v>1744</v>
      </c>
      <c r="I1630" s="145" t="s">
        <v>3579</v>
      </c>
      <c r="J1630" s="17" t="s">
        <v>4843</v>
      </c>
      <c r="K1630" s="17" t="s">
        <v>4844</v>
      </c>
      <c r="L1630" s="17" t="s">
        <v>4660</v>
      </c>
      <c r="M1630" s="16">
        <v>8182087756</v>
      </c>
      <c r="N1630" s="16">
        <v>862667089297363</v>
      </c>
      <c r="O1630" s="16" t="s">
        <v>39</v>
      </c>
      <c r="P1630" s="17" t="s">
        <v>4845</v>
      </c>
      <c r="Q1630" s="17" t="s">
        <v>8</v>
      </c>
      <c r="R1630" s="18">
        <v>1999.84</v>
      </c>
      <c r="S1630" s="19">
        <v>174</v>
      </c>
      <c r="T1630" s="17"/>
      <c r="U1630" s="66"/>
    </row>
    <row r="1631" spans="2:22" s="15" customFormat="1" ht="29" x14ac:dyDescent="0.35">
      <c r="B1631" s="64">
        <v>46036</v>
      </c>
      <c r="C1631" s="17">
        <v>1522</v>
      </c>
      <c r="D1631" s="85">
        <v>901</v>
      </c>
      <c r="E1631" s="85" t="s">
        <v>4846</v>
      </c>
      <c r="F1631" s="85" t="s">
        <v>13</v>
      </c>
      <c r="G1631" s="17" t="s">
        <v>1805</v>
      </c>
      <c r="H1631" s="14" t="s">
        <v>1744</v>
      </c>
      <c r="I1631" s="145" t="s">
        <v>3579</v>
      </c>
      <c r="J1631" s="17" t="s">
        <v>4847</v>
      </c>
      <c r="K1631" s="17" t="s">
        <v>4848</v>
      </c>
      <c r="L1631" s="17" t="s">
        <v>965</v>
      </c>
      <c r="M1631" s="16">
        <v>8116008877</v>
      </c>
      <c r="N1631" s="16">
        <v>862667089264181</v>
      </c>
      <c r="O1631" s="16" t="s">
        <v>39</v>
      </c>
      <c r="P1631" s="17" t="s">
        <v>4849</v>
      </c>
      <c r="Q1631" s="17" t="s">
        <v>8</v>
      </c>
      <c r="R1631" s="18">
        <v>1999.84</v>
      </c>
      <c r="S1631" s="19">
        <v>174</v>
      </c>
      <c r="T1631" s="17"/>
      <c r="U1631" s="66"/>
    </row>
    <row r="1632" spans="2:22" s="15" customFormat="1" ht="29" x14ac:dyDescent="0.35">
      <c r="B1632" s="64">
        <v>46037</v>
      </c>
      <c r="C1632" s="17">
        <v>1523</v>
      </c>
      <c r="D1632" s="85">
        <v>902</v>
      </c>
      <c r="E1632" s="85" t="s">
        <v>4850</v>
      </c>
      <c r="F1632" s="85" t="s">
        <v>13</v>
      </c>
      <c r="G1632" s="17" t="s">
        <v>1805</v>
      </c>
      <c r="H1632" s="14" t="s">
        <v>1744</v>
      </c>
      <c r="I1632" s="145" t="s">
        <v>3579</v>
      </c>
      <c r="J1632" s="17" t="s">
        <v>4851</v>
      </c>
      <c r="K1632" s="17" t="s">
        <v>4853</v>
      </c>
      <c r="L1632" s="17" t="s">
        <v>4660</v>
      </c>
      <c r="M1632" s="16">
        <v>8117786041</v>
      </c>
      <c r="N1632" s="16">
        <v>862667089286192</v>
      </c>
      <c r="O1632" s="16" t="s">
        <v>39</v>
      </c>
      <c r="P1632" s="17" t="s">
        <v>4854</v>
      </c>
      <c r="Q1632" s="17" t="s">
        <v>8</v>
      </c>
      <c r="R1632" s="18">
        <v>1999.84</v>
      </c>
      <c r="S1632" s="19">
        <v>174</v>
      </c>
      <c r="T1632" s="17"/>
      <c r="U1632" s="66"/>
    </row>
    <row r="1633" spans="2:21" s="15" customFormat="1" ht="29" x14ac:dyDescent="0.35">
      <c r="B1633" s="64">
        <v>46037</v>
      </c>
      <c r="C1633" s="17">
        <v>1524</v>
      </c>
      <c r="D1633" s="85">
        <v>903</v>
      </c>
      <c r="E1633" s="85" t="s">
        <v>4850</v>
      </c>
      <c r="F1633" s="85" t="s">
        <v>13</v>
      </c>
      <c r="G1633" s="17" t="s">
        <v>1805</v>
      </c>
      <c r="H1633" s="14" t="s">
        <v>1744</v>
      </c>
      <c r="I1633" s="145" t="s">
        <v>3579</v>
      </c>
      <c r="J1633" s="17" t="s">
        <v>4852</v>
      </c>
      <c r="K1633" s="17" t="s">
        <v>4855</v>
      </c>
      <c r="L1633" s="17" t="s">
        <v>4660</v>
      </c>
      <c r="M1633" s="16">
        <v>8117787176</v>
      </c>
      <c r="N1633" s="16">
        <v>862667089285780</v>
      </c>
      <c r="O1633" s="16" t="s">
        <v>39</v>
      </c>
      <c r="P1633" s="17" t="s">
        <v>4856</v>
      </c>
      <c r="Q1633" s="17" t="s">
        <v>8</v>
      </c>
      <c r="R1633" s="18">
        <v>1999.84</v>
      </c>
      <c r="S1633" s="19">
        <v>174</v>
      </c>
      <c r="T1633" s="17"/>
      <c r="U1633" s="66"/>
    </row>
    <row r="1634" spans="2:21" s="15" customFormat="1" ht="31.5" customHeight="1" x14ac:dyDescent="0.35">
      <c r="B1634" s="64">
        <v>46045</v>
      </c>
      <c r="C1634" s="17">
        <v>1525</v>
      </c>
      <c r="D1634" s="85">
        <v>904</v>
      </c>
      <c r="E1634" s="85" t="s">
        <v>4857</v>
      </c>
      <c r="F1634" s="85" t="s">
        <v>13</v>
      </c>
      <c r="G1634" s="17" t="s">
        <v>1805</v>
      </c>
      <c r="H1634" s="14" t="s">
        <v>1744</v>
      </c>
      <c r="I1634" s="145" t="s">
        <v>3579</v>
      </c>
      <c r="J1634" s="17" t="s">
        <v>4858</v>
      </c>
      <c r="K1634" s="17" t="s">
        <v>4859</v>
      </c>
      <c r="L1634" s="17" t="s">
        <v>39</v>
      </c>
      <c r="M1634" s="16">
        <v>8182087312</v>
      </c>
      <c r="N1634" s="16">
        <v>862667089323193</v>
      </c>
      <c r="O1634" s="16" t="s">
        <v>39</v>
      </c>
      <c r="P1634" s="17" t="s">
        <v>4883</v>
      </c>
      <c r="Q1634" s="17" t="s">
        <v>8</v>
      </c>
      <c r="R1634" s="18">
        <v>1999.84</v>
      </c>
      <c r="S1634" s="19">
        <v>174</v>
      </c>
      <c r="T1634" s="17"/>
      <c r="U1634" s="66"/>
    </row>
    <row r="1635" spans="2:21" s="15" customFormat="1" ht="31.5" customHeight="1" x14ac:dyDescent="0.35">
      <c r="B1635" s="64">
        <v>46050</v>
      </c>
      <c r="C1635" s="17">
        <v>1526</v>
      </c>
      <c r="D1635" s="85">
        <v>905</v>
      </c>
      <c r="E1635" s="85" t="s">
        <v>4872</v>
      </c>
      <c r="F1635" s="85" t="s">
        <v>13</v>
      </c>
      <c r="G1635" s="17" t="s">
        <v>1805</v>
      </c>
      <c r="H1635" s="17"/>
      <c r="I1635" s="145" t="s">
        <v>3579</v>
      </c>
      <c r="J1635" s="17"/>
      <c r="K1635" s="17" t="s">
        <v>4871</v>
      </c>
      <c r="L1635" s="17" t="s">
        <v>39</v>
      </c>
      <c r="M1635" s="16">
        <v>8118017867</v>
      </c>
      <c r="N1635" s="16">
        <v>862667089393774</v>
      </c>
      <c r="O1635" s="16" t="s">
        <v>39</v>
      </c>
      <c r="P1635" s="17" t="s">
        <v>4884</v>
      </c>
      <c r="Q1635" s="17" t="s">
        <v>8</v>
      </c>
      <c r="R1635" s="18">
        <v>1999.84</v>
      </c>
      <c r="S1635" s="19">
        <v>174</v>
      </c>
      <c r="T1635" s="17"/>
      <c r="U1635" s="66"/>
    </row>
    <row r="1636" spans="2:21" s="15" customFormat="1" ht="29" x14ac:dyDescent="0.35">
      <c r="B1636" s="64">
        <v>46058</v>
      </c>
      <c r="C1636" s="17">
        <v>1526</v>
      </c>
      <c r="D1636" s="85" t="s">
        <v>39</v>
      </c>
      <c r="E1636" s="85" t="s">
        <v>40</v>
      </c>
      <c r="F1636" s="85" t="s">
        <v>40</v>
      </c>
      <c r="G1636" s="17" t="s">
        <v>1805</v>
      </c>
      <c r="H1636" s="17" t="s">
        <v>4862</v>
      </c>
      <c r="I1636" s="145" t="s">
        <v>3579</v>
      </c>
      <c r="J1636" s="17" t="s">
        <v>4861</v>
      </c>
      <c r="K1636" s="17" t="s">
        <v>4860</v>
      </c>
      <c r="L1636" s="17" t="s">
        <v>965</v>
      </c>
      <c r="M1636" s="16" t="s">
        <v>39</v>
      </c>
      <c r="N1636" s="16" t="s">
        <v>39</v>
      </c>
      <c r="O1636" s="16" t="s">
        <v>39</v>
      </c>
      <c r="P1636" s="17" t="s">
        <v>39</v>
      </c>
      <c r="Q1636" s="17" t="s">
        <v>4863</v>
      </c>
      <c r="R1636" s="18">
        <v>250</v>
      </c>
      <c r="S1636" s="19"/>
      <c r="T1636" s="17"/>
      <c r="U1636" s="66"/>
    </row>
    <row r="1637" spans="2:21" s="15" customFormat="1" ht="29" x14ac:dyDescent="0.35">
      <c r="B1637" s="64">
        <v>46058</v>
      </c>
      <c r="C1637" s="17">
        <v>1527</v>
      </c>
      <c r="D1637" s="85">
        <v>906</v>
      </c>
      <c r="E1637" s="85" t="s">
        <v>4864</v>
      </c>
      <c r="F1637" s="85" t="s">
        <v>13</v>
      </c>
      <c r="G1637" s="17" t="s">
        <v>1805</v>
      </c>
      <c r="H1637" s="14" t="s">
        <v>1744</v>
      </c>
      <c r="I1637" s="145" t="s">
        <v>3579</v>
      </c>
      <c r="J1637" s="17" t="s">
        <v>4869</v>
      </c>
      <c r="K1637" s="17" t="s">
        <v>4873</v>
      </c>
      <c r="L1637" s="17" t="s">
        <v>965</v>
      </c>
      <c r="M1637" s="16">
        <v>8110440890</v>
      </c>
      <c r="N1637" s="16">
        <v>862667089210382</v>
      </c>
      <c r="O1637" s="16" t="s">
        <v>39</v>
      </c>
      <c r="P1637" s="17" t="s">
        <v>4870</v>
      </c>
      <c r="Q1637" s="17" t="s">
        <v>8</v>
      </c>
      <c r="R1637" s="18">
        <v>1999.84</v>
      </c>
      <c r="S1637" s="19">
        <v>174</v>
      </c>
      <c r="T1637" s="17"/>
      <c r="U1637" s="66"/>
    </row>
    <row r="1638" spans="2:21" s="15" customFormat="1" ht="29" x14ac:dyDescent="0.35">
      <c r="B1638" s="64">
        <v>46058</v>
      </c>
      <c r="C1638" s="17">
        <v>1528</v>
      </c>
      <c r="D1638" s="85">
        <v>907</v>
      </c>
      <c r="E1638" s="85" t="s">
        <v>4864</v>
      </c>
      <c r="F1638" s="85" t="s">
        <v>13</v>
      </c>
      <c r="G1638" s="17" t="s">
        <v>1805</v>
      </c>
      <c r="H1638" s="17" t="s">
        <v>4865</v>
      </c>
      <c r="I1638" s="145" t="s">
        <v>3579</v>
      </c>
      <c r="J1638" s="17" t="s">
        <v>4866</v>
      </c>
      <c r="K1638" s="17" t="s">
        <v>4874</v>
      </c>
      <c r="L1638" s="17" t="s">
        <v>965</v>
      </c>
      <c r="M1638" s="16" t="s">
        <v>39</v>
      </c>
      <c r="N1638" s="16">
        <v>862667089234325</v>
      </c>
      <c r="O1638" s="16" t="s">
        <v>4881</v>
      </c>
      <c r="P1638" s="17" t="s">
        <v>4882</v>
      </c>
      <c r="Q1638" s="17" t="s">
        <v>8</v>
      </c>
      <c r="R1638" s="18">
        <v>1999.84</v>
      </c>
      <c r="S1638" s="19">
        <v>174</v>
      </c>
      <c r="T1638" s="17"/>
      <c r="U1638" s="66"/>
    </row>
    <row r="1639" spans="2:21" s="15" customFormat="1" ht="29" x14ac:dyDescent="0.35">
      <c r="B1639" s="64">
        <v>46059</v>
      </c>
      <c r="C1639" s="17">
        <v>1529</v>
      </c>
      <c r="D1639" s="85">
        <v>908</v>
      </c>
      <c r="E1639" s="85" t="s">
        <v>4876</v>
      </c>
      <c r="F1639" s="85" t="s">
        <v>13</v>
      </c>
      <c r="G1639" s="17" t="s">
        <v>1805</v>
      </c>
      <c r="H1639" s="17" t="s">
        <v>4867</v>
      </c>
      <c r="I1639" s="145" t="s">
        <v>3579</v>
      </c>
      <c r="J1639" s="17" t="s">
        <v>4868</v>
      </c>
      <c r="K1639" s="17" t="s">
        <v>4875</v>
      </c>
      <c r="L1639" s="17" t="s">
        <v>965</v>
      </c>
      <c r="M1639" s="16">
        <v>8118016473</v>
      </c>
      <c r="N1639" s="16">
        <v>862667089199445</v>
      </c>
      <c r="O1639" s="16" t="s">
        <v>4880</v>
      </c>
      <c r="P1639" s="17" t="s">
        <v>4879</v>
      </c>
      <c r="Q1639" s="17" t="s">
        <v>8</v>
      </c>
      <c r="R1639" s="18">
        <v>1999.84</v>
      </c>
      <c r="S1639" s="19">
        <v>174</v>
      </c>
      <c r="T1639" s="17"/>
      <c r="U1639" s="66"/>
    </row>
    <row r="1640" spans="2:21" s="15" customFormat="1" ht="29" x14ac:dyDescent="0.35">
      <c r="B1640" s="64">
        <v>46059</v>
      </c>
      <c r="C1640" s="17">
        <v>1530</v>
      </c>
      <c r="D1640" s="85">
        <v>909</v>
      </c>
      <c r="E1640" s="85" t="s">
        <v>4876</v>
      </c>
      <c r="F1640" s="85" t="s">
        <v>13</v>
      </c>
      <c r="G1640" s="17" t="s">
        <v>1805</v>
      </c>
      <c r="H1640" s="17" t="s">
        <v>4877</v>
      </c>
      <c r="I1640" s="145" t="s">
        <v>3579</v>
      </c>
      <c r="J1640" s="17" t="s">
        <v>4861</v>
      </c>
      <c r="K1640" s="17" t="s">
        <v>4878</v>
      </c>
      <c r="L1640" s="17" t="s">
        <v>4660</v>
      </c>
      <c r="M1640" s="16" t="s">
        <v>39</v>
      </c>
      <c r="N1640" s="16" t="s">
        <v>39</v>
      </c>
      <c r="O1640" s="16" t="s">
        <v>39</v>
      </c>
      <c r="P1640" s="17" t="s">
        <v>39</v>
      </c>
      <c r="Q1640" s="17" t="s">
        <v>8</v>
      </c>
      <c r="R1640" s="18">
        <v>1999.84</v>
      </c>
      <c r="S1640" s="19">
        <v>174</v>
      </c>
      <c r="T1640" s="17"/>
      <c r="U1640" s="66"/>
    </row>
    <row r="1641" spans="2:21" s="15" customFormat="1" ht="29" x14ac:dyDescent="0.35">
      <c r="B1641" s="64">
        <v>46059</v>
      </c>
      <c r="C1641" s="17">
        <v>1531</v>
      </c>
      <c r="D1641" s="85">
        <v>910</v>
      </c>
      <c r="E1641" s="85" t="s">
        <v>4876</v>
      </c>
      <c r="F1641" s="85" t="s">
        <v>13</v>
      </c>
      <c r="G1641" s="17" t="s">
        <v>1805</v>
      </c>
      <c r="H1641" s="17"/>
      <c r="I1641" s="145" t="s">
        <v>3579</v>
      </c>
      <c r="J1641" s="17"/>
      <c r="K1641" s="17" t="s">
        <v>4886</v>
      </c>
      <c r="L1641" s="17" t="s">
        <v>4660</v>
      </c>
      <c r="M1641" s="16" t="s">
        <v>39</v>
      </c>
      <c r="N1641" s="16" t="s">
        <v>39</v>
      </c>
      <c r="O1641" s="16" t="s">
        <v>39</v>
      </c>
      <c r="P1641" s="17" t="s">
        <v>39</v>
      </c>
      <c r="Q1641" s="17" t="s">
        <v>8</v>
      </c>
      <c r="R1641" s="18">
        <v>1999.84</v>
      </c>
      <c r="S1641" s="19">
        <v>174</v>
      </c>
      <c r="T1641" s="17"/>
      <c r="U1641" s="66"/>
    </row>
    <row r="1642" spans="2:21" s="15" customFormat="1" ht="29" x14ac:dyDescent="0.35">
      <c r="B1642" s="64">
        <v>46059</v>
      </c>
      <c r="C1642" s="17">
        <v>1532</v>
      </c>
      <c r="D1642" s="85">
        <v>911</v>
      </c>
      <c r="E1642" s="85" t="s">
        <v>4876</v>
      </c>
      <c r="F1642" s="85" t="s">
        <v>13</v>
      </c>
      <c r="G1642" s="17" t="s">
        <v>1805</v>
      </c>
      <c r="H1642" s="17"/>
      <c r="I1642" s="145" t="s">
        <v>3579</v>
      </c>
      <c r="J1642" s="17"/>
      <c r="K1642" s="17" t="s">
        <v>4887</v>
      </c>
      <c r="L1642" s="17" t="s">
        <v>4660</v>
      </c>
      <c r="M1642" s="16" t="s">
        <v>39</v>
      </c>
      <c r="N1642" s="16" t="s">
        <v>39</v>
      </c>
      <c r="O1642" s="16" t="s">
        <v>39</v>
      </c>
      <c r="P1642" s="17" t="s">
        <v>39</v>
      </c>
      <c r="Q1642" s="17" t="s">
        <v>8</v>
      </c>
      <c r="R1642" s="18">
        <v>1999.84</v>
      </c>
      <c r="S1642" s="19">
        <v>174</v>
      </c>
      <c r="T1642" s="17"/>
      <c r="U1642" s="66"/>
    </row>
    <row r="1643" spans="2:21" s="15" customFormat="1" ht="29" x14ac:dyDescent="0.35">
      <c r="B1643" s="64">
        <v>46060</v>
      </c>
      <c r="C1643" s="17">
        <v>1533</v>
      </c>
      <c r="D1643" s="85">
        <v>912</v>
      </c>
      <c r="E1643" s="85" t="s">
        <v>4885</v>
      </c>
      <c r="F1643" s="85" t="s">
        <v>13</v>
      </c>
      <c r="G1643" s="17" t="s">
        <v>1805</v>
      </c>
      <c r="H1643" s="17" t="s">
        <v>4890</v>
      </c>
      <c r="I1643" s="145" t="s">
        <v>3579</v>
      </c>
      <c r="J1643" s="17" t="s">
        <v>4889</v>
      </c>
      <c r="K1643" s="17" t="s">
        <v>4888</v>
      </c>
      <c r="L1643" s="17" t="s">
        <v>4660</v>
      </c>
      <c r="M1643" s="16" t="s">
        <v>39</v>
      </c>
      <c r="N1643" s="16" t="s">
        <v>39</v>
      </c>
      <c r="O1643" s="16" t="s">
        <v>39</v>
      </c>
      <c r="P1643" s="17" t="s">
        <v>39</v>
      </c>
      <c r="Q1643" s="17" t="s">
        <v>8</v>
      </c>
      <c r="R1643" s="18">
        <v>1999.84</v>
      </c>
      <c r="S1643" s="19">
        <v>174</v>
      </c>
      <c r="T1643" s="17"/>
      <c r="U1643" s="66"/>
    </row>
    <row r="1644" spans="2:21" s="15" customFormat="1" ht="29" x14ac:dyDescent="0.35">
      <c r="B1644" s="64">
        <v>46065</v>
      </c>
      <c r="C1644" s="17">
        <v>1534</v>
      </c>
      <c r="D1644" s="85">
        <v>913</v>
      </c>
      <c r="E1644" s="85" t="s">
        <v>4891</v>
      </c>
      <c r="F1644" s="85" t="s">
        <v>13</v>
      </c>
      <c r="G1644" s="17" t="s">
        <v>1805</v>
      </c>
      <c r="H1644" s="14" t="s">
        <v>1744</v>
      </c>
      <c r="I1644" s="145" t="s">
        <v>3579</v>
      </c>
      <c r="J1644" s="17" t="s">
        <v>4892</v>
      </c>
      <c r="K1644" s="17" t="s">
        <v>4893</v>
      </c>
      <c r="L1644" s="17" t="s">
        <v>39</v>
      </c>
      <c r="M1644" s="16" t="s">
        <v>39</v>
      </c>
      <c r="N1644" s="16" t="s">
        <v>39</v>
      </c>
      <c r="O1644" s="16" t="s">
        <v>39</v>
      </c>
      <c r="P1644" s="17" t="s">
        <v>39</v>
      </c>
      <c r="Q1644" s="17" t="s">
        <v>8</v>
      </c>
      <c r="R1644" s="18">
        <v>1999.84</v>
      </c>
      <c r="S1644" s="19">
        <v>174</v>
      </c>
      <c r="T1644" s="17"/>
      <c r="U1644" s="66"/>
    </row>
    <row r="1645" spans="2:21" s="15" customFormat="1" ht="29" x14ac:dyDescent="0.35">
      <c r="B1645" s="64">
        <v>46070</v>
      </c>
      <c r="C1645" s="17">
        <v>1535</v>
      </c>
      <c r="D1645" s="85">
        <v>914</v>
      </c>
      <c r="E1645" s="85" t="s">
        <v>4891</v>
      </c>
      <c r="F1645" s="85" t="s">
        <v>13</v>
      </c>
      <c r="G1645" s="17" t="s">
        <v>1805</v>
      </c>
      <c r="H1645" s="14" t="s">
        <v>1744</v>
      </c>
      <c r="I1645" s="145" t="s">
        <v>3579</v>
      </c>
      <c r="J1645" s="17" t="s">
        <v>4894</v>
      </c>
      <c r="K1645" s="17" t="s">
        <v>4895</v>
      </c>
      <c r="L1645" s="17" t="s">
        <v>39</v>
      </c>
      <c r="M1645" s="16" t="s">
        <v>39</v>
      </c>
      <c r="N1645" s="16" t="s">
        <v>39</v>
      </c>
      <c r="O1645" s="16" t="s">
        <v>39</v>
      </c>
      <c r="P1645" s="17" t="s">
        <v>39</v>
      </c>
      <c r="Q1645" s="17" t="s">
        <v>8</v>
      </c>
      <c r="R1645" s="18">
        <v>1999.84</v>
      </c>
      <c r="S1645" s="19">
        <v>174</v>
      </c>
      <c r="T1645" s="17"/>
      <c r="U1645" s="66"/>
    </row>
    <row r="1646" spans="2:21" s="15" customFormat="1" ht="29" x14ac:dyDescent="0.35">
      <c r="B1646" s="64">
        <v>46072</v>
      </c>
      <c r="C1646" s="17">
        <v>1536</v>
      </c>
      <c r="D1646" s="85">
        <v>914</v>
      </c>
      <c r="E1646" s="85" t="s">
        <v>4896</v>
      </c>
      <c r="F1646" s="85" t="s">
        <v>36</v>
      </c>
      <c r="G1646" s="17" t="s">
        <v>1805</v>
      </c>
      <c r="H1646" s="14" t="s">
        <v>1744</v>
      </c>
      <c r="I1646" s="145" t="s">
        <v>3579</v>
      </c>
      <c r="J1646" s="17" t="s">
        <v>4894</v>
      </c>
      <c r="K1646" s="17" t="s">
        <v>4895</v>
      </c>
      <c r="L1646" s="17" t="s">
        <v>39</v>
      </c>
      <c r="M1646" s="16" t="s">
        <v>39</v>
      </c>
      <c r="N1646" s="16" t="s">
        <v>39</v>
      </c>
      <c r="O1646" s="16" t="s">
        <v>39</v>
      </c>
      <c r="P1646" s="17" t="s">
        <v>39</v>
      </c>
      <c r="Q1646" s="17" t="s">
        <v>4897</v>
      </c>
      <c r="R1646" s="18">
        <v>522</v>
      </c>
      <c r="S1646" s="19">
        <v>0</v>
      </c>
      <c r="T1646" s="17"/>
      <c r="U1646" s="66"/>
    </row>
    <row r="1647" spans="2:21" s="15" customFormat="1" ht="29" x14ac:dyDescent="0.35">
      <c r="B1647" s="64">
        <v>46076</v>
      </c>
      <c r="C1647" s="17">
        <v>1537</v>
      </c>
      <c r="D1647" s="85">
        <v>915</v>
      </c>
      <c r="E1647" s="85" t="s">
        <v>4898</v>
      </c>
      <c r="F1647" s="85" t="s">
        <v>13</v>
      </c>
      <c r="G1647" s="17" t="s">
        <v>1805</v>
      </c>
      <c r="H1647" s="14" t="s">
        <v>1744</v>
      </c>
      <c r="I1647" s="145" t="s">
        <v>3579</v>
      </c>
      <c r="J1647" s="17" t="s">
        <v>4899</v>
      </c>
      <c r="K1647" s="17" t="s">
        <v>4900</v>
      </c>
      <c r="L1647" s="17" t="s">
        <v>39</v>
      </c>
      <c r="M1647" s="16" t="s">
        <v>39</v>
      </c>
      <c r="N1647" s="16" t="s">
        <v>39</v>
      </c>
      <c r="O1647" s="16" t="s">
        <v>39</v>
      </c>
      <c r="P1647" s="17" t="s">
        <v>39</v>
      </c>
      <c r="Q1647" s="17" t="s">
        <v>8</v>
      </c>
      <c r="R1647" s="18">
        <v>1999.84</v>
      </c>
      <c r="S1647" s="19">
        <v>174</v>
      </c>
      <c r="T1647" s="17"/>
      <c r="U1647" s="66"/>
    </row>
    <row r="1648" spans="2:21" s="15" customFormat="1" ht="43.5" x14ac:dyDescent="0.35">
      <c r="B1648" s="64">
        <v>46079</v>
      </c>
      <c r="C1648" s="17">
        <v>1538</v>
      </c>
      <c r="D1648" s="85" t="s">
        <v>39</v>
      </c>
      <c r="E1648" s="85" t="s">
        <v>40</v>
      </c>
      <c r="F1648" s="85" t="s">
        <v>40</v>
      </c>
      <c r="G1648" s="17" t="s">
        <v>1805</v>
      </c>
      <c r="H1648" s="14" t="s">
        <v>1744</v>
      </c>
      <c r="I1648" s="145" t="s">
        <v>3579</v>
      </c>
      <c r="J1648" s="17" t="s">
        <v>4902</v>
      </c>
      <c r="K1648" s="17" t="s">
        <v>4903</v>
      </c>
      <c r="L1648" s="17" t="s">
        <v>39</v>
      </c>
      <c r="M1648" s="16" t="s">
        <v>39</v>
      </c>
      <c r="N1648" s="16" t="s">
        <v>39</v>
      </c>
      <c r="O1648" s="16" t="s">
        <v>39</v>
      </c>
      <c r="P1648" s="17" t="s">
        <v>39</v>
      </c>
      <c r="Q1648" s="17" t="s">
        <v>4904</v>
      </c>
      <c r="R1648" s="18">
        <v>290</v>
      </c>
      <c r="S1648" s="19"/>
      <c r="T1648" s="17"/>
      <c r="U1648" s="66"/>
    </row>
    <row r="1649" spans="2:21" s="15" customFormat="1" ht="29" x14ac:dyDescent="0.35">
      <c r="B1649" s="64">
        <v>46080</v>
      </c>
      <c r="C1649" s="17">
        <v>1539</v>
      </c>
      <c r="D1649" s="85">
        <v>916</v>
      </c>
      <c r="E1649" s="85" t="s">
        <v>4901</v>
      </c>
      <c r="F1649" s="85" t="s">
        <v>13</v>
      </c>
      <c r="G1649" s="17" t="s">
        <v>1805</v>
      </c>
      <c r="H1649" s="14" t="s">
        <v>1744</v>
      </c>
      <c r="I1649" s="145" t="s">
        <v>3579</v>
      </c>
      <c r="J1649" s="17" t="s">
        <v>4902</v>
      </c>
      <c r="K1649" s="17" t="s">
        <v>4903</v>
      </c>
      <c r="L1649" s="17" t="s">
        <v>39</v>
      </c>
      <c r="M1649" s="16" t="s">
        <v>39</v>
      </c>
      <c r="N1649" s="16" t="s">
        <v>39</v>
      </c>
      <c r="O1649" s="16" t="s">
        <v>39</v>
      </c>
      <c r="P1649" s="17" t="s">
        <v>39</v>
      </c>
      <c r="Q1649" s="17" t="s">
        <v>8</v>
      </c>
      <c r="R1649" s="18">
        <v>1999.84</v>
      </c>
      <c r="S1649" s="19">
        <v>174</v>
      </c>
      <c r="T1649" s="17"/>
      <c r="U1649" s="66"/>
    </row>
    <row r="1650" spans="2:21" s="15" customFormat="1" ht="29" x14ac:dyDescent="0.35">
      <c r="B1650" s="64">
        <v>46083</v>
      </c>
      <c r="C1650" s="17">
        <v>1540</v>
      </c>
      <c r="D1650" s="85">
        <v>917</v>
      </c>
      <c r="E1650" s="85" t="s">
        <v>4905</v>
      </c>
      <c r="F1650" s="85" t="s">
        <v>13</v>
      </c>
      <c r="G1650" s="17" t="s">
        <v>1805</v>
      </c>
      <c r="H1650" s="17"/>
      <c r="I1650" s="145"/>
      <c r="J1650" s="17" t="s">
        <v>4910</v>
      </c>
      <c r="K1650" s="17" t="s">
        <v>4906</v>
      </c>
      <c r="L1650" s="17" t="s">
        <v>39</v>
      </c>
      <c r="M1650" s="16" t="s">
        <v>39</v>
      </c>
      <c r="N1650" s="16" t="s">
        <v>39</v>
      </c>
      <c r="O1650" s="16" t="s">
        <v>39</v>
      </c>
      <c r="P1650" s="17" t="s">
        <v>39</v>
      </c>
      <c r="Q1650" s="17" t="s">
        <v>8</v>
      </c>
      <c r="R1650" s="18">
        <v>1999.84</v>
      </c>
      <c r="S1650" s="19">
        <v>174</v>
      </c>
      <c r="T1650" s="17"/>
      <c r="U1650" s="66"/>
    </row>
    <row r="1651" spans="2:21" s="15" customFormat="1" ht="29" x14ac:dyDescent="0.35">
      <c r="B1651" s="64">
        <v>46092</v>
      </c>
      <c r="C1651" s="17">
        <v>1541</v>
      </c>
      <c r="D1651" s="85">
        <v>918</v>
      </c>
      <c r="E1651" s="85" t="s">
        <v>4908</v>
      </c>
      <c r="F1651" s="85" t="s">
        <v>13</v>
      </c>
      <c r="G1651" s="17" t="s">
        <v>1805</v>
      </c>
      <c r="H1651" s="14" t="s">
        <v>1744</v>
      </c>
      <c r="I1651" s="145" t="s">
        <v>3579</v>
      </c>
      <c r="J1651" s="17" t="s">
        <v>4909</v>
      </c>
      <c r="K1651" s="17" t="s">
        <v>4907</v>
      </c>
      <c r="L1651" s="17" t="s">
        <v>39</v>
      </c>
      <c r="M1651" s="16" t="s">
        <v>39</v>
      </c>
      <c r="N1651" s="16" t="s">
        <v>39</v>
      </c>
      <c r="O1651" s="16" t="s">
        <v>39</v>
      </c>
      <c r="P1651" s="17" t="s">
        <v>39</v>
      </c>
      <c r="Q1651" s="17" t="s">
        <v>8</v>
      </c>
      <c r="R1651" s="18">
        <v>1999.84</v>
      </c>
      <c r="S1651" s="19">
        <v>174</v>
      </c>
      <c r="T1651" s="17"/>
      <c r="U1651" s="66"/>
    </row>
    <row r="1652" spans="2:21" s="15" customFormat="1" ht="60" x14ac:dyDescent="0.35">
      <c r="B1652" s="64">
        <v>46098</v>
      </c>
      <c r="C1652" s="17">
        <v>1542</v>
      </c>
      <c r="D1652" s="85" t="s">
        <v>39</v>
      </c>
      <c r="E1652" s="136" t="s">
        <v>40</v>
      </c>
      <c r="F1652" s="85" t="s">
        <v>40</v>
      </c>
      <c r="G1652" s="17" t="s">
        <v>1805</v>
      </c>
      <c r="H1652" s="17" t="s">
        <v>4915</v>
      </c>
      <c r="I1652" s="145" t="s">
        <v>4700</v>
      </c>
      <c r="J1652" s="17" t="s">
        <v>4916</v>
      </c>
      <c r="K1652" s="17" t="s">
        <v>4914</v>
      </c>
      <c r="L1652" s="17" t="s">
        <v>39</v>
      </c>
      <c r="M1652" s="16" t="s">
        <v>39</v>
      </c>
      <c r="N1652" s="16" t="s">
        <v>39</v>
      </c>
      <c r="O1652" s="16" t="s">
        <v>39</v>
      </c>
      <c r="P1652" s="95" t="s">
        <v>39</v>
      </c>
      <c r="Q1652" s="99" t="s">
        <v>4927</v>
      </c>
      <c r="R1652" s="18">
        <v>290</v>
      </c>
      <c r="S1652" s="19">
        <v>0</v>
      </c>
      <c r="T1652" s="17"/>
      <c r="U1652" s="66"/>
    </row>
    <row r="1653" spans="2:21" s="15" customFormat="1" ht="29" x14ac:dyDescent="0.35">
      <c r="B1653" s="64">
        <v>46098</v>
      </c>
      <c r="C1653" s="17">
        <v>1543</v>
      </c>
      <c r="D1653" s="85" t="s">
        <v>4917</v>
      </c>
      <c r="E1653" s="85" t="s">
        <v>4911</v>
      </c>
      <c r="F1653" s="85" t="s">
        <v>1468</v>
      </c>
      <c r="G1653" s="17" t="s">
        <v>4133</v>
      </c>
      <c r="H1653" s="17" t="s">
        <v>1930</v>
      </c>
      <c r="I1653" s="145" t="s">
        <v>39</v>
      </c>
      <c r="J1653" s="17" t="s">
        <v>4931</v>
      </c>
      <c r="K1653" s="17" t="s">
        <v>4913</v>
      </c>
      <c r="L1653" s="17" t="s">
        <v>39</v>
      </c>
      <c r="M1653" s="65">
        <v>8116006966</v>
      </c>
      <c r="N1653" s="16">
        <v>865011034397431</v>
      </c>
      <c r="O1653" s="16" t="s">
        <v>4933</v>
      </c>
      <c r="P1653" s="17" t="s">
        <v>4932</v>
      </c>
      <c r="Q1653" s="17" t="s">
        <v>2559</v>
      </c>
      <c r="R1653" s="18">
        <v>0</v>
      </c>
      <c r="S1653" s="19" t="s">
        <v>4912</v>
      </c>
      <c r="T1653" s="17"/>
      <c r="U1653" s="66"/>
    </row>
    <row r="1654" spans="2:21" s="15" customFormat="1" ht="29" x14ac:dyDescent="0.35">
      <c r="B1654" s="64">
        <v>46098</v>
      </c>
      <c r="C1654" s="17">
        <v>1544</v>
      </c>
      <c r="D1654" s="85" t="s">
        <v>4918</v>
      </c>
      <c r="E1654" s="85" t="s">
        <v>4911</v>
      </c>
      <c r="F1654" s="85" t="s">
        <v>1468</v>
      </c>
      <c r="G1654" s="17" t="s">
        <v>4133</v>
      </c>
      <c r="H1654" s="17" t="s">
        <v>1930</v>
      </c>
      <c r="I1654" s="145" t="s">
        <v>39</v>
      </c>
      <c r="J1654" s="17" t="s">
        <v>4935</v>
      </c>
      <c r="K1654" s="17" t="s">
        <v>1708</v>
      </c>
      <c r="L1654" s="17" t="s">
        <v>39</v>
      </c>
      <c r="M1654" s="65">
        <v>8119174112</v>
      </c>
      <c r="N1654" s="16">
        <v>869220041537188</v>
      </c>
      <c r="O1654" s="119" t="s">
        <v>4937</v>
      </c>
      <c r="P1654" s="70" t="s">
        <v>4936</v>
      </c>
      <c r="Q1654" s="17" t="s">
        <v>2559</v>
      </c>
      <c r="R1654" s="18">
        <v>0</v>
      </c>
      <c r="S1654" s="19" t="s">
        <v>4912</v>
      </c>
      <c r="T1654" s="17"/>
      <c r="U1654" s="66"/>
    </row>
    <row r="1655" spans="2:21" s="15" customFormat="1" ht="29" x14ac:dyDescent="0.35">
      <c r="B1655" s="64">
        <v>46098</v>
      </c>
      <c r="C1655" s="17">
        <v>1545</v>
      </c>
      <c r="D1655" s="85" t="s">
        <v>4919</v>
      </c>
      <c r="E1655" s="85" t="s">
        <v>4911</v>
      </c>
      <c r="F1655" s="85" t="s">
        <v>1468</v>
      </c>
      <c r="G1655" s="17" t="s">
        <v>4133</v>
      </c>
      <c r="H1655" s="17" t="s">
        <v>1930</v>
      </c>
      <c r="I1655" s="145" t="s">
        <v>39</v>
      </c>
      <c r="J1655" s="17" t="s">
        <v>4249</v>
      </c>
      <c r="K1655" s="17" t="s">
        <v>2365</v>
      </c>
      <c r="L1655" s="17" t="s">
        <v>39</v>
      </c>
      <c r="M1655" s="37">
        <v>8120013086</v>
      </c>
      <c r="N1655" s="38">
        <v>865011034398231</v>
      </c>
      <c r="O1655" s="16" t="s">
        <v>4939</v>
      </c>
      <c r="P1655" s="17" t="s">
        <v>4938</v>
      </c>
      <c r="Q1655" s="17" t="s">
        <v>2559</v>
      </c>
      <c r="R1655" s="18">
        <v>0</v>
      </c>
      <c r="S1655" s="19" t="s">
        <v>4912</v>
      </c>
      <c r="T1655" s="17"/>
      <c r="U1655" s="66"/>
    </row>
    <row r="1656" spans="2:21" s="15" customFormat="1" ht="29" x14ac:dyDescent="0.35">
      <c r="B1656" s="64">
        <v>46098</v>
      </c>
      <c r="C1656" s="17">
        <v>1546</v>
      </c>
      <c r="D1656" s="85" t="s">
        <v>4920</v>
      </c>
      <c r="E1656" s="85" t="s">
        <v>4911</v>
      </c>
      <c r="F1656" s="85" t="s">
        <v>1468</v>
      </c>
      <c r="G1656" s="17" t="s">
        <v>4133</v>
      </c>
      <c r="H1656" s="17" t="s">
        <v>1930</v>
      </c>
      <c r="I1656" s="145" t="s">
        <v>39</v>
      </c>
      <c r="J1656" s="17" t="s">
        <v>4940</v>
      </c>
      <c r="K1656" s="17" t="s">
        <v>2412</v>
      </c>
      <c r="L1656" s="17" t="s">
        <v>39</v>
      </c>
      <c r="M1656" s="17">
        <v>8119773919</v>
      </c>
      <c r="N1656" s="16">
        <v>869220041852082</v>
      </c>
      <c r="O1656" s="16" t="s">
        <v>4942</v>
      </c>
      <c r="P1656" s="17" t="s">
        <v>4941</v>
      </c>
      <c r="Q1656" s="17" t="s">
        <v>2559</v>
      </c>
      <c r="R1656" s="18">
        <v>0</v>
      </c>
      <c r="S1656" s="19" t="s">
        <v>4912</v>
      </c>
      <c r="T1656" s="17"/>
      <c r="U1656" s="66"/>
    </row>
    <row r="1657" spans="2:21" s="15" customFormat="1" ht="29" x14ac:dyDescent="0.35">
      <c r="B1657" s="64">
        <v>46098</v>
      </c>
      <c r="C1657" s="17">
        <v>1547</v>
      </c>
      <c r="D1657" s="85" t="s">
        <v>4921</v>
      </c>
      <c r="E1657" s="85" t="s">
        <v>4911</v>
      </c>
      <c r="F1657" s="85" t="s">
        <v>1468</v>
      </c>
      <c r="G1657" s="17" t="s">
        <v>4133</v>
      </c>
      <c r="H1657" s="17" t="s">
        <v>1930</v>
      </c>
      <c r="I1657" s="145" t="s">
        <v>39</v>
      </c>
      <c r="J1657" s="17" t="s">
        <v>26</v>
      </c>
      <c r="K1657" s="17" t="s">
        <v>2535</v>
      </c>
      <c r="L1657" s="17" t="s">
        <v>39</v>
      </c>
      <c r="M1657" s="16">
        <v>8184663566</v>
      </c>
      <c r="N1657" s="16">
        <v>359857084616879</v>
      </c>
      <c r="O1657" s="16" t="s">
        <v>39</v>
      </c>
      <c r="P1657" s="17" t="s">
        <v>2537</v>
      </c>
      <c r="Q1657" s="17" t="s">
        <v>2559</v>
      </c>
      <c r="R1657" s="18">
        <v>0</v>
      </c>
      <c r="S1657" s="19" t="s">
        <v>4912</v>
      </c>
      <c r="T1657" s="17"/>
      <c r="U1657" s="66"/>
    </row>
    <row r="1658" spans="2:21" s="15" customFormat="1" ht="29" x14ac:dyDescent="0.35">
      <c r="B1658" s="64">
        <v>46098</v>
      </c>
      <c r="C1658" s="17">
        <v>1548</v>
      </c>
      <c r="D1658" s="85" t="s">
        <v>4922</v>
      </c>
      <c r="E1658" s="85" t="s">
        <v>4911</v>
      </c>
      <c r="F1658" s="85" t="s">
        <v>1468</v>
      </c>
      <c r="G1658" s="17" t="s">
        <v>4133</v>
      </c>
      <c r="H1658" s="17" t="s">
        <v>1930</v>
      </c>
      <c r="I1658" s="145" t="s">
        <v>39</v>
      </c>
      <c r="J1658" s="17" t="s">
        <v>3278</v>
      </c>
      <c r="K1658" s="17" t="s">
        <v>2551</v>
      </c>
      <c r="L1658" s="17" t="s">
        <v>39</v>
      </c>
      <c r="M1658" s="16">
        <v>8333015571</v>
      </c>
      <c r="N1658" s="16">
        <v>869706060073220</v>
      </c>
      <c r="O1658" s="16" t="s">
        <v>39</v>
      </c>
      <c r="P1658" s="17" t="s">
        <v>2555</v>
      </c>
      <c r="Q1658" s="17" t="s">
        <v>2559</v>
      </c>
      <c r="R1658" s="18">
        <v>0</v>
      </c>
      <c r="S1658" s="19" t="s">
        <v>4912</v>
      </c>
      <c r="T1658" s="17"/>
      <c r="U1658" s="66"/>
    </row>
    <row r="1659" spans="2:21" s="15" customFormat="1" ht="29" x14ac:dyDescent="0.35">
      <c r="B1659" s="64">
        <v>46098</v>
      </c>
      <c r="C1659" s="17">
        <v>1549</v>
      </c>
      <c r="D1659" s="85" t="s">
        <v>4923</v>
      </c>
      <c r="E1659" s="85" t="s">
        <v>4911</v>
      </c>
      <c r="F1659" s="85" t="s">
        <v>1468</v>
      </c>
      <c r="G1659" s="17" t="s">
        <v>4133</v>
      </c>
      <c r="H1659" s="17" t="s">
        <v>1930</v>
      </c>
      <c r="I1659" s="145" t="s">
        <v>39</v>
      </c>
      <c r="J1659" s="17" t="s">
        <v>4357</v>
      </c>
      <c r="K1659" s="17" t="s">
        <v>4359</v>
      </c>
      <c r="L1659" s="17" t="s">
        <v>39</v>
      </c>
      <c r="M1659" s="16">
        <v>8110504480</v>
      </c>
      <c r="N1659" s="16">
        <v>864943048174839</v>
      </c>
      <c r="O1659" s="16" t="s">
        <v>39</v>
      </c>
      <c r="P1659" s="17" t="s">
        <v>4360</v>
      </c>
      <c r="Q1659" s="17" t="s">
        <v>2559</v>
      </c>
      <c r="R1659" s="18">
        <v>0</v>
      </c>
      <c r="S1659" s="19" t="s">
        <v>4912</v>
      </c>
      <c r="T1659" s="17"/>
      <c r="U1659" s="66"/>
    </row>
    <row r="1660" spans="2:21" s="15" customFormat="1" ht="29" x14ac:dyDescent="0.35">
      <c r="B1660" s="64">
        <v>46098</v>
      </c>
      <c r="C1660" s="17">
        <v>1550</v>
      </c>
      <c r="D1660" s="85" t="s">
        <v>4924</v>
      </c>
      <c r="E1660" s="85" t="s">
        <v>4911</v>
      </c>
      <c r="F1660" s="85" t="s">
        <v>1468</v>
      </c>
      <c r="G1660" s="17" t="s">
        <v>4133</v>
      </c>
      <c r="H1660" s="17" t="s">
        <v>1930</v>
      </c>
      <c r="I1660" s="145" t="s">
        <v>39</v>
      </c>
      <c r="J1660" s="17" t="s">
        <v>4541</v>
      </c>
      <c r="K1660" s="17" t="s">
        <v>4543</v>
      </c>
      <c r="L1660" s="17" t="s">
        <v>39</v>
      </c>
      <c r="M1660" s="16">
        <v>8110444934</v>
      </c>
      <c r="N1660" s="16">
        <v>864943048914317</v>
      </c>
      <c r="O1660" s="16" t="s">
        <v>4542</v>
      </c>
      <c r="P1660" s="17" t="s">
        <v>39</v>
      </c>
      <c r="Q1660" s="17" t="s">
        <v>2559</v>
      </c>
      <c r="R1660" s="18">
        <v>0</v>
      </c>
      <c r="S1660" s="19" t="s">
        <v>4912</v>
      </c>
      <c r="T1660" s="17"/>
      <c r="U1660" s="66"/>
    </row>
    <row r="1661" spans="2:21" s="15" customFormat="1" ht="29" x14ac:dyDescent="0.35">
      <c r="B1661" s="64">
        <v>46098</v>
      </c>
      <c r="C1661" s="17">
        <v>1551</v>
      </c>
      <c r="D1661" s="85">
        <v>919</v>
      </c>
      <c r="E1661" s="85" t="s">
        <v>4925</v>
      </c>
      <c r="F1661" s="85" t="s">
        <v>13</v>
      </c>
      <c r="G1661" s="17" t="s">
        <v>1805</v>
      </c>
      <c r="H1661" s="17" t="s">
        <v>4915</v>
      </c>
      <c r="I1661" s="145" t="s">
        <v>4926</v>
      </c>
      <c r="J1661" s="17" t="s">
        <v>4916</v>
      </c>
      <c r="K1661" s="17" t="s">
        <v>4943</v>
      </c>
      <c r="L1661" s="17" t="s">
        <v>4946</v>
      </c>
      <c r="M1661" s="16">
        <v>8126214508</v>
      </c>
      <c r="N1661" s="16">
        <v>866557080342936</v>
      </c>
      <c r="O1661" s="16" t="s">
        <v>4944</v>
      </c>
      <c r="P1661" s="17" t="s">
        <v>4945</v>
      </c>
      <c r="Q1661" s="17" t="s">
        <v>8</v>
      </c>
      <c r="R1661" s="18">
        <v>1999.84</v>
      </c>
      <c r="S1661" s="19">
        <v>174</v>
      </c>
      <c r="T1661" s="17"/>
      <c r="U1661" s="66"/>
    </row>
    <row r="1662" spans="2:21" s="15" customFormat="1" ht="29" x14ac:dyDescent="0.35">
      <c r="B1662" s="64">
        <v>46100</v>
      </c>
      <c r="C1662" s="17">
        <v>1552</v>
      </c>
      <c r="D1662" s="85">
        <v>920</v>
      </c>
      <c r="E1662" s="85" t="s">
        <v>4949</v>
      </c>
      <c r="F1662" s="85" t="s">
        <v>13</v>
      </c>
      <c r="G1662" s="17" t="s">
        <v>1805</v>
      </c>
      <c r="H1662" s="14" t="s">
        <v>1744</v>
      </c>
      <c r="I1662" s="145" t="s">
        <v>39</v>
      </c>
      <c r="J1662" s="17" t="s">
        <v>4948</v>
      </c>
      <c r="K1662" s="17" t="s">
        <v>4947</v>
      </c>
      <c r="L1662" s="17" t="s">
        <v>39</v>
      </c>
      <c r="M1662" s="16" t="s">
        <v>39</v>
      </c>
      <c r="N1662" s="16" t="s">
        <v>39</v>
      </c>
      <c r="O1662" s="16" t="s">
        <v>39</v>
      </c>
      <c r="P1662" s="17" t="s">
        <v>39</v>
      </c>
      <c r="Q1662" s="17" t="s">
        <v>8</v>
      </c>
      <c r="R1662" s="18">
        <v>1999.84</v>
      </c>
      <c r="S1662" s="19">
        <v>174</v>
      </c>
      <c r="T1662" s="17"/>
      <c r="U1662" s="66"/>
    </row>
    <row r="1663" spans="2:21" s="15" customFormat="1" ht="29" x14ac:dyDescent="0.35">
      <c r="B1663" s="64">
        <v>46100</v>
      </c>
      <c r="C1663" s="17">
        <v>1553</v>
      </c>
      <c r="D1663" s="85">
        <v>921</v>
      </c>
      <c r="E1663" s="85" t="s">
        <v>4949</v>
      </c>
      <c r="F1663" s="85" t="s">
        <v>13</v>
      </c>
      <c r="G1663" s="17" t="s">
        <v>1805</v>
      </c>
      <c r="H1663" s="14" t="s">
        <v>1744</v>
      </c>
      <c r="I1663" s="145" t="s">
        <v>39</v>
      </c>
      <c r="J1663" s="17" t="s">
        <v>4951</v>
      </c>
      <c r="K1663" s="17" t="s">
        <v>4950</v>
      </c>
      <c r="L1663" s="17" t="s">
        <v>39</v>
      </c>
      <c r="M1663" s="16" t="s">
        <v>39</v>
      </c>
      <c r="N1663" s="16" t="s">
        <v>39</v>
      </c>
      <c r="O1663" s="16" t="s">
        <v>39</v>
      </c>
      <c r="P1663" s="17" t="s">
        <v>39</v>
      </c>
      <c r="Q1663" s="17" t="s">
        <v>8</v>
      </c>
      <c r="R1663" s="18">
        <v>1999.84</v>
      </c>
      <c r="S1663" s="19">
        <v>174</v>
      </c>
      <c r="T1663" s="17"/>
      <c r="U1663" s="66"/>
    </row>
    <row r="1664" spans="2:21" s="15" customFormat="1" ht="29" x14ac:dyDescent="0.35">
      <c r="B1664" s="64">
        <v>46101</v>
      </c>
      <c r="C1664" s="17">
        <v>1554</v>
      </c>
      <c r="D1664" s="85">
        <v>922</v>
      </c>
      <c r="E1664" s="85" t="s">
        <v>4952</v>
      </c>
      <c r="F1664" s="85" t="s">
        <v>13</v>
      </c>
      <c r="G1664" s="17" t="s">
        <v>1805</v>
      </c>
      <c r="H1664" s="17" t="s">
        <v>39</v>
      </c>
      <c r="I1664" s="145" t="s">
        <v>39</v>
      </c>
      <c r="J1664" s="17" t="s">
        <v>39</v>
      </c>
      <c r="K1664" s="17" t="s">
        <v>4953</v>
      </c>
      <c r="L1664" s="17" t="s">
        <v>39</v>
      </c>
      <c r="M1664" s="16" t="s">
        <v>39</v>
      </c>
      <c r="N1664" s="16" t="s">
        <v>39</v>
      </c>
      <c r="O1664" s="16" t="s">
        <v>39</v>
      </c>
      <c r="P1664" s="17" t="s">
        <v>39</v>
      </c>
      <c r="Q1664" s="17" t="s">
        <v>8</v>
      </c>
      <c r="R1664" s="18">
        <v>1999.84</v>
      </c>
      <c r="S1664" s="19">
        <v>174</v>
      </c>
      <c r="T1664" s="17"/>
      <c r="U1664" s="66"/>
    </row>
    <row r="1665" spans="2:21" s="15" customFormat="1" ht="29" x14ac:dyDescent="0.35">
      <c r="B1665" s="64">
        <v>46101</v>
      </c>
      <c r="C1665" s="17">
        <v>1555</v>
      </c>
      <c r="D1665" s="85">
        <v>923</v>
      </c>
      <c r="E1665" s="85" t="s">
        <v>4952</v>
      </c>
      <c r="F1665" s="85" t="s">
        <v>13</v>
      </c>
      <c r="G1665" s="17" t="s">
        <v>1805</v>
      </c>
      <c r="H1665" s="17" t="s">
        <v>39</v>
      </c>
      <c r="I1665" s="145" t="s">
        <v>39</v>
      </c>
      <c r="J1665" s="17"/>
      <c r="K1665" s="17" t="s">
        <v>4954</v>
      </c>
      <c r="L1665" s="17" t="s">
        <v>39</v>
      </c>
      <c r="M1665" s="16" t="s">
        <v>39</v>
      </c>
      <c r="N1665" s="16" t="s">
        <v>39</v>
      </c>
      <c r="O1665" s="16" t="s">
        <v>39</v>
      </c>
      <c r="P1665" s="17" t="s">
        <v>39</v>
      </c>
      <c r="Q1665" s="17" t="s">
        <v>8</v>
      </c>
      <c r="R1665" s="18">
        <v>1999.84</v>
      </c>
      <c r="S1665" s="19">
        <v>174</v>
      </c>
      <c r="T1665" s="17"/>
      <c r="U1665" s="66"/>
    </row>
    <row r="1666" spans="2:21" s="15" customFormat="1" ht="29" x14ac:dyDescent="0.35">
      <c r="B1666" s="64">
        <v>46102</v>
      </c>
      <c r="C1666" s="17">
        <v>1556</v>
      </c>
      <c r="D1666" s="85">
        <v>924</v>
      </c>
      <c r="E1666" s="85" t="s">
        <v>4955</v>
      </c>
      <c r="F1666" s="85" t="s">
        <v>13</v>
      </c>
      <c r="G1666" s="17" t="s">
        <v>1805</v>
      </c>
      <c r="H1666" s="17" t="s">
        <v>4957</v>
      </c>
      <c r="I1666" s="145" t="s">
        <v>39</v>
      </c>
      <c r="J1666" s="17" t="s">
        <v>4956</v>
      </c>
      <c r="K1666" s="17" t="s">
        <v>4958</v>
      </c>
      <c r="L1666" s="17" t="s">
        <v>39</v>
      </c>
      <c r="M1666" s="16" t="s">
        <v>39</v>
      </c>
      <c r="N1666" s="16" t="s">
        <v>39</v>
      </c>
      <c r="O1666" s="16" t="s">
        <v>39</v>
      </c>
      <c r="P1666" s="17" t="s">
        <v>39</v>
      </c>
      <c r="Q1666" s="17" t="s">
        <v>8</v>
      </c>
      <c r="R1666" s="18">
        <v>1999.84</v>
      </c>
      <c r="S1666" s="19">
        <v>174</v>
      </c>
      <c r="T1666" s="17"/>
      <c r="U1666" s="66"/>
    </row>
    <row r="1667" spans="2:21" s="15" customFormat="1" ht="29" x14ac:dyDescent="0.35">
      <c r="B1667" s="64">
        <v>46104</v>
      </c>
      <c r="C1667" s="17">
        <v>1557</v>
      </c>
      <c r="D1667" s="85">
        <v>925</v>
      </c>
      <c r="E1667" s="85" t="s">
        <v>4960</v>
      </c>
      <c r="F1667" s="85" t="s">
        <v>13</v>
      </c>
      <c r="G1667" s="17" t="s">
        <v>1805</v>
      </c>
      <c r="H1667" s="14" t="s">
        <v>1744</v>
      </c>
      <c r="I1667" s="145" t="s">
        <v>39</v>
      </c>
      <c r="J1667" s="17" t="s">
        <v>4961</v>
      </c>
      <c r="K1667" s="17" t="s">
        <v>4959</v>
      </c>
      <c r="L1667" s="17" t="s">
        <v>39</v>
      </c>
      <c r="M1667" s="16" t="s">
        <v>39</v>
      </c>
      <c r="N1667" s="16" t="s">
        <v>39</v>
      </c>
      <c r="O1667" s="16" t="s">
        <v>39</v>
      </c>
      <c r="P1667" s="17" t="s">
        <v>39</v>
      </c>
      <c r="Q1667" s="17" t="s">
        <v>8</v>
      </c>
      <c r="R1667" s="18">
        <v>1999.84</v>
      </c>
      <c r="S1667" s="19">
        <v>174</v>
      </c>
      <c r="T1667" s="17"/>
      <c r="U1667" s="66"/>
    </row>
    <row r="1668" spans="2:21" s="15" customFormat="1" ht="29" x14ac:dyDescent="0.35">
      <c r="B1668" s="64">
        <v>46105</v>
      </c>
      <c r="C1668" s="17">
        <v>1558</v>
      </c>
      <c r="D1668" s="85">
        <v>926</v>
      </c>
      <c r="E1668" s="85" t="s">
        <v>4963</v>
      </c>
      <c r="F1668" s="85" t="s">
        <v>13</v>
      </c>
      <c r="G1668" s="17" t="s">
        <v>1805</v>
      </c>
      <c r="H1668" s="14" t="s">
        <v>1744</v>
      </c>
      <c r="I1668" s="145" t="s">
        <v>39</v>
      </c>
      <c r="J1668" s="17" t="s">
        <v>39</v>
      </c>
      <c r="K1668" s="17" t="s">
        <v>4962</v>
      </c>
      <c r="L1668" s="17" t="s">
        <v>39</v>
      </c>
      <c r="M1668" s="16" t="s">
        <v>39</v>
      </c>
      <c r="N1668" s="16" t="s">
        <v>39</v>
      </c>
      <c r="O1668" s="16" t="s">
        <v>39</v>
      </c>
      <c r="P1668" s="17" t="s">
        <v>39</v>
      </c>
      <c r="Q1668" s="17" t="s">
        <v>8</v>
      </c>
      <c r="R1668" s="18">
        <v>1999.84</v>
      </c>
      <c r="S1668" s="19">
        <v>174</v>
      </c>
      <c r="T1668" s="17"/>
      <c r="U1668" s="66"/>
    </row>
    <row r="1669" spans="2:21" s="15" customFormat="1" ht="29" x14ac:dyDescent="0.35">
      <c r="B1669" s="64">
        <v>46111</v>
      </c>
      <c r="C1669" s="17">
        <v>1559</v>
      </c>
      <c r="D1669" s="85">
        <v>927</v>
      </c>
      <c r="E1669" s="85" t="s">
        <v>4964</v>
      </c>
      <c r="F1669" s="85" t="s">
        <v>13</v>
      </c>
      <c r="G1669" s="17" t="s">
        <v>1805</v>
      </c>
      <c r="H1669" s="14" t="s">
        <v>1744</v>
      </c>
      <c r="I1669" s="145" t="s">
        <v>39</v>
      </c>
      <c r="J1669" s="17" t="s">
        <v>4966</v>
      </c>
      <c r="K1669" s="17" t="s">
        <v>4965</v>
      </c>
      <c r="L1669" s="17" t="s">
        <v>39</v>
      </c>
      <c r="M1669" s="16" t="s">
        <v>39</v>
      </c>
      <c r="N1669" s="16" t="s">
        <v>39</v>
      </c>
      <c r="O1669" s="16" t="s">
        <v>39</v>
      </c>
      <c r="P1669" s="17" t="s">
        <v>39</v>
      </c>
      <c r="Q1669" s="17" t="s">
        <v>8</v>
      </c>
      <c r="R1669" s="18">
        <v>1999.84</v>
      </c>
      <c r="S1669" s="19">
        <v>174</v>
      </c>
      <c r="T1669" s="17"/>
      <c r="U1669" s="66"/>
    </row>
    <row r="1670" spans="2:21" s="15" customFormat="1" ht="29" x14ac:dyDescent="0.35">
      <c r="B1670" s="64">
        <v>46118</v>
      </c>
      <c r="C1670" s="17">
        <v>1560</v>
      </c>
      <c r="D1670" s="85">
        <v>928</v>
      </c>
      <c r="E1670" s="85" t="s">
        <v>4967</v>
      </c>
      <c r="F1670" s="85" t="s">
        <v>13</v>
      </c>
      <c r="G1670" s="17" t="s">
        <v>1805</v>
      </c>
      <c r="H1670" s="14" t="s">
        <v>1744</v>
      </c>
      <c r="I1670" s="145" t="s">
        <v>39</v>
      </c>
      <c r="J1670" s="17" t="s">
        <v>4969</v>
      </c>
      <c r="K1670" s="17" t="s">
        <v>4968</v>
      </c>
      <c r="L1670" s="17" t="s">
        <v>39</v>
      </c>
      <c r="M1670" s="16" t="s">
        <v>39</v>
      </c>
      <c r="N1670" s="16" t="s">
        <v>39</v>
      </c>
      <c r="O1670" s="16" t="s">
        <v>39</v>
      </c>
      <c r="P1670" s="17" t="s">
        <v>39</v>
      </c>
      <c r="Q1670" s="17" t="s">
        <v>8</v>
      </c>
      <c r="R1670" s="18">
        <v>1999.84</v>
      </c>
      <c r="S1670" s="19">
        <v>174</v>
      </c>
      <c r="T1670" s="17"/>
      <c r="U1670" s="66"/>
    </row>
    <row r="1671" spans="2:21" s="15" customFormat="1" ht="29" x14ac:dyDescent="0.35">
      <c r="B1671" s="64">
        <v>46121</v>
      </c>
      <c r="C1671" s="17">
        <v>1561</v>
      </c>
      <c r="D1671" s="85">
        <v>929</v>
      </c>
      <c r="E1671" s="85" t="s">
        <v>4970</v>
      </c>
      <c r="F1671" s="85" t="s">
        <v>13</v>
      </c>
      <c r="G1671" s="17" t="s">
        <v>1805</v>
      </c>
      <c r="H1671" s="14" t="s">
        <v>1744</v>
      </c>
      <c r="I1671" s="145" t="s">
        <v>4599</v>
      </c>
      <c r="J1671" s="17" t="s">
        <v>4972</v>
      </c>
      <c r="K1671" s="17" t="s">
        <v>4971</v>
      </c>
      <c r="L1671" s="17" t="s">
        <v>4946</v>
      </c>
      <c r="M1671" s="16">
        <v>8117908485</v>
      </c>
      <c r="N1671" s="16">
        <v>863874089053106</v>
      </c>
      <c r="O1671" s="16" t="s">
        <v>39</v>
      </c>
      <c r="P1671" s="17" t="s">
        <v>4973</v>
      </c>
      <c r="Q1671" s="17" t="s">
        <v>8</v>
      </c>
      <c r="R1671" s="18">
        <v>1999.84</v>
      </c>
      <c r="S1671" s="19">
        <v>174</v>
      </c>
      <c r="T1671" s="17"/>
      <c r="U1671" s="66"/>
    </row>
    <row r="1672" spans="2:21" s="15" customFormat="1" ht="29" x14ac:dyDescent="0.35">
      <c r="B1672" s="64">
        <v>46121</v>
      </c>
      <c r="C1672" s="17">
        <v>1562</v>
      </c>
      <c r="D1672" s="85">
        <v>930</v>
      </c>
      <c r="E1672" s="85" t="s">
        <v>4970</v>
      </c>
      <c r="F1672" s="85" t="s">
        <v>13</v>
      </c>
      <c r="G1672" s="17" t="s">
        <v>1805</v>
      </c>
      <c r="H1672" s="17" t="s">
        <v>4974</v>
      </c>
      <c r="I1672" s="145" t="s">
        <v>4975</v>
      </c>
      <c r="J1672" s="17" t="s">
        <v>4976</v>
      </c>
      <c r="K1672" s="17" t="s">
        <v>4977</v>
      </c>
      <c r="L1672" s="17" t="s">
        <v>4660</v>
      </c>
      <c r="M1672" s="16" t="s">
        <v>39</v>
      </c>
      <c r="N1672" s="16" t="s">
        <v>39</v>
      </c>
      <c r="O1672" s="16" t="s">
        <v>39</v>
      </c>
      <c r="P1672" s="17" t="s">
        <v>39</v>
      </c>
      <c r="Q1672" s="17" t="s">
        <v>8</v>
      </c>
      <c r="R1672" s="18">
        <v>1999.84</v>
      </c>
      <c r="S1672" s="19">
        <v>174</v>
      </c>
      <c r="T1672" s="17"/>
      <c r="U1672" s="66"/>
    </row>
    <row r="1673" spans="2:21" s="15" customFormat="1" ht="29" x14ac:dyDescent="0.35">
      <c r="B1673" s="64">
        <v>46123</v>
      </c>
      <c r="C1673" s="17">
        <v>1563</v>
      </c>
      <c r="D1673" s="85">
        <v>931</v>
      </c>
      <c r="E1673" s="85" t="s">
        <v>4978</v>
      </c>
      <c r="F1673" s="85" t="s">
        <v>13</v>
      </c>
      <c r="G1673" s="17" t="s">
        <v>1805</v>
      </c>
      <c r="H1673" s="14" t="s">
        <v>1744</v>
      </c>
      <c r="I1673" s="145" t="s">
        <v>4979</v>
      </c>
      <c r="J1673" s="17" t="s">
        <v>4980</v>
      </c>
      <c r="K1673" s="17" t="s">
        <v>4981</v>
      </c>
      <c r="L1673" s="17" t="s">
        <v>4982</v>
      </c>
      <c r="M1673" s="16">
        <v>8118207251</v>
      </c>
      <c r="N1673" s="16">
        <v>863874089045193</v>
      </c>
      <c r="O1673" s="16" t="s">
        <v>39</v>
      </c>
      <c r="P1673" s="17" t="s">
        <v>4983</v>
      </c>
      <c r="Q1673" s="17" t="s">
        <v>8</v>
      </c>
      <c r="R1673" s="18">
        <v>1999.84</v>
      </c>
      <c r="S1673" s="19">
        <v>174</v>
      </c>
      <c r="T1673" s="17"/>
      <c r="U1673" s="66"/>
    </row>
    <row r="1674" spans="2:21" s="15" customFormat="1" ht="29" x14ac:dyDescent="0.35">
      <c r="B1674" s="64">
        <v>46125</v>
      </c>
      <c r="C1674" s="17">
        <v>1564</v>
      </c>
      <c r="D1674" s="85">
        <v>932</v>
      </c>
      <c r="E1674" s="85" t="s">
        <v>4984</v>
      </c>
      <c r="F1674" s="85" t="s">
        <v>13</v>
      </c>
      <c r="G1674" s="17" t="s">
        <v>1805</v>
      </c>
      <c r="H1674" s="17" t="s">
        <v>1802</v>
      </c>
      <c r="I1674" s="145" t="s">
        <v>4652</v>
      </c>
      <c r="J1674" s="17" t="s">
        <v>4985</v>
      </c>
      <c r="K1674" s="17" t="s">
        <v>4986</v>
      </c>
      <c r="L1674" s="17" t="s">
        <v>39</v>
      </c>
      <c r="M1674" s="16" t="s">
        <v>39</v>
      </c>
      <c r="N1674" s="16" t="s">
        <v>39</v>
      </c>
      <c r="O1674" s="16" t="s">
        <v>39</v>
      </c>
      <c r="P1674" s="17" t="s">
        <v>39</v>
      </c>
      <c r="Q1674" s="17" t="s">
        <v>8</v>
      </c>
      <c r="R1674" s="18">
        <v>1999.84</v>
      </c>
      <c r="S1674" s="19">
        <v>174</v>
      </c>
      <c r="T1674" s="17"/>
      <c r="U1674" s="66"/>
    </row>
    <row r="1675" spans="2:21" s="15" customFormat="1" ht="87" x14ac:dyDescent="0.35">
      <c r="B1675" s="64">
        <v>46126</v>
      </c>
      <c r="C1675" s="17">
        <v>1565</v>
      </c>
      <c r="D1675" s="85">
        <v>908</v>
      </c>
      <c r="E1675" s="85" t="s">
        <v>4987</v>
      </c>
      <c r="F1675" s="85" t="s">
        <v>36</v>
      </c>
      <c r="G1675" s="17" t="s">
        <v>4133</v>
      </c>
      <c r="H1675" s="17" t="s">
        <v>4988</v>
      </c>
      <c r="I1675" s="145" t="s">
        <v>4929</v>
      </c>
      <c r="J1675" s="17" t="s">
        <v>4989</v>
      </c>
      <c r="K1675" s="17" t="s">
        <v>4990</v>
      </c>
      <c r="L1675" s="17" t="s">
        <v>39</v>
      </c>
      <c r="M1675" s="16" t="s">
        <v>39</v>
      </c>
      <c r="N1675" s="16" t="s">
        <v>39</v>
      </c>
      <c r="O1675" s="16" t="s">
        <v>39</v>
      </c>
      <c r="P1675" s="17" t="s">
        <v>39</v>
      </c>
      <c r="Q1675" s="17" t="s">
        <v>4991</v>
      </c>
      <c r="R1675" s="18">
        <v>522</v>
      </c>
      <c r="S1675" s="19">
        <v>0</v>
      </c>
      <c r="T1675" s="17"/>
      <c r="U1675" s="66"/>
    </row>
    <row r="1676" spans="2:21" s="15" customFormat="1" ht="29" x14ac:dyDescent="0.35">
      <c r="B1676" s="64">
        <v>46126</v>
      </c>
      <c r="C1676" s="17">
        <v>1566</v>
      </c>
      <c r="D1676" s="85">
        <v>908</v>
      </c>
      <c r="E1676" s="85" t="s">
        <v>4987</v>
      </c>
      <c r="F1676" s="85" t="s">
        <v>6</v>
      </c>
      <c r="G1676" s="17" t="s">
        <v>4133</v>
      </c>
      <c r="H1676" s="17" t="s">
        <v>4988</v>
      </c>
      <c r="I1676" s="145" t="s">
        <v>4929</v>
      </c>
      <c r="J1676" s="17" t="s">
        <v>4989</v>
      </c>
      <c r="K1676" s="17" t="s">
        <v>4990</v>
      </c>
      <c r="L1676" s="17" t="s">
        <v>39</v>
      </c>
      <c r="M1676" s="16" t="s">
        <v>39</v>
      </c>
      <c r="N1676" s="16" t="s">
        <v>39</v>
      </c>
      <c r="O1676" s="16" t="s">
        <v>39</v>
      </c>
      <c r="P1676" s="17" t="s">
        <v>39</v>
      </c>
      <c r="Q1676" s="17" t="s">
        <v>4992</v>
      </c>
      <c r="R1676" s="18">
        <v>580</v>
      </c>
      <c r="S1676" s="19">
        <v>0</v>
      </c>
      <c r="T1676" s="17"/>
      <c r="U1676" s="66"/>
    </row>
    <row r="1677" spans="2:21" s="15" customFormat="1" ht="29" x14ac:dyDescent="0.35">
      <c r="B1677" s="64">
        <v>46128</v>
      </c>
      <c r="C1677" s="17">
        <v>1567</v>
      </c>
      <c r="D1677" s="85">
        <v>933</v>
      </c>
      <c r="E1677" s="85" t="s">
        <v>4993</v>
      </c>
      <c r="F1677" s="85" t="s">
        <v>13</v>
      </c>
      <c r="G1677" s="17" t="s">
        <v>1805</v>
      </c>
      <c r="H1677" s="14" t="s">
        <v>1744</v>
      </c>
      <c r="I1677" s="145" t="s">
        <v>4609</v>
      </c>
      <c r="J1677" s="17" t="s">
        <v>4994</v>
      </c>
      <c r="K1677" s="17" t="s">
        <v>4996</v>
      </c>
      <c r="L1677" s="17" t="s">
        <v>39</v>
      </c>
      <c r="M1677" s="16" t="s">
        <v>39</v>
      </c>
      <c r="N1677" s="16" t="s">
        <v>39</v>
      </c>
      <c r="O1677" s="16" t="s">
        <v>39</v>
      </c>
      <c r="P1677" s="17" t="s">
        <v>39</v>
      </c>
      <c r="Q1677" s="17" t="s">
        <v>8</v>
      </c>
      <c r="R1677" s="18">
        <v>1999.84</v>
      </c>
      <c r="S1677" s="19">
        <v>174</v>
      </c>
      <c r="T1677" s="17"/>
      <c r="U1677" s="66"/>
    </row>
    <row r="1678" spans="2:21" s="15" customFormat="1" ht="29" x14ac:dyDescent="0.35">
      <c r="B1678" s="64">
        <v>46128</v>
      </c>
      <c r="C1678" s="17">
        <v>1568</v>
      </c>
      <c r="D1678" s="85">
        <v>934</v>
      </c>
      <c r="E1678" s="85" t="s">
        <v>4993</v>
      </c>
      <c r="F1678" s="85" t="s">
        <v>13</v>
      </c>
      <c r="G1678" s="17" t="s">
        <v>1805</v>
      </c>
      <c r="H1678" s="17" t="s">
        <v>4974</v>
      </c>
      <c r="I1678" s="145" t="s">
        <v>4934</v>
      </c>
      <c r="J1678" s="17" t="s">
        <v>4995</v>
      </c>
      <c r="K1678" s="17" t="s">
        <v>4997</v>
      </c>
      <c r="L1678" s="17" t="s">
        <v>39</v>
      </c>
      <c r="M1678" s="16" t="s">
        <v>39</v>
      </c>
      <c r="N1678" s="16" t="s">
        <v>39</v>
      </c>
      <c r="O1678" s="16" t="s">
        <v>39</v>
      </c>
      <c r="P1678" s="17" t="s">
        <v>39</v>
      </c>
      <c r="Q1678" s="17" t="s">
        <v>8</v>
      </c>
      <c r="R1678" s="18">
        <v>1999.84</v>
      </c>
      <c r="S1678" s="19">
        <v>174</v>
      </c>
      <c r="T1678" s="17"/>
      <c r="U1678" s="66"/>
    </row>
    <row r="1679" spans="2:21" s="15" customFormat="1" ht="29" x14ac:dyDescent="0.35">
      <c r="B1679" s="64">
        <v>46132</v>
      </c>
      <c r="C1679" s="17">
        <v>1569</v>
      </c>
      <c r="D1679" s="85">
        <v>935</v>
      </c>
      <c r="E1679" s="85" t="s">
        <v>4998</v>
      </c>
      <c r="F1679" s="85" t="s">
        <v>13</v>
      </c>
      <c r="G1679" s="17" t="s">
        <v>1805</v>
      </c>
      <c r="H1679" s="14" t="s">
        <v>1744</v>
      </c>
      <c r="I1679" s="145" t="s">
        <v>4599</v>
      </c>
      <c r="J1679" s="17" t="s">
        <v>4999</v>
      </c>
      <c r="K1679" s="17" t="s">
        <v>5000</v>
      </c>
      <c r="L1679" s="17" t="s">
        <v>39</v>
      </c>
      <c r="M1679" s="16" t="s">
        <v>39</v>
      </c>
      <c r="N1679" s="16" t="s">
        <v>39</v>
      </c>
      <c r="O1679" s="16" t="s">
        <v>39</v>
      </c>
      <c r="P1679" s="17" t="s">
        <v>39</v>
      </c>
      <c r="Q1679" s="17" t="s">
        <v>8</v>
      </c>
      <c r="R1679" s="18">
        <v>1999.84</v>
      </c>
      <c r="S1679" s="19">
        <v>174</v>
      </c>
      <c r="T1679" s="17"/>
      <c r="U1679" s="66"/>
    </row>
    <row r="1680" spans="2:21" s="15" customFormat="1" ht="29" x14ac:dyDescent="0.35">
      <c r="B1680" s="64">
        <v>46132</v>
      </c>
      <c r="C1680" s="17">
        <v>1570</v>
      </c>
      <c r="D1680" s="74" t="s">
        <v>5003</v>
      </c>
      <c r="E1680" s="85" t="s">
        <v>5001</v>
      </c>
      <c r="F1680" s="85" t="s">
        <v>1468</v>
      </c>
      <c r="G1680" s="17" t="s">
        <v>4133</v>
      </c>
      <c r="H1680" s="17" t="s">
        <v>1930</v>
      </c>
      <c r="I1680" s="145" t="s">
        <v>39</v>
      </c>
      <c r="J1680" s="17" t="s">
        <v>24</v>
      </c>
      <c r="K1680" s="14" t="s">
        <v>1200</v>
      </c>
      <c r="L1680" s="17" t="s">
        <v>39</v>
      </c>
      <c r="M1680" s="38">
        <v>8182597012</v>
      </c>
      <c r="N1680" s="38">
        <v>865011034398256</v>
      </c>
      <c r="O1680" s="14" t="s">
        <v>514</v>
      </c>
      <c r="P1680" s="17" t="s">
        <v>39</v>
      </c>
      <c r="Q1680" s="17" t="s">
        <v>2559</v>
      </c>
      <c r="R1680" s="18">
        <v>0</v>
      </c>
      <c r="S1680" s="19" t="s">
        <v>5002</v>
      </c>
      <c r="T1680" s="17"/>
      <c r="U1680" s="66"/>
    </row>
    <row r="1681" spans="2:21" s="15" customFormat="1" ht="29" x14ac:dyDescent="0.35">
      <c r="B1681" s="64">
        <v>46132</v>
      </c>
      <c r="C1681" s="17">
        <v>1571</v>
      </c>
      <c r="D1681" s="74" t="s">
        <v>5004</v>
      </c>
      <c r="E1681" s="85" t="s">
        <v>5001</v>
      </c>
      <c r="F1681" s="85" t="s">
        <v>1468</v>
      </c>
      <c r="G1681" s="17" t="s">
        <v>4133</v>
      </c>
      <c r="H1681" s="17" t="s">
        <v>1930</v>
      </c>
      <c r="I1681" s="145" t="s">
        <v>39</v>
      </c>
      <c r="J1681" s="14" t="s">
        <v>24</v>
      </c>
      <c r="K1681" s="58" t="s">
        <v>5076</v>
      </c>
      <c r="L1681" s="17" t="s">
        <v>39</v>
      </c>
      <c r="M1681" s="37">
        <v>8120107517</v>
      </c>
      <c r="N1681" s="38">
        <v>863830030950774</v>
      </c>
      <c r="O1681" s="38" t="s">
        <v>5075</v>
      </c>
      <c r="P1681" s="14" t="s">
        <v>5074</v>
      </c>
      <c r="Q1681" s="17" t="s">
        <v>2559</v>
      </c>
      <c r="R1681" s="18">
        <v>0</v>
      </c>
      <c r="S1681" s="19" t="s">
        <v>5002</v>
      </c>
      <c r="T1681" s="17"/>
      <c r="U1681" s="66"/>
    </row>
    <row r="1682" spans="2:21" s="15" customFormat="1" ht="29" x14ac:dyDescent="0.35">
      <c r="B1682" s="64">
        <v>46132</v>
      </c>
      <c r="C1682" s="17">
        <v>1572</v>
      </c>
      <c r="D1682" s="74" t="s">
        <v>5005</v>
      </c>
      <c r="E1682" s="85" t="s">
        <v>5001</v>
      </c>
      <c r="F1682" s="85" t="s">
        <v>1468</v>
      </c>
      <c r="G1682" s="17" t="s">
        <v>4133</v>
      </c>
      <c r="H1682" s="17" t="s">
        <v>1930</v>
      </c>
      <c r="I1682" s="145" t="s">
        <v>39</v>
      </c>
      <c r="J1682" s="14" t="s">
        <v>24</v>
      </c>
      <c r="K1682" s="14" t="s">
        <v>1411</v>
      </c>
      <c r="L1682" s="17" t="s">
        <v>39</v>
      </c>
      <c r="M1682" s="37">
        <v>8110296580</v>
      </c>
      <c r="N1682" s="38">
        <v>869220041115423</v>
      </c>
      <c r="O1682" s="16" t="s">
        <v>39</v>
      </c>
      <c r="P1682" s="14" t="s">
        <v>865</v>
      </c>
      <c r="Q1682" s="17" t="s">
        <v>2559</v>
      </c>
      <c r="R1682" s="18">
        <v>0</v>
      </c>
      <c r="S1682" s="19" t="s">
        <v>5002</v>
      </c>
      <c r="T1682" s="17"/>
      <c r="U1682" s="66"/>
    </row>
    <row r="1683" spans="2:21" s="15" customFormat="1" ht="29" x14ac:dyDescent="0.35">
      <c r="B1683" s="64">
        <v>46132</v>
      </c>
      <c r="C1683" s="17">
        <v>1573</v>
      </c>
      <c r="D1683" s="74" t="s">
        <v>5006</v>
      </c>
      <c r="E1683" s="85" t="s">
        <v>5001</v>
      </c>
      <c r="F1683" s="85" t="s">
        <v>1468</v>
      </c>
      <c r="G1683" s="17" t="s">
        <v>4133</v>
      </c>
      <c r="H1683" s="17" t="s">
        <v>1930</v>
      </c>
      <c r="I1683" s="145" t="s">
        <v>39</v>
      </c>
      <c r="J1683" s="14" t="s">
        <v>24</v>
      </c>
      <c r="K1683" s="14" t="s">
        <v>1413</v>
      </c>
      <c r="L1683" s="17" t="s">
        <v>39</v>
      </c>
      <c r="M1683" s="37">
        <v>8183963139</v>
      </c>
      <c r="N1683" s="37">
        <v>865011034398355</v>
      </c>
      <c r="O1683" s="16" t="s">
        <v>39</v>
      </c>
      <c r="P1683" s="14" t="s">
        <v>872</v>
      </c>
      <c r="Q1683" s="17" t="s">
        <v>2559</v>
      </c>
      <c r="R1683" s="18">
        <v>0</v>
      </c>
      <c r="S1683" s="19" t="s">
        <v>5002</v>
      </c>
      <c r="T1683" s="17"/>
      <c r="U1683" s="66"/>
    </row>
    <row r="1684" spans="2:21" s="15" customFormat="1" ht="29" x14ac:dyDescent="0.35">
      <c r="B1684" s="64">
        <v>46132</v>
      </c>
      <c r="C1684" s="17">
        <v>1574</v>
      </c>
      <c r="D1684" s="74" t="s">
        <v>5007</v>
      </c>
      <c r="E1684" s="85" t="s">
        <v>5001</v>
      </c>
      <c r="F1684" s="85" t="s">
        <v>1468</v>
      </c>
      <c r="G1684" s="17" t="s">
        <v>4133</v>
      </c>
      <c r="H1684" s="17" t="s">
        <v>1930</v>
      </c>
      <c r="I1684" s="145" t="s">
        <v>39</v>
      </c>
      <c r="J1684" s="14" t="s">
        <v>24</v>
      </c>
      <c r="K1684" s="14" t="s">
        <v>1418</v>
      </c>
      <c r="L1684" s="17" t="s">
        <v>39</v>
      </c>
      <c r="M1684" s="14" t="s">
        <v>5081</v>
      </c>
      <c r="N1684" s="38" t="s">
        <v>5080</v>
      </c>
      <c r="O1684" s="38" t="s">
        <v>5079</v>
      </c>
      <c r="P1684" s="14" t="s">
        <v>5078</v>
      </c>
      <c r="Q1684" s="17" t="s">
        <v>2559</v>
      </c>
      <c r="R1684" s="18">
        <v>0</v>
      </c>
      <c r="S1684" s="19" t="s">
        <v>5002</v>
      </c>
      <c r="T1684" s="17"/>
      <c r="U1684" s="66"/>
    </row>
    <row r="1685" spans="2:21" s="15" customFormat="1" ht="29" x14ac:dyDescent="0.35">
      <c r="B1685" s="64">
        <v>46132</v>
      </c>
      <c r="C1685" s="17">
        <v>1575</v>
      </c>
      <c r="D1685" s="74" t="s">
        <v>5008</v>
      </c>
      <c r="E1685" s="85" t="s">
        <v>5001</v>
      </c>
      <c r="F1685" s="85" t="s">
        <v>1468</v>
      </c>
      <c r="G1685" s="17" t="s">
        <v>4133</v>
      </c>
      <c r="H1685" s="17" t="s">
        <v>1930</v>
      </c>
      <c r="I1685" s="145" t="s">
        <v>39</v>
      </c>
      <c r="J1685" s="14" t="s">
        <v>24</v>
      </c>
      <c r="K1685" s="14" t="s">
        <v>1422</v>
      </c>
      <c r="L1685" s="17" t="s">
        <v>39</v>
      </c>
      <c r="M1685" s="14">
        <v>8118220665</v>
      </c>
      <c r="N1685" s="38">
        <v>350544502694196</v>
      </c>
      <c r="O1685" s="38" t="s">
        <v>39</v>
      </c>
      <c r="P1685" s="14" t="s">
        <v>889</v>
      </c>
      <c r="Q1685" s="17" t="s">
        <v>2559</v>
      </c>
      <c r="R1685" s="18">
        <v>0</v>
      </c>
      <c r="S1685" s="19" t="s">
        <v>5002</v>
      </c>
      <c r="T1685" s="17"/>
      <c r="U1685" s="66"/>
    </row>
    <row r="1686" spans="2:21" s="15" customFormat="1" ht="29" x14ac:dyDescent="0.35">
      <c r="B1686" s="64">
        <v>46132</v>
      </c>
      <c r="C1686" s="17">
        <v>1576</v>
      </c>
      <c r="D1686" s="74" t="s">
        <v>5009</v>
      </c>
      <c r="E1686" s="85" t="s">
        <v>5001</v>
      </c>
      <c r="F1686" s="85" t="s">
        <v>1468</v>
      </c>
      <c r="G1686" s="17" t="s">
        <v>4133</v>
      </c>
      <c r="H1686" s="17" t="s">
        <v>1930</v>
      </c>
      <c r="I1686" s="145" t="s">
        <v>39</v>
      </c>
      <c r="J1686" s="17" t="s">
        <v>24</v>
      </c>
      <c r="K1686" s="17" t="s">
        <v>1442</v>
      </c>
      <c r="L1686" s="17" t="s">
        <v>39</v>
      </c>
      <c r="M1686" s="65">
        <v>8118249699</v>
      </c>
      <c r="N1686" s="16">
        <v>869220041213350</v>
      </c>
      <c r="O1686" s="16" t="s">
        <v>5084</v>
      </c>
      <c r="P1686" s="17" t="s">
        <v>5083</v>
      </c>
      <c r="Q1686" s="17" t="s">
        <v>2559</v>
      </c>
      <c r="R1686" s="18">
        <v>0</v>
      </c>
      <c r="S1686" s="19" t="s">
        <v>5002</v>
      </c>
      <c r="T1686" s="17"/>
      <c r="U1686" s="66"/>
    </row>
    <row r="1687" spans="2:21" s="15" customFormat="1" ht="29" x14ac:dyDescent="0.35">
      <c r="B1687" s="64">
        <v>46132</v>
      </c>
      <c r="C1687" s="17">
        <v>1577</v>
      </c>
      <c r="D1687" s="74" t="s">
        <v>5010</v>
      </c>
      <c r="E1687" s="85" t="s">
        <v>5001</v>
      </c>
      <c r="F1687" s="85" t="s">
        <v>1468</v>
      </c>
      <c r="G1687" s="17" t="s">
        <v>4133</v>
      </c>
      <c r="H1687" s="17" t="s">
        <v>1930</v>
      </c>
      <c r="I1687" s="145" t="s">
        <v>39</v>
      </c>
      <c r="J1687" s="17" t="s">
        <v>5086</v>
      </c>
      <c r="K1687" s="17" t="s">
        <v>1447</v>
      </c>
      <c r="L1687" s="17" t="s">
        <v>39</v>
      </c>
      <c r="M1687" s="65">
        <v>8123209548</v>
      </c>
      <c r="N1687" s="16">
        <v>868166056885346</v>
      </c>
      <c r="O1687" s="17" t="s">
        <v>954</v>
      </c>
      <c r="P1687" s="17" t="s">
        <v>39</v>
      </c>
      <c r="Q1687" s="17" t="s">
        <v>2559</v>
      </c>
      <c r="R1687" s="18">
        <v>0</v>
      </c>
      <c r="S1687" s="19" t="s">
        <v>5002</v>
      </c>
      <c r="T1687" s="17"/>
      <c r="U1687" s="66"/>
    </row>
    <row r="1688" spans="2:21" s="15" customFormat="1" ht="29" x14ac:dyDescent="0.35">
      <c r="B1688" s="64">
        <v>46132</v>
      </c>
      <c r="C1688" s="17">
        <v>1578</v>
      </c>
      <c r="D1688" s="74" t="s">
        <v>5011</v>
      </c>
      <c r="E1688" s="85" t="s">
        <v>5001</v>
      </c>
      <c r="F1688" s="85" t="s">
        <v>1468</v>
      </c>
      <c r="G1688" s="17" t="s">
        <v>4133</v>
      </c>
      <c r="H1688" s="17" t="s">
        <v>1930</v>
      </c>
      <c r="I1688" s="145" t="s">
        <v>39</v>
      </c>
      <c r="J1688" s="17" t="s">
        <v>5087</v>
      </c>
      <c r="K1688" s="17" t="s">
        <v>1449</v>
      </c>
      <c r="L1688" s="17" t="s">
        <v>39</v>
      </c>
      <c r="M1688" s="65">
        <v>8128753187</v>
      </c>
      <c r="N1688" s="16">
        <v>868166056883911</v>
      </c>
      <c r="O1688" s="16" t="s">
        <v>5089</v>
      </c>
      <c r="P1688" s="17" t="s">
        <v>5088</v>
      </c>
      <c r="Q1688" s="17" t="s">
        <v>2559</v>
      </c>
      <c r="R1688" s="18">
        <v>0</v>
      </c>
      <c r="S1688" s="19" t="s">
        <v>5002</v>
      </c>
      <c r="T1688" s="17"/>
      <c r="U1688" s="66"/>
    </row>
    <row r="1689" spans="2:21" s="15" customFormat="1" ht="29" x14ac:dyDescent="0.35">
      <c r="B1689" s="64">
        <v>46132</v>
      </c>
      <c r="C1689" s="17">
        <v>1579</v>
      </c>
      <c r="D1689" s="74" t="s">
        <v>5012</v>
      </c>
      <c r="E1689" s="85" t="s">
        <v>5001</v>
      </c>
      <c r="F1689" s="85" t="s">
        <v>1468</v>
      </c>
      <c r="G1689" s="17" t="s">
        <v>4133</v>
      </c>
      <c r="H1689" s="17" t="s">
        <v>1930</v>
      </c>
      <c r="I1689" s="145" t="s">
        <v>39</v>
      </c>
      <c r="J1689" s="17" t="s">
        <v>24</v>
      </c>
      <c r="K1689" s="17" t="s">
        <v>1450</v>
      </c>
      <c r="L1689" s="17" t="s">
        <v>39</v>
      </c>
      <c r="M1689" s="65">
        <v>8126227996</v>
      </c>
      <c r="N1689" s="16">
        <v>869220040531265</v>
      </c>
      <c r="O1689" s="16" t="s">
        <v>39</v>
      </c>
      <c r="P1689" s="17" t="s">
        <v>966</v>
      </c>
      <c r="Q1689" s="17" t="s">
        <v>2559</v>
      </c>
      <c r="R1689" s="18">
        <v>0</v>
      </c>
      <c r="S1689" s="19" t="s">
        <v>5002</v>
      </c>
      <c r="T1689" s="17"/>
      <c r="U1689" s="66"/>
    </row>
    <row r="1690" spans="2:21" s="15" customFormat="1" ht="29" x14ac:dyDescent="0.35">
      <c r="B1690" s="64">
        <v>46132</v>
      </c>
      <c r="C1690" s="17">
        <v>1580</v>
      </c>
      <c r="D1690" s="74" t="s">
        <v>5013</v>
      </c>
      <c r="E1690" s="85" t="s">
        <v>5001</v>
      </c>
      <c r="F1690" s="85" t="s">
        <v>1468</v>
      </c>
      <c r="G1690" s="17" t="s">
        <v>4133</v>
      </c>
      <c r="H1690" s="17" t="s">
        <v>1930</v>
      </c>
      <c r="I1690" s="145" t="s">
        <v>39</v>
      </c>
      <c r="J1690" s="17" t="s">
        <v>24</v>
      </c>
      <c r="K1690" s="17" t="s">
        <v>1454</v>
      </c>
      <c r="L1690" s="17" t="s">
        <v>39</v>
      </c>
      <c r="M1690" s="65">
        <v>8118249709</v>
      </c>
      <c r="N1690" s="16">
        <v>869220041341474</v>
      </c>
      <c r="O1690" s="16" t="s">
        <v>39</v>
      </c>
      <c r="P1690" s="17" t="s">
        <v>990</v>
      </c>
      <c r="Q1690" s="17" t="s">
        <v>2559</v>
      </c>
      <c r="R1690" s="18">
        <v>0</v>
      </c>
      <c r="S1690" s="19" t="s">
        <v>5002</v>
      </c>
      <c r="T1690" s="17"/>
      <c r="U1690" s="66"/>
    </row>
    <row r="1691" spans="2:21" s="15" customFormat="1" ht="29" x14ac:dyDescent="0.35">
      <c r="B1691" s="64">
        <v>46132</v>
      </c>
      <c r="C1691" s="17">
        <v>1581</v>
      </c>
      <c r="D1691" s="74" t="s">
        <v>5014</v>
      </c>
      <c r="E1691" s="85" t="s">
        <v>5001</v>
      </c>
      <c r="F1691" s="85" t="s">
        <v>1468</v>
      </c>
      <c r="G1691" s="17" t="s">
        <v>4133</v>
      </c>
      <c r="H1691" s="17" t="s">
        <v>1930</v>
      </c>
      <c r="I1691" s="145" t="s">
        <v>39</v>
      </c>
      <c r="J1691" s="17" t="s">
        <v>5091</v>
      </c>
      <c r="K1691" s="17" t="s">
        <v>1583</v>
      </c>
      <c r="L1691" s="17" t="s">
        <v>39</v>
      </c>
      <c r="M1691" s="65">
        <v>8126201745</v>
      </c>
      <c r="N1691" s="16">
        <v>869220041537162</v>
      </c>
      <c r="O1691" s="16" t="s">
        <v>39</v>
      </c>
      <c r="P1691" s="17" t="s">
        <v>39</v>
      </c>
      <c r="Q1691" s="17" t="s">
        <v>2559</v>
      </c>
      <c r="R1691" s="18">
        <v>0</v>
      </c>
      <c r="S1691" s="19" t="s">
        <v>5002</v>
      </c>
      <c r="T1691" s="17"/>
      <c r="U1691" s="66"/>
    </row>
    <row r="1692" spans="2:21" s="15" customFormat="1" ht="29" x14ac:dyDescent="0.35">
      <c r="B1692" s="64">
        <v>46132</v>
      </c>
      <c r="C1692" s="17">
        <v>1582</v>
      </c>
      <c r="D1692" s="74" t="s">
        <v>5015</v>
      </c>
      <c r="E1692" s="85" t="s">
        <v>5001</v>
      </c>
      <c r="F1692" s="85" t="s">
        <v>1468</v>
      </c>
      <c r="G1692" s="17" t="s">
        <v>4133</v>
      </c>
      <c r="H1692" s="17" t="s">
        <v>1930</v>
      </c>
      <c r="I1692" s="145" t="s">
        <v>39</v>
      </c>
      <c r="J1692" s="17" t="s">
        <v>5092</v>
      </c>
      <c r="K1692" s="17" t="s">
        <v>1598</v>
      </c>
      <c r="L1692" s="17" t="s">
        <v>39</v>
      </c>
      <c r="M1692" s="65">
        <v>8118230185</v>
      </c>
      <c r="N1692" s="16">
        <v>865413051397643</v>
      </c>
      <c r="O1692" s="16" t="s">
        <v>5094</v>
      </c>
      <c r="P1692" s="17" t="s">
        <v>5093</v>
      </c>
      <c r="Q1692" s="17" t="s">
        <v>2559</v>
      </c>
      <c r="R1692" s="18">
        <v>0</v>
      </c>
      <c r="S1692" s="19" t="s">
        <v>5002</v>
      </c>
      <c r="T1692" s="17"/>
      <c r="U1692" s="66"/>
    </row>
    <row r="1693" spans="2:21" s="15" customFormat="1" ht="29" x14ac:dyDescent="0.35">
      <c r="B1693" s="64">
        <v>46132</v>
      </c>
      <c r="C1693" s="17">
        <v>1583</v>
      </c>
      <c r="D1693" s="74" t="s">
        <v>5018</v>
      </c>
      <c r="E1693" s="85" t="s">
        <v>5001</v>
      </c>
      <c r="F1693" s="85" t="s">
        <v>1468</v>
      </c>
      <c r="G1693" s="17" t="s">
        <v>4133</v>
      </c>
      <c r="H1693" s="17" t="s">
        <v>1930</v>
      </c>
      <c r="I1693" s="145" t="s">
        <v>39</v>
      </c>
      <c r="J1693" s="17" t="s">
        <v>26</v>
      </c>
      <c r="K1693" s="17" t="s">
        <v>1600</v>
      </c>
      <c r="L1693" s="17" t="s">
        <v>39</v>
      </c>
      <c r="M1693" s="65">
        <v>8120107535</v>
      </c>
      <c r="N1693" s="16">
        <v>868166053313458</v>
      </c>
      <c r="O1693" s="16" t="s">
        <v>5097</v>
      </c>
      <c r="P1693" s="17" t="s">
        <v>5096</v>
      </c>
      <c r="Q1693" s="17" t="s">
        <v>2559</v>
      </c>
      <c r="R1693" s="18">
        <v>0</v>
      </c>
      <c r="S1693" s="19" t="s">
        <v>5002</v>
      </c>
      <c r="T1693" s="17"/>
      <c r="U1693" s="66"/>
    </row>
    <row r="1694" spans="2:21" s="15" customFormat="1" ht="29" x14ac:dyDescent="0.35">
      <c r="B1694" s="64">
        <v>46132</v>
      </c>
      <c r="C1694" s="17">
        <v>1584</v>
      </c>
      <c r="D1694" s="74" t="s">
        <v>5016</v>
      </c>
      <c r="E1694" s="85" t="s">
        <v>5001</v>
      </c>
      <c r="F1694" s="85" t="s">
        <v>1468</v>
      </c>
      <c r="G1694" s="17" t="s">
        <v>4133</v>
      </c>
      <c r="H1694" s="17" t="s">
        <v>1930</v>
      </c>
      <c r="I1694" s="145" t="s">
        <v>39</v>
      </c>
      <c r="J1694" s="17" t="s">
        <v>24</v>
      </c>
      <c r="K1694" s="17" t="s">
        <v>1602</v>
      </c>
      <c r="L1694" s="17" t="s">
        <v>39</v>
      </c>
      <c r="M1694" s="38">
        <v>8134058894</v>
      </c>
      <c r="N1694" s="37">
        <v>865011031932149</v>
      </c>
      <c r="O1694" s="16" t="s">
        <v>39</v>
      </c>
      <c r="P1694" s="17" t="s">
        <v>1603</v>
      </c>
      <c r="Q1694" s="17" t="s">
        <v>2559</v>
      </c>
      <c r="R1694" s="18">
        <v>0</v>
      </c>
      <c r="S1694" s="19" t="s">
        <v>5002</v>
      </c>
      <c r="T1694" s="17"/>
      <c r="U1694" s="66"/>
    </row>
    <row r="1695" spans="2:21" s="15" customFormat="1" ht="29" x14ac:dyDescent="0.35">
      <c r="B1695" s="64">
        <v>46132</v>
      </c>
      <c r="C1695" s="17">
        <v>1585</v>
      </c>
      <c r="D1695" s="74" t="s">
        <v>5017</v>
      </c>
      <c r="E1695" s="85" t="s">
        <v>5001</v>
      </c>
      <c r="F1695" s="85" t="s">
        <v>1468</v>
      </c>
      <c r="G1695" s="17" t="s">
        <v>4133</v>
      </c>
      <c r="H1695" s="17" t="s">
        <v>1930</v>
      </c>
      <c r="I1695" s="145" t="s">
        <v>39</v>
      </c>
      <c r="J1695" s="17" t="s">
        <v>5098</v>
      </c>
      <c r="K1695" s="17" t="s">
        <v>1637</v>
      </c>
      <c r="L1695" s="17" t="s">
        <v>39</v>
      </c>
      <c r="M1695" s="65">
        <v>8110441211</v>
      </c>
      <c r="N1695" s="16">
        <v>868166057398737</v>
      </c>
      <c r="O1695" s="16" t="s">
        <v>5100</v>
      </c>
      <c r="P1695" s="17" t="s">
        <v>5099</v>
      </c>
      <c r="Q1695" s="17" t="s">
        <v>2559</v>
      </c>
      <c r="R1695" s="18">
        <v>0</v>
      </c>
      <c r="S1695" s="19" t="s">
        <v>5002</v>
      </c>
      <c r="T1695" s="17"/>
      <c r="U1695" s="66"/>
    </row>
    <row r="1696" spans="2:21" s="15" customFormat="1" ht="29" x14ac:dyDescent="0.35">
      <c r="B1696" s="64">
        <v>46132</v>
      </c>
      <c r="C1696" s="17">
        <v>1586</v>
      </c>
      <c r="D1696" s="74" t="s">
        <v>5019</v>
      </c>
      <c r="E1696" s="85" t="s">
        <v>5001</v>
      </c>
      <c r="F1696" s="85" t="s">
        <v>1468</v>
      </c>
      <c r="G1696" s="17" t="s">
        <v>4133</v>
      </c>
      <c r="H1696" s="17" t="s">
        <v>1930</v>
      </c>
      <c r="I1696" s="145" t="s">
        <v>39</v>
      </c>
      <c r="J1696" s="17" t="s">
        <v>5101</v>
      </c>
      <c r="K1696" s="17" t="s">
        <v>1641</v>
      </c>
      <c r="L1696" s="17" t="s">
        <v>39</v>
      </c>
      <c r="M1696" s="14">
        <v>8180209181</v>
      </c>
      <c r="N1696" s="38">
        <v>868166054738760</v>
      </c>
      <c r="O1696" s="16" t="s">
        <v>39</v>
      </c>
      <c r="P1696" s="17" t="s">
        <v>1642</v>
      </c>
      <c r="Q1696" s="17" t="s">
        <v>2559</v>
      </c>
      <c r="R1696" s="18">
        <v>0</v>
      </c>
      <c r="S1696" s="19" t="s">
        <v>5002</v>
      </c>
      <c r="T1696" s="17"/>
      <c r="U1696" s="66"/>
    </row>
    <row r="1697" spans="2:21" s="15" customFormat="1" ht="29" x14ac:dyDescent="0.35">
      <c r="B1697" s="64">
        <v>46132</v>
      </c>
      <c r="C1697" s="17">
        <v>1588</v>
      </c>
      <c r="D1697" s="74" t="s">
        <v>5021</v>
      </c>
      <c r="E1697" s="85" t="s">
        <v>5001</v>
      </c>
      <c r="F1697" s="85" t="s">
        <v>1468</v>
      </c>
      <c r="G1697" s="17" t="s">
        <v>4133</v>
      </c>
      <c r="H1697" s="17" t="s">
        <v>1930</v>
      </c>
      <c r="I1697" s="145" t="s">
        <v>39</v>
      </c>
      <c r="J1697" s="17" t="s">
        <v>5105</v>
      </c>
      <c r="K1697" s="17" t="s">
        <v>1658</v>
      </c>
      <c r="L1697" s="17" t="s">
        <v>39</v>
      </c>
      <c r="M1697" s="65">
        <v>8118003775</v>
      </c>
      <c r="N1697" s="16">
        <v>350544501550639</v>
      </c>
      <c r="O1697" s="16" t="s">
        <v>5108</v>
      </c>
      <c r="P1697" s="17" t="s">
        <v>5107</v>
      </c>
      <c r="Q1697" s="17" t="s">
        <v>2559</v>
      </c>
      <c r="R1697" s="18">
        <v>0</v>
      </c>
      <c r="S1697" s="19" t="s">
        <v>5002</v>
      </c>
      <c r="T1697" s="17"/>
      <c r="U1697" s="66"/>
    </row>
    <row r="1698" spans="2:21" s="15" customFormat="1" ht="29" x14ac:dyDescent="0.35">
      <c r="B1698" s="64">
        <v>46132</v>
      </c>
      <c r="C1698" s="17">
        <v>1587</v>
      </c>
      <c r="D1698" s="74" t="s">
        <v>5020</v>
      </c>
      <c r="E1698" s="85" t="s">
        <v>5001</v>
      </c>
      <c r="F1698" s="85" t="s">
        <v>1468</v>
      </c>
      <c r="G1698" s="17" t="s">
        <v>4133</v>
      </c>
      <c r="H1698" s="17" t="s">
        <v>1930</v>
      </c>
      <c r="I1698" s="145" t="s">
        <v>39</v>
      </c>
      <c r="J1698" s="17" t="s">
        <v>5102</v>
      </c>
      <c r="K1698" s="17" t="s">
        <v>1655</v>
      </c>
      <c r="L1698" s="17" t="s">
        <v>39</v>
      </c>
      <c r="M1698" s="65">
        <v>8183963032</v>
      </c>
      <c r="N1698" s="16">
        <v>868166057388688</v>
      </c>
      <c r="O1698" s="16" t="s">
        <v>5104</v>
      </c>
      <c r="P1698" s="17" t="s">
        <v>5103</v>
      </c>
      <c r="Q1698" s="17" t="s">
        <v>2559</v>
      </c>
      <c r="R1698" s="18">
        <v>0</v>
      </c>
      <c r="S1698" s="19" t="s">
        <v>5002</v>
      </c>
      <c r="T1698" s="17"/>
      <c r="U1698" s="66"/>
    </row>
    <row r="1699" spans="2:21" s="15" customFormat="1" ht="29" x14ac:dyDescent="0.35">
      <c r="B1699" s="64">
        <v>46132</v>
      </c>
      <c r="C1699" s="17">
        <v>1589</v>
      </c>
      <c r="D1699" s="74" t="s">
        <v>5022</v>
      </c>
      <c r="E1699" s="85" t="s">
        <v>5001</v>
      </c>
      <c r="F1699" s="85" t="s">
        <v>1468</v>
      </c>
      <c r="G1699" s="17" t="s">
        <v>4133</v>
      </c>
      <c r="H1699" s="17" t="s">
        <v>1930</v>
      </c>
      <c r="I1699" s="145" t="s">
        <v>39</v>
      </c>
      <c r="J1699" s="17" t="s">
        <v>5109</v>
      </c>
      <c r="K1699" s="17" t="s">
        <v>1662</v>
      </c>
      <c r="L1699" s="17" t="s">
        <v>39</v>
      </c>
      <c r="M1699" s="65">
        <v>8118247487</v>
      </c>
      <c r="N1699" s="16">
        <v>869220041535083</v>
      </c>
      <c r="O1699" s="16" t="s">
        <v>39</v>
      </c>
      <c r="P1699" s="17" t="s">
        <v>1663</v>
      </c>
      <c r="Q1699" s="17" t="s">
        <v>2559</v>
      </c>
      <c r="R1699" s="18">
        <v>0</v>
      </c>
      <c r="S1699" s="19" t="s">
        <v>5002</v>
      </c>
      <c r="T1699" s="17"/>
      <c r="U1699" s="66"/>
    </row>
    <row r="1700" spans="2:21" s="15" customFormat="1" ht="29" x14ac:dyDescent="0.35">
      <c r="B1700" s="64">
        <v>46132</v>
      </c>
      <c r="C1700" s="17">
        <v>1590</v>
      </c>
      <c r="D1700" s="74" t="s">
        <v>5023</v>
      </c>
      <c r="E1700" s="85" t="s">
        <v>5001</v>
      </c>
      <c r="F1700" s="85" t="s">
        <v>1468</v>
      </c>
      <c r="G1700" s="17" t="s">
        <v>4133</v>
      </c>
      <c r="H1700" s="17" t="s">
        <v>1930</v>
      </c>
      <c r="I1700" s="145" t="s">
        <v>39</v>
      </c>
      <c r="J1700" s="17" t="s">
        <v>5111</v>
      </c>
      <c r="K1700" s="17" t="s">
        <v>1665</v>
      </c>
      <c r="L1700" s="17" t="s">
        <v>39</v>
      </c>
      <c r="M1700" s="65">
        <v>8118249704</v>
      </c>
      <c r="N1700" s="16">
        <v>869220041535257</v>
      </c>
      <c r="O1700" s="16" t="s">
        <v>5113</v>
      </c>
      <c r="P1700" s="17" t="s">
        <v>5112</v>
      </c>
      <c r="Q1700" s="17" t="s">
        <v>2559</v>
      </c>
      <c r="R1700" s="18">
        <v>0</v>
      </c>
      <c r="S1700" s="19" t="s">
        <v>5002</v>
      </c>
      <c r="T1700" s="17"/>
      <c r="U1700" s="66"/>
    </row>
    <row r="1701" spans="2:21" s="15" customFormat="1" ht="29" x14ac:dyDescent="0.35">
      <c r="B1701" s="64">
        <v>46132</v>
      </c>
      <c r="C1701" s="17">
        <v>1591</v>
      </c>
      <c r="D1701" s="74" t="s">
        <v>5024</v>
      </c>
      <c r="E1701" s="85" t="s">
        <v>5001</v>
      </c>
      <c r="F1701" s="85" t="s">
        <v>1468</v>
      </c>
      <c r="G1701" s="17" t="s">
        <v>4133</v>
      </c>
      <c r="H1701" s="17" t="s">
        <v>1930</v>
      </c>
      <c r="I1701" s="145" t="s">
        <v>39</v>
      </c>
      <c r="J1701" s="77" t="s">
        <v>5114</v>
      </c>
      <c r="K1701" s="17" t="s">
        <v>1666</v>
      </c>
      <c r="L1701" s="17" t="s">
        <v>39</v>
      </c>
      <c r="M1701" s="65">
        <v>8182546244</v>
      </c>
      <c r="N1701" s="16">
        <v>868166057388407</v>
      </c>
      <c r="O1701" s="16" t="s">
        <v>5116</v>
      </c>
      <c r="P1701" s="17" t="s">
        <v>5115</v>
      </c>
      <c r="Q1701" s="17" t="s">
        <v>2559</v>
      </c>
      <c r="R1701" s="18">
        <v>0</v>
      </c>
      <c r="S1701" s="19" t="s">
        <v>5002</v>
      </c>
      <c r="T1701" s="17"/>
      <c r="U1701" s="66"/>
    </row>
    <row r="1702" spans="2:21" s="15" customFormat="1" ht="29" x14ac:dyDescent="0.35">
      <c r="B1702" s="64">
        <v>46132</v>
      </c>
      <c r="C1702" s="17">
        <v>1592</v>
      </c>
      <c r="D1702" s="74" t="s">
        <v>5025</v>
      </c>
      <c r="E1702" s="85" t="s">
        <v>5001</v>
      </c>
      <c r="F1702" s="85" t="s">
        <v>1468</v>
      </c>
      <c r="G1702" s="17" t="s">
        <v>4133</v>
      </c>
      <c r="H1702" s="17" t="s">
        <v>1930</v>
      </c>
      <c r="I1702" s="145" t="s">
        <v>39</v>
      </c>
      <c r="J1702" s="77" t="s">
        <v>5117</v>
      </c>
      <c r="K1702" s="17" t="s">
        <v>1669</v>
      </c>
      <c r="L1702" s="17" t="s">
        <v>39</v>
      </c>
      <c r="M1702" s="65">
        <v>8123522039</v>
      </c>
      <c r="N1702" s="16">
        <v>868166057388225</v>
      </c>
      <c r="O1702" s="16" t="s">
        <v>5119</v>
      </c>
      <c r="P1702" s="17" t="s">
        <v>5118</v>
      </c>
      <c r="Q1702" s="17" t="s">
        <v>2559</v>
      </c>
      <c r="R1702" s="18">
        <v>0</v>
      </c>
      <c r="S1702" s="19" t="s">
        <v>5002</v>
      </c>
      <c r="T1702" s="17"/>
      <c r="U1702" s="66"/>
    </row>
    <row r="1703" spans="2:21" s="15" customFormat="1" ht="29" x14ac:dyDescent="0.35">
      <c r="B1703" s="64">
        <v>46132</v>
      </c>
      <c r="C1703" s="17">
        <v>1593</v>
      </c>
      <c r="D1703" s="74" t="s">
        <v>5026</v>
      </c>
      <c r="E1703" s="85" t="s">
        <v>5001</v>
      </c>
      <c r="F1703" s="85" t="s">
        <v>1468</v>
      </c>
      <c r="G1703" s="17" t="s">
        <v>4133</v>
      </c>
      <c r="H1703" s="17" t="s">
        <v>1930</v>
      </c>
      <c r="I1703" s="145" t="s">
        <v>39</v>
      </c>
      <c r="J1703" s="17" t="s">
        <v>24</v>
      </c>
      <c r="K1703" s="17" t="s">
        <v>1673</v>
      </c>
      <c r="L1703" s="17" t="s">
        <v>39</v>
      </c>
      <c r="M1703" s="65">
        <v>8123530633</v>
      </c>
      <c r="N1703" s="16">
        <v>868166057388670</v>
      </c>
      <c r="O1703" s="16" t="s">
        <v>39</v>
      </c>
      <c r="P1703" s="17" t="s">
        <v>1664</v>
      </c>
      <c r="Q1703" s="17" t="s">
        <v>2559</v>
      </c>
      <c r="R1703" s="18">
        <v>0</v>
      </c>
      <c r="S1703" s="19" t="s">
        <v>5002</v>
      </c>
      <c r="T1703" s="17"/>
      <c r="U1703" s="66"/>
    </row>
    <row r="1704" spans="2:21" s="15" customFormat="1" ht="29" x14ac:dyDescent="0.35">
      <c r="B1704" s="64">
        <v>46132</v>
      </c>
      <c r="C1704" s="17">
        <v>1594</v>
      </c>
      <c r="D1704" s="74" t="s">
        <v>5027</v>
      </c>
      <c r="E1704" s="85" t="s">
        <v>5001</v>
      </c>
      <c r="F1704" s="85" t="s">
        <v>1468</v>
      </c>
      <c r="G1704" s="17" t="s">
        <v>4133</v>
      </c>
      <c r="H1704" s="17" t="s">
        <v>1930</v>
      </c>
      <c r="I1704" s="145" t="s">
        <v>39</v>
      </c>
      <c r="J1704" s="17" t="s">
        <v>5120</v>
      </c>
      <c r="K1704" s="17" t="s">
        <v>1677</v>
      </c>
      <c r="L1704" s="17" t="s">
        <v>39</v>
      </c>
      <c r="M1704" s="65">
        <v>8112120446</v>
      </c>
      <c r="N1704" s="16">
        <v>869220041536560</v>
      </c>
      <c r="O1704" s="16" t="s">
        <v>5122</v>
      </c>
      <c r="P1704" s="17" t="s">
        <v>5121</v>
      </c>
      <c r="Q1704" s="17" t="s">
        <v>2559</v>
      </c>
      <c r="R1704" s="18">
        <v>0</v>
      </c>
      <c r="S1704" s="19" t="s">
        <v>5002</v>
      </c>
      <c r="T1704" s="17"/>
      <c r="U1704" s="66"/>
    </row>
    <row r="1705" spans="2:21" s="15" customFormat="1" ht="29" x14ac:dyDescent="0.35">
      <c r="B1705" s="64">
        <v>46132</v>
      </c>
      <c r="C1705" s="17">
        <v>1595</v>
      </c>
      <c r="D1705" s="74" t="s">
        <v>5028</v>
      </c>
      <c r="E1705" s="85" t="s">
        <v>5001</v>
      </c>
      <c r="F1705" s="85" t="s">
        <v>1468</v>
      </c>
      <c r="G1705" s="17" t="s">
        <v>4133</v>
      </c>
      <c r="H1705" s="17" t="s">
        <v>1930</v>
      </c>
      <c r="I1705" s="145" t="s">
        <v>39</v>
      </c>
      <c r="J1705" s="17" t="s">
        <v>26</v>
      </c>
      <c r="K1705" s="17" t="s">
        <v>1683</v>
      </c>
      <c r="L1705" s="17" t="s">
        <v>39</v>
      </c>
      <c r="M1705" s="65">
        <v>8128740393</v>
      </c>
      <c r="N1705" s="16">
        <v>868166057903296</v>
      </c>
      <c r="O1705" s="16" t="s">
        <v>5124</v>
      </c>
      <c r="P1705" s="17" t="s">
        <v>5123</v>
      </c>
      <c r="Q1705" s="17" t="s">
        <v>2559</v>
      </c>
      <c r="R1705" s="18">
        <v>0</v>
      </c>
      <c r="S1705" s="19" t="s">
        <v>5002</v>
      </c>
      <c r="T1705" s="17"/>
      <c r="U1705" s="66"/>
    </row>
    <row r="1706" spans="2:21" s="15" customFormat="1" ht="29" x14ac:dyDescent="0.35">
      <c r="B1706" s="64">
        <v>46132</v>
      </c>
      <c r="C1706" s="17">
        <v>1596</v>
      </c>
      <c r="D1706" s="74" t="s">
        <v>5029</v>
      </c>
      <c r="E1706" s="85" t="s">
        <v>5001</v>
      </c>
      <c r="F1706" s="85" t="s">
        <v>1468</v>
      </c>
      <c r="G1706" s="17" t="s">
        <v>4133</v>
      </c>
      <c r="H1706" s="17" t="s">
        <v>1930</v>
      </c>
      <c r="I1706" s="145" t="s">
        <v>39</v>
      </c>
      <c r="J1706" s="17" t="s">
        <v>5126</v>
      </c>
      <c r="K1706" s="17" t="s">
        <v>1705</v>
      </c>
      <c r="L1706" s="17" t="s">
        <v>39</v>
      </c>
      <c r="M1706" s="65">
        <v>8123728984</v>
      </c>
      <c r="N1706" s="16">
        <v>869220041535349</v>
      </c>
      <c r="O1706" s="119" t="s">
        <v>5128</v>
      </c>
      <c r="P1706" s="70" t="s">
        <v>5127</v>
      </c>
      <c r="Q1706" s="17" t="s">
        <v>2559</v>
      </c>
      <c r="R1706" s="18">
        <v>0</v>
      </c>
      <c r="S1706" s="19" t="s">
        <v>5002</v>
      </c>
      <c r="T1706" s="17"/>
      <c r="U1706" s="66"/>
    </row>
    <row r="1707" spans="2:21" s="15" customFormat="1" ht="29" x14ac:dyDescent="0.35">
      <c r="B1707" s="64">
        <v>46132</v>
      </c>
      <c r="C1707" s="17">
        <v>1597</v>
      </c>
      <c r="D1707" s="74" t="s">
        <v>5030</v>
      </c>
      <c r="E1707" s="85" t="s">
        <v>5001</v>
      </c>
      <c r="F1707" s="85" t="s">
        <v>1468</v>
      </c>
      <c r="G1707" s="17" t="s">
        <v>4133</v>
      </c>
      <c r="H1707" s="17" t="s">
        <v>1930</v>
      </c>
      <c r="I1707" s="145" t="s">
        <v>39</v>
      </c>
      <c r="J1707" s="17" t="s">
        <v>5129</v>
      </c>
      <c r="K1707" s="17" t="s">
        <v>1706</v>
      </c>
      <c r="L1707" s="17" t="s">
        <v>39</v>
      </c>
      <c r="M1707" s="65">
        <v>8110386738</v>
      </c>
      <c r="N1707" s="16">
        <v>869220041537097</v>
      </c>
      <c r="O1707" s="119" t="s">
        <v>5131</v>
      </c>
      <c r="P1707" s="70" t="s">
        <v>5130</v>
      </c>
      <c r="Q1707" s="17" t="s">
        <v>2559</v>
      </c>
      <c r="R1707" s="18">
        <v>0</v>
      </c>
      <c r="S1707" s="19" t="s">
        <v>5002</v>
      </c>
      <c r="T1707" s="17"/>
      <c r="U1707" s="66"/>
    </row>
    <row r="1708" spans="2:21" s="15" customFormat="1" ht="29" x14ac:dyDescent="0.35">
      <c r="B1708" s="64">
        <v>46132</v>
      </c>
      <c r="C1708" s="17">
        <v>1598</v>
      </c>
      <c r="D1708" s="74" t="s">
        <v>5031</v>
      </c>
      <c r="E1708" s="85" t="s">
        <v>5001</v>
      </c>
      <c r="F1708" s="85" t="s">
        <v>1468</v>
      </c>
      <c r="G1708" s="17" t="s">
        <v>4133</v>
      </c>
      <c r="H1708" s="17" t="s">
        <v>1930</v>
      </c>
      <c r="I1708" s="145" t="s">
        <v>39</v>
      </c>
      <c r="J1708" s="17" t="s">
        <v>5132</v>
      </c>
      <c r="K1708" s="17" t="s">
        <v>1712</v>
      </c>
      <c r="L1708" s="17" t="s">
        <v>39</v>
      </c>
      <c r="M1708" s="65">
        <v>8135518612</v>
      </c>
      <c r="N1708" s="16">
        <v>869220041536313</v>
      </c>
      <c r="O1708" s="119" t="s">
        <v>39</v>
      </c>
      <c r="P1708" s="70" t="s">
        <v>1713</v>
      </c>
      <c r="Q1708" s="17" t="s">
        <v>2559</v>
      </c>
      <c r="R1708" s="18">
        <v>0</v>
      </c>
      <c r="S1708" s="19" t="s">
        <v>5002</v>
      </c>
      <c r="T1708" s="17"/>
      <c r="U1708" s="66"/>
    </row>
    <row r="1709" spans="2:21" s="15" customFormat="1" ht="29" x14ac:dyDescent="0.35">
      <c r="B1709" s="64">
        <v>46132</v>
      </c>
      <c r="C1709" s="17">
        <v>1599</v>
      </c>
      <c r="D1709" s="74" t="s">
        <v>5032</v>
      </c>
      <c r="E1709" s="85" t="s">
        <v>5001</v>
      </c>
      <c r="F1709" s="85" t="s">
        <v>1468</v>
      </c>
      <c r="G1709" s="17" t="s">
        <v>4133</v>
      </c>
      <c r="H1709" s="17" t="s">
        <v>1930</v>
      </c>
      <c r="I1709" s="145" t="s">
        <v>39</v>
      </c>
      <c r="J1709" s="17" t="s">
        <v>5133</v>
      </c>
      <c r="K1709" s="17" t="s">
        <v>1760</v>
      </c>
      <c r="L1709" s="17" t="s">
        <v>39</v>
      </c>
      <c r="M1709" s="17">
        <v>8126310858</v>
      </c>
      <c r="N1709" s="16">
        <v>868166057891962</v>
      </c>
      <c r="O1709" s="16" t="s">
        <v>39</v>
      </c>
      <c r="P1709" s="17" t="s">
        <v>1761</v>
      </c>
      <c r="Q1709" s="17" t="s">
        <v>2559</v>
      </c>
      <c r="R1709" s="18">
        <v>0</v>
      </c>
      <c r="S1709" s="19" t="s">
        <v>5002</v>
      </c>
      <c r="T1709" s="17"/>
      <c r="U1709" s="66"/>
    </row>
    <row r="1710" spans="2:21" s="15" customFormat="1" ht="29" x14ac:dyDescent="0.35">
      <c r="B1710" s="64">
        <v>46132</v>
      </c>
      <c r="C1710" s="17">
        <v>1600</v>
      </c>
      <c r="D1710" s="74" t="s">
        <v>5033</v>
      </c>
      <c r="E1710" s="85" t="s">
        <v>5001</v>
      </c>
      <c r="F1710" s="85" t="s">
        <v>1468</v>
      </c>
      <c r="G1710" s="17" t="s">
        <v>4133</v>
      </c>
      <c r="H1710" s="17" t="s">
        <v>1930</v>
      </c>
      <c r="I1710" s="145" t="s">
        <v>39</v>
      </c>
      <c r="J1710" s="17" t="s">
        <v>24</v>
      </c>
      <c r="K1710" s="17" t="s">
        <v>1763</v>
      </c>
      <c r="L1710" s="17" t="s">
        <v>39</v>
      </c>
      <c r="M1710" s="17">
        <v>8135518615</v>
      </c>
      <c r="N1710" s="16">
        <v>868166057891996</v>
      </c>
      <c r="O1710" s="16" t="s">
        <v>5135</v>
      </c>
      <c r="P1710" s="17" t="s">
        <v>5134</v>
      </c>
      <c r="Q1710" s="17" t="s">
        <v>2559</v>
      </c>
      <c r="R1710" s="18">
        <v>0</v>
      </c>
      <c r="S1710" s="19" t="s">
        <v>5002</v>
      </c>
      <c r="T1710" s="17"/>
      <c r="U1710" s="66"/>
    </row>
    <row r="1711" spans="2:21" s="15" customFormat="1" ht="29" x14ac:dyDescent="0.35">
      <c r="B1711" s="64">
        <v>46132</v>
      </c>
      <c r="C1711" s="17">
        <v>1601</v>
      </c>
      <c r="D1711" s="74" t="s">
        <v>5034</v>
      </c>
      <c r="E1711" s="85" t="s">
        <v>5001</v>
      </c>
      <c r="F1711" s="85" t="s">
        <v>1468</v>
      </c>
      <c r="G1711" s="17" t="s">
        <v>4133</v>
      </c>
      <c r="H1711" s="17" t="s">
        <v>1930</v>
      </c>
      <c r="I1711" s="145" t="s">
        <v>39</v>
      </c>
      <c r="J1711" s="17" t="s">
        <v>5136</v>
      </c>
      <c r="K1711" s="17" t="s">
        <v>1778</v>
      </c>
      <c r="L1711" s="17" t="s">
        <v>39</v>
      </c>
      <c r="M1711" s="65">
        <v>8183963142</v>
      </c>
      <c r="N1711" s="16">
        <v>865011034399478</v>
      </c>
      <c r="O1711" s="16" t="s">
        <v>39</v>
      </c>
      <c r="P1711" s="17" t="s">
        <v>39</v>
      </c>
      <c r="Q1711" s="17" t="s">
        <v>2559</v>
      </c>
      <c r="R1711" s="18">
        <v>0</v>
      </c>
      <c r="S1711" s="19" t="s">
        <v>5002</v>
      </c>
      <c r="T1711" s="17"/>
      <c r="U1711" s="66"/>
    </row>
    <row r="1712" spans="2:21" s="15" customFormat="1" ht="29" x14ac:dyDescent="0.35">
      <c r="B1712" s="64">
        <v>46132</v>
      </c>
      <c r="C1712" s="17">
        <v>1602</v>
      </c>
      <c r="D1712" s="74" t="s">
        <v>5035</v>
      </c>
      <c r="E1712" s="85" t="s">
        <v>5001</v>
      </c>
      <c r="F1712" s="85" t="s">
        <v>1468</v>
      </c>
      <c r="G1712" s="17" t="s">
        <v>4133</v>
      </c>
      <c r="H1712" s="17" t="s">
        <v>1930</v>
      </c>
      <c r="I1712" s="145" t="s">
        <v>39</v>
      </c>
      <c r="J1712" s="17" t="s">
        <v>5137</v>
      </c>
      <c r="K1712" s="17" t="s">
        <v>1823</v>
      </c>
      <c r="L1712" s="17" t="s">
        <v>39</v>
      </c>
      <c r="M1712" s="65">
        <v>8115777406</v>
      </c>
      <c r="N1712" s="16">
        <v>868166058825571</v>
      </c>
      <c r="O1712" s="16" t="s">
        <v>39</v>
      </c>
      <c r="P1712" s="17" t="s">
        <v>1824</v>
      </c>
      <c r="Q1712" s="17" t="s">
        <v>2559</v>
      </c>
      <c r="R1712" s="18">
        <v>0</v>
      </c>
      <c r="S1712" s="19" t="s">
        <v>5002</v>
      </c>
      <c r="T1712" s="17"/>
      <c r="U1712" s="66"/>
    </row>
    <row r="1713" spans="2:21" s="15" customFormat="1" ht="29" x14ac:dyDescent="0.35">
      <c r="B1713" s="64">
        <v>46132</v>
      </c>
      <c r="C1713" s="17">
        <v>1603</v>
      </c>
      <c r="D1713" s="74" t="s">
        <v>5036</v>
      </c>
      <c r="E1713" s="85" t="s">
        <v>5001</v>
      </c>
      <c r="F1713" s="85" t="s">
        <v>1468</v>
      </c>
      <c r="G1713" s="17" t="s">
        <v>4133</v>
      </c>
      <c r="H1713" s="17" t="s">
        <v>1930</v>
      </c>
      <c r="I1713" s="145" t="s">
        <v>39</v>
      </c>
      <c r="J1713" s="17" t="s">
        <v>5138</v>
      </c>
      <c r="K1713" s="17" t="s">
        <v>1825</v>
      </c>
      <c r="L1713" s="17" t="s">
        <v>39</v>
      </c>
      <c r="M1713" s="65">
        <v>8115296078</v>
      </c>
      <c r="N1713" s="16">
        <v>868166058822388</v>
      </c>
      <c r="O1713" s="16" t="s">
        <v>39</v>
      </c>
      <c r="P1713" s="17" t="s">
        <v>1826</v>
      </c>
      <c r="Q1713" s="17" t="s">
        <v>2559</v>
      </c>
      <c r="R1713" s="18">
        <v>0</v>
      </c>
      <c r="S1713" s="19" t="s">
        <v>5002</v>
      </c>
      <c r="T1713" s="17"/>
      <c r="U1713" s="66"/>
    </row>
    <row r="1714" spans="2:21" s="15" customFormat="1" ht="29" x14ac:dyDescent="0.35">
      <c r="B1714" s="64">
        <v>46132</v>
      </c>
      <c r="C1714" s="17">
        <v>1604</v>
      </c>
      <c r="D1714" s="74" t="s">
        <v>5037</v>
      </c>
      <c r="E1714" s="85" t="s">
        <v>5001</v>
      </c>
      <c r="F1714" s="85" t="s">
        <v>1468</v>
      </c>
      <c r="G1714" s="17" t="s">
        <v>4133</v>
      </c>
      <c r="H1714" s="17" t="s">
        <v>1930</v>
      </c>
      <c r="I1714" s="145" t="s">
        <v>39</v>
      </c>
      <c r="J1714" s="17" t="s">
        <v>5139</v>
      </c>
      <c r="K1714" s="17" t="s">
        <v>1834</v>
      </c>
      <c r="L1714" s="17" t="s">
        <v>39</v>
      </c>
      <c r="M1714" s="65">
        <v>8115000996</v>
      </c>
      <c r="N1714" s="16">
        <v>868166058821737</v>
      </c>
      <c r="O1714" s="16" t="s">
        <v>5141</v>
      </c>
      <c r="P1714" s="17" t="s">
        <v>5140</v>
      </c>
      <c r="Q1714" s="17" t="s">
        <v>2559</v>
      </c>
      <c r="R1714" s="18">
        <v>0</v>
      </c>
      <c r="S1714" s="19" t="s">
        <v>5002</v>
      </c>
      <c r="T1714" s="17"/>
      <c r="U1714" s="66"/>
    </row>
    <row r="1715" spans="2:21" s="15" customFormat="1" ht="29" x14ac:dyDescent="0.35">
      <c r="B1715" s="64">
        <v>46132</v>
      </c>
      <c r="C1715" s="17">
        <v>1605</v>
      </c>
      <c r="D1715" s="74" t="s">
        <v>5038</v>
      </c>
      <c r="E1715" s="85" t="s">
        <v>5001</v>
      </c>
      <c r="F1715" s="85" t="s">
        <v>1468</v>
      </c>
      <c r="G1715" s="17" t="s">
        <v>4133</v>
      </c>
      <c r="H1715" s="17" t="s">
        <v>1930</v>
      </c>
      <c r="I1715" s="145" t="s">
        <v>39</v>
      </c>
      <c r="J1715" s="17" t="s">
        <v>24</v>
      </c>
      <c r="K1715" s="17" t="s">
        <v>1843</v>
      </c>
      <c r="L1715" s="17" t="s">
        <v>39</v>
      </c>
      <c r="M1715" s="65">
        <v>8119168862</v>
      </c>
      <c r="N1715" s="16">
        <v>868166058825480</v>
      </c>
      <c r="O1715" s="16" t="s">
        <v>5143</v>
      </c>
      <c r="P1715" s="17" t="s">
        <v>5142</v>
      </c>
      <c r="Q1715" s="17" t="s">
        <v>2559</v>
      </c>
      <c r="R1715" s="18">
        <v>0</v>
      </c>
      <c r="S1715" s="19" t="s">
        <v>5002</v>
      </c>
      <c r="T1715" s="17"/>
      <c r="U1715" s="66"/>
    </row>
    <row r="1716" spans="2:21" s="15" customFormat="1" ht="29" x14ac:dyDescent="0.35">
      <c r="B1716" s="64">
        <v>46132</v>
      </c>
      <c r="C1716" s="17">
        <v>1606</v>
      </c>
      <c r="D1716" s="74" t="s">
        <v>5039</v>
      </c>
      <c r="E1716" s="85" t="s">
        <v>5001</v>
      </c>
      <c r="F1716" s="85" t="s">
        <v>1468</v>
      </c>
      <c r="G1716" s="17" t="s">
        <v>4133</v>
      </c>
      <c r="H1716" s="17" t="s">
        <v>1930</v>
      </c>
      <c r="I1716" s="145" t="s">
        <v>39</v>
      </c>
      <c r="J1716" s="17" t="s">
        <v>5144</v>
      </c>
      <c r="K1716" s="17" t="s">
        <v>1846</v>
      </c>
      <c r="L1716" s="17" t="s">
        <v>39</v>
      </c>
      <c r="M1716" s="65">
        <v>8119165107</v>
      </c>
      <c r="N1716" s="16">
        <v>868166058821950</v>
      </c>
      <c r="O1716" s="16" t="s">
        <v>5146</v>
      </c>
      <c r="P1716" s="17" t="s">
        <v>5145</v>
      </c>
      <c r="Q1716" s="17" t="s">
        <v>2559</v>
      </c>
      <c r="R1716" s="18">
        <v>0</v>
      </c>
      <c r="S1716" s="19" t="s">
        <v>5002</v>
      </c>
      <c r="T1716" s="17"/>
      <c r="U1716" s="66"/>
    </row>
    <row r="1717" spans="2:21" s="15" customFormat="1" ht="29" x14ac:dyDescent="0.35">
      <c r="B1717" s="64">
        <v>46132</v>
      </c>
      <c r="C1717" s="17">
        <v>1607</v>
      </c>
      <c r="D1717" s="74" t="s">
        <v>5040</v>
      </c>
      <c r="E1717" s="85" t="s">
        <v>5001</v>
      </c>
      <c r="F1717" s="85" t="s">
        <v>1468</v>
      </c>
      <c r="G1717" s="17" t="s">
        <v>4133</v>
      </c>
      <c r="H1717" s="17" t="s">
        <v>1930</v>
      </c>
      <c r="I1717" s="145" t="s">
        <v>39</v>
      </c>
      <c r="J1717" s="17" t="s">
        <v>24</v>
      </c>
      <c r="K1717" s="17" t="s">
        <v>1850</v>
      </c>
      <c r="L1717" s="17" t="s">
        <v>39</v>
      </c>
      <c r="M1717" s="65">
        <v>8119881349</v>
      </c>
      <c r="N1717" s="16">
        <v>868166059177428</v>
      </c>
      <c r="O1717" s="16" t="s">
        <v>39</v>
      </c>
      <c r="P1717" s="17" t="s">
        <v>1851</v>
      </c>
      <c r="Q1717" s="17" t="s">
        <v>2559</v>
      </c>
      <c r="R1717" s="18">
        <v>0</v>
      </c>
      <c r="S1717" s="19" t="s">
        <v>5002</v>
      </c>
      <c r="T1717" s="17"/>
      <c r="U1717" s="66"/>
    </row>
    <row r="1718" spans="2:21" s="15" customFormat="1" ht="29" x14ac:dyDescent="0.35">
      <c r="B1718" s="64">
        <v>46132</v>
      </c>
      <c r="C1718" s="17">
        <v>1608</v>
      </c>
      <c r="D1718" s="74" t="s">
        <v>5041</v>
      </c>
      <c r="E1718" s="85" t="s">
        <v>5001</v>
      </c>
      <c r="F1718" s="85" t="s">
        <v>1468</v>
      </c>
      <c r="G1718" s="17" t="s">
        <v>4133</v>
      </c>
      <c r="H1718" s="17" t="s">
        <v>1930</v>
      </c>
      <c r="I1718" s="145" t="s">
        <v>39</v>
      </c>
      <c r="J1718" s="17" t="s">
        <v>24</v>
      </c>
      <c r="K1718" s="17" t="s">
        <v>1855</v>
      </c>
      <c r="L1718" s="17" t="s">
        <v>39</v>
      </c>
      <c r="M1718" s="16">
        <v>8110503479</v>
      </c>
      <c r="N1718" s="16">
        <v>868166059177204</v>
      </c>
      <c r="O1718" s="16" t="s">
        <v>5149</v>
      </c>
      <c r="P1718" s="17" t="s">
        <v>5148</v>
      </c>
      <c r="Q1718" s="17" t="s">
        <v>2559</v>
      </c>
      <c r="R1718" s="18">
        <v>0</v>
      </c>
      <c r="S1718" s="19" t="s">
        <v>5002</v>
      </c>
      <c r="T1718" s="17"/>
      <c r="U1718" s="66"/>
    </row>
    <row r="1719" spans="2:21" s="15" customFormat="1" ht="29" x14ac:dyDescent="0.35">
      <c r="B1719" s="64">
        <v>46132</v>
      </c>
      <c r="C1719" s="17">
        <v>1609</v>
      </c>
      <c r="D1719" s="74" t="s">
        <v>5042</v>
      </c>
      <c r="E1719" s="85" t="s">
        <v>5001</v>
      </c>
      <c r="F1719" s="85" t="s">
        <v>1468</v>
      </c>
      <c r="G1719" s="17" t="s">
        <v>4133</v>
      </c>
      <c r="H1719" s="17" t="s">
        <v>1930</v>
      </c>
      <c r="I1719" s="145" t="s">
        <v>39</v>
      </c>
      <c r="J1719" s="17" t="s">
        <v>5150</v>
      </c>
      <c r="K1719" s="17" t="s">
        <v>1890</v>
      </c>
      <c r="L1719" s="17" t="s">
        <v>39</v>
      </c>
      <c r="M1719" s="17">
        <v>8116907083</v>
      </c>
      <c r="N1719" s="16">
        <v>865011031932016</v>
      </c>
      <c r="O1719" s="16" t="s">
        <v>5152</v>
      </c>
      <c r="P1719" s="17" t="s">
        <v>5151</v>
      </c>
      <c r="Q1719" s="17" t="s">
        <v>2559</v>
      </c>
      <c r="R1719" s="18">
        <v>0</v>
      </c>
      <c r="S1719" s="19" t="s">
        <v>5002</v>
      </c>
      <c r="T1719" s="17"/>
      <c r="U1719" s="66"/>
    </row>
    <row r="1720" spans="2:21" s="15" customFormat="1" ht="29" x14ac:dyDescent="0.35">
      <c r="B1720" s="64">
        <v>46132</v>
      </c>
      <c r="C1720" s="17">
        <v>1610</v>
      </c>
      <c r="D1720" s="74" t="s">
        <v>5043</v>
      </c>
      <c r="E1720" s="85" t="s">
        <v>5001</v>
      </c>
      <c r="F1720" s="85" t="s">
        <v>1468</v>
      </c>
      <c r="G1720" s="17" t="s">
        <v>4133</v>
      </c>
      <c r="H1720" s="17" t="s">
        <v>1930</v>
      </c>
      <c r="I1720" s="145" t="s">
        <v>39</v>
      </c>
      <c r="J1720" s="17" t="s">
        <v>5153</v>
      </c>
      <c r="K1720" s="17" t="s">
        <v>1894</v>
      </c>
      <c r="L1720" s="17" t="s">
        <v>39</v>
      </c>
      <c r="M1720" s="17">
        <v>8120392479</v>
      </c>
      <c r="N1720" s="16">
        <v>865011034234139</v>
      </c>
      <c r="O1720" s="16" t="s">
        <v>5155</v>
      </c>
      <c r="P1720" s="17" t="s">
        <v>5154</v>
      </c>
      <c r="Q1720" s="17" t="s">
        <v>2559</v>
      </c>
      <c r="R1720" s="18">
        <v>0</v>
      </c>
      <c r="S1720" s="19" t="s">
        <v>5002</v>
      </c>
      <c r="T1720" s="17"/>
      <c r="U1720" s="66"/>
    </row>
    <row r="1721" spans="2:21" s="15" customFormat="1" ht="29" x14ac:dyDescent="0.35">
      <c r="B1721" s="64">
        <v>46132</v>
      </c>
      <c r="C1721" s="17">
        <v>1611</v>
      </c>
      <c r="D1721" s="74" t="s">
        <v>5044</v>
      </c>
      <c r="E1721" s="85" t="s">
        <v>5001</v>
      </c>
      <c r="F1721" s="85" t="s">
        <v>1468</v>
      </c>
      <c r="G1721" s="17" t="s">
        <v>4133</v>
      </c>
      <c r="H1721" s="17" t="s">
        <v>1930</v>
      </c>
      <c r="I1721" s="145" t="s">
        <v>39</v>
      </c>
      <c r="J1721" s="17" t="s">
        <v>5156</v>
      </c>
      <c r="K1721" s="17" t="s">
        <v>1899</v>
      </c>
      <c r="L1721" s="17" t="s">
        <v>39</v>
      </c>
      <c r="M1721" s="17">
        <v>8120392434</v>
      </c>
      <c r="N1721" s="16">
        <v>868166059177147</v>
      </c>
      <c r="O1721" s="16" t="s">
        <v>5158</v>
      </c>
      <c r="P1721" s="17" t="s">
        <v>5157</v>
      </c>
      <c r="Q1721" s="17" t="s">
        <v>2559</v>
      </c>
      <c r="R1721" s="18">
        <v>0</v>
      </c>
      <c r="S1721" s="19" t="s">
        <v>5002</v>
      </c>
      <c r="T1721" s="17"/>
      <c r="U1721" s="66"/>
    </row>
    <row r="1722" spans="2:21" s="15" customFormat="1" ht="29" x14ac:dyDescent="0.35">
      <c r="B1722" s="64">
        <v>46132</v>
      </c>
      <c r="C1722" s="17">
        <v>1612</v>
      </c>
      <c r="D1722" s="74" t="s">
        <v>5045</v>
      </c>
      <c r="E1722" s="85" t="s">
        <v>5001</v>
      </c>
      <c r="F1722" s="85" t="s">
        <v>1468</v>
      </c>
      <c r="G1722" s="17" t="s">
        <v>4133</v>
      </c>
      <c r="H1722" s="17" t="s">
        <v>1930</v>
      </c>
      <c r="I1722" s="145" t="s">
        <v>39</v>
      </c>
      <c r="J1722" s="17" t="s">
        <v>5159</v>
      </c>
      <c r="K1722" s="17" t="s">
        <v>1912</v>
      </c>
      <c r="L1722" s="17" t="s">
        <v>39</v>
      </c>
      <c r="M1722" s="16">
        <v>8110386329</v>
      </c>
      <c r="N1722" s="16">
        <v>868166059175588</v>
      </c>
      <c r="O1722" s="16" t="s">
        <v>39</v>
      </c>
      <c r="P1722" s="17" t="s">
        <v>1913</v>
      </c>
      <c r="Q1722" s="17" t="s">
        <v>2559</v>
      </c>
      <c r="R1722" s="18">
        <v>0</v>
      </c>
      <c r="S1722" s="19" t="s">
        <v>5002</v>
      </c>
      <c r="T1722" s="17"/>
      <c r="U1722" s="66"/>
    </row>
    <row r="1723" spans="2:21" s="15" customFormat="1" ht="29" x14ac:dyDescent="0.35">
      <c r="B1723" s="64">
        <v>46132</v>
      </c>
      <c r="C1723" s="17">
        <v>1613</v>
      </c>
      <c r="D1723" s="74" t="s">
        <v>5046</v>
      </c>
      <c r="E1723" s="85" t="s">
        <v>5001</v>
      </c>
      <c r="F1723" s="85" t="s">
        <v>1468</v>
      </c>
      <c r="G1723" s="17" t="s">
        <v>4133</v>
      </c>
      <c r="H1723" s="17" t="s">
        <v>1930</v>
      </c>
      <c r="I1723" s="145" t="s">
        <v>39</v>
      </c>
      <c r="J1723" s="17" t="s">
        <v>5162</v>
      </c>
      <c r="K1723" s="17" t="s">
        <v>1976</v>
      </c>
      <c r="L1723" s="17" t="s">
        <v>39</v>
      </c>
      <c r="M1723" s="16">
        <v>8126220799</v>
      </c>
      <c r="N1723" s="16">
        <v>868166059175679</v>
      </c>
      <c r="O1723" s="16" t="s">
        <v>5161</v>
      </c>
      <c r="P1723" s="17" t="s">
        <v>5160</v>
      </c>
      <c r="Q1723" s="17" t="s">
        <v>2559</v>
      </c>
      <c r="R1723" s="18">
        <v>0</v>
      </c>
      <c r="S1723" s="19" t="s">
        <v>5002</v>
      </c>
      <c r="T1723" s="17"/>
      <c r="U1723" s="66"/>
    </row>
    <row r="1724" spans="2:21" s="15" customFormat="1" ht="29" x14ac:dyDescent="0.35">
      <c r="B1724" s="64">
        <v>46132</v>
      </c>
      <c r="C1724" s="17">
        <v>1614</v>
      </c>
      <c r="D1724" s="74" t="s">
        <v>5047</v>
      </c>
      <c r="E1724" s="85" t="s">
        <v>5001</v>
      </c>
      <c r="F1724" s="85" t="s">
        <v>1468</v>
      </c>
      <c r="G1724" s="17" t="s">
        <v>4133</v>
      </c>
      <c r="H1724" s="17" t="s">
        <v>1930</v>
      </c>
      <c r="I1724" s="145" t="s">
        <v>39</v>
      </c>
      <c r="J1724" s="17" t="s">
        <v>5163</v>
      </c>
      <c r="K1724" s="17" t="s">
        <v>2103</v>
      </c>
      <c r="L1724" s="17" t="s">
        <v>39</v>
      </c>
      <c r="M1724" s="38">
        <v>8112851820</v>
      </c>
      <c r="N1724" s="38">
        <v>864893037592311</v>
      </c>
      <c r="O1724" s="16" t="s">
        <v>39</v>
      </c>
      <c r="P1724" s="17" t="s">
        <v>2104</v>
      </c>
      <c r="Q1724" s="17" t="s">
        <v>2559</v>
      </c>
      <c r="R1724" s="18">
        <v>0</v>
      </c>
      <c r="S1724" s="19" t="s">
        <v>5002</v>
      </c>
      <c r="T1724" s="17"/>
      <c r="U1724" s="66"/>
    </row>
    <row r="1725" spans="2:21" s="15" customFormat="1" ht="29" x14ac:dyDescent="0.35">
      <c r="B1725" s="64">
        <v>46132</v>
      </c>
      <c r="C1725" s="17">
        <v>1615</v>
      </c>
      <c r="D1725" s="74" t="s">
        <v>5048</v>
      </c>
      <c r="E1725" s="85" t="s">
        <v>5001</v>
      </c>
      <c r="F1725" s="85" t="s">
        <v>1468</v>
      </c>
      <c r="G1725" s="17" t="s">
        <v>4133</v>
      </c>
      <c r="H1725" s="17" t="s">
        <v>1930</v>
      </c>
      <c r="I1725" s="145" t="s">
        <v>39</v>
      </c>
      <c r="J1725" s="17" t="s">
        <v>5164</v>
      </c>
      <c r="K1725" s="17" t="s">
        <v>2117</v>
      </c>
      <c r="L1725" s="17" t="s">
        <v>39</v>
      </c>
      <c r="M1725" s="16">
        <v>8110447216</v>
      </c>
      <c r="N1725" s="16">
        <v>868166057572570</v>
      </c>
      <c r="O1725" s="16" t="s">
        <v>5166</v>
      </c>
      <c r="P1725" s="17" t="s">
        <v>5165</v>
      </c>
      <c r="Q1725" s="17" t="s">
        <v>2559</v>
      </c>
      <c r="R1725" s="18">
        <v>0</v>
      </c>
      <c r="S1725" s="19" t="s">
        <v>5002</v>
      </c>
      <c r="T1725" s="17"/>
      <c r="U1725" s="66"/>
    </row>
    <row r="1726" spans="2:21" s="15" customFormat="1" ht="29" x14ac:dyDescent="0.35">
      <c r="B1726" s="64">
        <v>46132</v>
      </c>
      <c r="C1726" s="17">
        <v>1616</v>
      </c>
      <c r="D1726" s="74" t="s">
        <v>5049</v>
      </c>
      <c r="E1726" s="85" t="s">
        <v>5001</v>
      </c>
      <c r="F1726" s="85" t="s">
        <v>1468</v>
      </c>
      <c r="G1726" s="17" t="s">
        <v>4133</v>
      </c>
      <c r="H1726" s="17" t="s">
        <v>1930</v>
      </c>
      <c r="I1726" s="145" t="s">
        <v>39</v>
      </c>
      <c r="J1726" s="17" t="s">
        <v>24</v>
      </c>
      <c r="K1726" s="17" t="s">
        <v>2118</v>
      </c>
      <c r="L1726" s="17" t="s">
        <v>39</v>
      </c>
      <c r="M1726" s="16">
        <v>8110506831</v>
      </c>
      <c r="N1726" s="16">
        <v>868166057566895</v>
      </c>
      <c r="O1726" s="16" t="s">
        <v>5168</v>
      </c>
      <c r="P1726" s="17" t="s">
        <v>5167</v>
      </c>
      <c r="Q1726" s="17" t="s">
        <v>2559</v>
      </c>
      <c r="R1726" s="18">
        <v>0</v>
      </c>
      <c r="S1726" s="19" t="s">
        <v>5002</v>
      </c>
      <c r="T1726" s="17"/>
      <c r="U1726" s="66"/>
    </row>
    <row r="1727" spans="2:21" s="15" customFormat="1" ht="29" x14ac:dyDescent="0.35">
      <c r="B1727" s="64">
        <v>46132</v>
      </c>
      <c r="C1727" s="17">
        <v>1617</v>
      </c>
      <c r="D1727" s="74" t="s">
        <v>5050</v>
      </c>
      <c r="E1727" s="85" t="s">
        <v>5001</v>
      </c>
      <c r="F1727" s="85" t="s">
        <v>1468</v>
      </c>
      <c r="G1727" s="17" t="s">
        <v>4133</v>
      </c>
      <c r="H1727" s="17" t="s">
        <v>1930</v>
      </c>
      <c r="I1727" s="145" t="s">
        <v>39</v>
      </c>
      <c r="J1727" s="17" t="s">
        <v>5169</v>
      </c>
      <c r="K1727" s="17" t="s">
        <v>2121</v>
      </c>
      <c r="L1727" s="17" t="s">
        <v>39</v>
      </c>
      <c r="M1727" s="16">
        <v>8135510346</v>
      </c>
      <c r="N1727" s="16">
        <v>868166057572463</v>
      </c>
      <c r="O1727" s="16" t="s">
        <v>5171</v>
      </c>
      <c r="P1727" s="17" t="s">
        <v>5170</v>
      </c>
      <c r="Q1727" s="17" t="s">
        <v>2559</v>
      </c>
      <c r="R1727" s="18">
        <v>0</v>
      </c>
      <c r="S1727" s="19" t="s">
        <v>5002</v>
      </c>
      <c r="T1727" s="17"/>
      <c r="U1727" s="66"/>
    </row>
    <row r="1728" spans="2:21" s="15" customFormat="1" ht="29" x14ac:dyDescent="0.35">
      <c r="B1728" s="64">
        <v>46132</v>
      </c>
      <c r="C1728" s="17">
        <v>1618</v>
      </c>
      <c r="D1728" s="74" t="s">
        <v>5051</v>
      </c>
      <c r="E1728" s="85" t="s">
        <v>5001</v>
      </c>
      <c r="F1728" s="85" t="s">
        <v>1468</v>
      </c>
      <c r="G1728" s="17" t="s">
        <v>4133</v>
      </c>
      <c r="H1728" s="17" t="s">
        <v>1930</v>
      </c>
      <c r="I1728" s="145" t="s">
        <v>39</v>
      </c>
      <c r="J1728" s="17" t="s">
        <v>5172</v>
      </c>
      <c r="K1728" s="17" t="s">
        <v>2123</v>
      </c>
      <c r="L1728" s="17" t="s">
        <v>39</v>
      </c>
      <c r="M1728" s="16">
        <v>8110228404</v>
      </c>
      <c r="N1728" s="16">
        <v>868166057567125</v>
      </c>
      <c r="O1728" s="16" t="s">
        <v>5174</v>
      </c>
      <c r="P1728" s="17" t="s">
        <v>5173</v>
      </c>
      <c r="Q1728" s="17" t="s">
        <v>2559</v>
      </c>
      <c r="R1728" s="18">
        <v>0</v>
      </c>
      <c r="S1728" s="19" t="s">
        <v>5002</v>
      </c>
      <c r="T1728" s="17"/>
      <c r="U1728" s="66"/>
    </row>
    <row r="1729" spans="2:21" s="15" customFormat="1" ht="29" x14ac:dyDescent="0.35">
      <c r="B1729" s="64">
        <v>46132</v>
      </c>
      <c r="C1729" s="17">
        <v>1619</v>
      </c>
      <c r="D1729" s="74" t="s">
        <v>5052</v>
      </c>
      <c r="E1729" s="85" t="s">
        <v>5001</v>
      </c>
      <c r="F1729" s="85" t="s">
        <v>1468</v>
      </c>
      <c r="G1729" s="17" t="s">
        <v>4133</v>
      </c>
      <c r="H1729" s="17" t="s">
        <v>1930</v>
      </c>
      <c r="I1729" s="145" t="s">
        <v>39</v>
      </c>
      <c r="J1729" s="17" t="s">
        <v>5175</v>
      </c>
      <c r="K1729" s="17" t="s">
        <v>2134</v>
      </c>
      <c r="L1729" s="17" t="s">
        <v>39</v>
      </c>
      <c r="M1729" s="16">
        <v>8128615693</v>
      </c>
      <c r="N1729" s="16">
        <v>868166057893760</v>
      </c>
      <c r="O1729" s="16" t="s">
        <v>39</v>
      </c>
      <c r="P1729" s="17" t="s">
        <v>2135</v>
      </c>
      <c r="Q1729" s="17" t="s">
        <v>2559</v>
      </c>
      <c r="R1729" s="18">
        <v>0</v>
      </c>
      <c r="S1729" s="19" t="s">
        <v>5002</v>
      </c>
      <c r="T1729" s="17"/>
      <c r="U1729" s="66"/>
    </row>
    <row r="1730" spans="2:21" s="15" customFormat="1" ht="29" x14ac:dyDescent="0.35">
      <c r="B1730" s="64">
        <v>46132</v>
      </c>
      <c r="C1730" s="17">
        <v>1620</v>
      </c>
      <c r="D1730" s="74" t="s">
        <v>5053</v>
      </c>
      <c r="E1730" s="85" t="s">
        <v>5001</v>
      </c>
      <c r="F1730" s="85" t="s">
        <v>1468</v>
      </c>
      <c r="G1730" s="17" t="s">
        <v>4133</v>
      </c>
      <c r="H1730" s="17" t="s">
        <v>1930</v>
      </c>
      <c r="I1730" s="145" t="s">
        <v>39</v>
      </c>
      <c r="J1730" s="17" t="s">
        <v>5176</v>
      </c>
      <c r="K1730" s="17" t="s">
        <v>2137</v>
      </c>
      <c r="L1730" s="17" t="s">
        <v>39</v>
      </c>
      <c r="M1730" s="16">
        <v>8110448882</v>
      </c>
      <c r="N1730" s="16">
        <v>868166059136630</v>
      </c>
      <c r="O1730" s="16" t="s">
        <v>39</v>
      </c>
      <c r="P1730" s="17" t="s">
        <v>2138</v>
      </c>
      <c r="Q1730" s="17" t="s">
        <v>2559</v>
      </c>
      <c r="R1730" s="18">
        <v>0</v>
      </c>
      <c r="S1730" s="19" t="s">
        <v>5002</v>
      </c>
      <c r="T1730" s="17"/>
      <c r="U1730" s="66"/>
    </row>
    <row r="1731" spans="2:21" s="15" customFormat="1" ht="29" x14ac:dyDescent="0.35">
      <c r="B1731" s="64">
        <v>46132</v>
      </c>
      <c r="C1731" s="17">
        <v>1621</v>
      </c>
      <c r="D1731" s="74" t="s">
        <v>5054</v>
      </c>
      <c r="E1731" s="85" t="s">
        <v>5001</v>
      </c>
      <c r="F1731" s="85" t="s">
        <v>1468</v>
      </c>
      <c r="G1731" s="17" t="s">
        <v>4133</v>
      </c>
      <c r="H1731" s="17" t="s">
        <v>1930</v>
      </c>
      <c r="I1731" s="145" t="s">
        <v>39</v>
      </c>
      <c r="J1731" s="17" t="s">
        <v>5178</v>
      </c>
      <c r="K1731" s="17" t="s">
        <v>2151</v>
      </c>
      <c r="L1731" s="17" t="s">
        <v>39</v>
      </c>
      <c r="M1731" s="16">
        <v>8123539408</v>
      </c>
      <c r="N1731" s="16">
        <v>350544502464111</v>
      </c>
      <c r="O1731" s="16" t="s">
        <v>39</v>
      </c>
      <c r="P1731" s="17" t="s">
        <v>2152</v>
      </c>
      <c r="Q1731" s="17" t="s">
        <v>2559</v>
      </c>
      <c r="R1731" s="18">
        <v>0</v>
      </c>
      <c r="S1731" s="19" t="s">
        <v>5002</v>
      </c>
      <c r="T1731" s="17"/>
      <c r="U1731" s="66"/>
    </row>
    <row r="1732" spans="2:21" s="15" customFormat="1" ht="29" x14ac:dyDescent="0.35">
      <c r="B1732" s="64">
        <v>46132</v>
      </c>
      <c r="C1732" s="17">
        <v>1622</v>
      </c>
      <c r="D1732" s="74" t="s">
        <v>5055</v>
      </c>
      <c r="E1732" s="85" t="s">
        <v>5001</v>
      </c>
      <c r="F1732" s="85" t="s">
        <v>1468</v>
      </c>
      <c r="G1732" s="17" t="s">
        <v>4133</v>
      </c>
      <c r="H1732" s="17" t="s">
        <v>1930</v>
      </c>
      <c r="I1732" s="145" t="s">
        <v>39</v>
      </c>
      <c r="J1732" s="17" t="s">
        <v>5179</v>
      </c>
      <c r="K1732" s="17" t="s">
        <v>5204</v>
      </c>
      <c r="L1732" s="17" t="s">
        <v>39</v>
      </c>
      <c r="M1732" s="16">
        <v>8182597255</v>
      </c>
      <c r="N1732" s="16">
        <v>868166059144436</v>
      </c>
      <c r="O1732" s="16" t="s">
        <v>39</v>
      </c>
      <c r="P1732" s="17" t="s">
        <v>2161</v>
      </c>
      <c r="Q1732" s="17" t="s">
        <v>2559</v>
      </c>
      <c r="R1732" s="18">
        <v>0</v>
      </c>
      <c r="S1732" s="19" t="s">
        <v>5002</v>
      </c>
      <c r="T1732" s="17"/>
      <c r="U1732" s="66"/>
    </row>
    <row r="1733" spans="2:21" s="15" customFormat="1" ht="29" x14ac:dyDescent="0.35">
      <c r="B1733" s="64">
        <v>46132</v>
      </c>
      <c r="C1733" s="17">
        <v>1623</v>
      </c>
      <c r="D1733" s="74" t="s">
        <v>5056</v>
      </c>
      <c r="E1733" s="85" t="s">
        <v>5001</v>
      </c>
      <c r="F1733" s="85" t="s">
        <v>1468</v>
      </c>
      <c r="G1733" s="17" t="s">
        <v>4133</v>
      </c>
      <c r="H1733" s="17" t="s">
        <v>1930</v>
      </c>
      <c r="I1733" s="145" t="s">
        <v>39</v>
      </c>
      <c r="J1733" s="17" t="s">
        <v>5180</v>
      </c>
      <c r="K1733" s="17" t="s">
        <v>2176</v>
      </c>
      <c r="L1733" s="17" t="s">
        <v>39</v>
      </c>
      <c r="M1733" s="16">
        <v>8182597047</v>
      </c>
      <c r="N1733" s="16">
        <v>868166059143966</v>
      </c>
      <c r="O1733" s="16" t="s">
        <v>4397</v>
      </c>
      <c r="P1733" s="17" t="s">
        <v>2177</v>
      </c>
      <c r="Q1733" s="17" t="s">
        <v>2559</v>
      </c>
      <c r="R1733" s="18">
        <v>0</v>
      </c>
      <c r="S1733" s="19" t="s">
        <v>5002</v>
      </c>
      <c r="T1733" s="17"/>
      <c r="U1733" s="66"/>
    </row>
    <row r="1734" spans="2:21" s="15" customFormat="1" ht="29" x14ac:dyDescent="0.35">
      <c r="B1734" s="64">
        <v>46132</v>
      </c>
      <c r="C1734" s="17">
        <v>1624</v>
      </c>
      <c r="D1734" s="74" t="s">
        <v>5057</v>
      </c>
      <c r="E1734" s="85" t="s">
        <v>5001</v>
      </c>
      <c r="F1734" s="85" t="s">
        <v>1468</v>
      </c>
      <c r="G1734" s="17" t="s">
        <v>4133</v>
      </c>
      <c r="H1734" s="17" t="s">
        <v>1930</v>
      </c>
      <c r="I1734" s="145" t="s">
        <v>39</v>
      </c>
      <c r="J1734" s="17" t="s">
        <v>5182</v>
      </c>
      <c r="K1734" s="17" t="s">
        <v>2310</v>
      </c>
      <c r="L1734" s="17" t="s">
        <v>39</v>
      </c>
      <c r="M1734" s="16">
        <v>8118249666</v>
      </c>
      <c r="N1734" s="16">
        <v>868166059893008</v>
      </c>
      <c r="O1734" s="17" t="s">
        <v>2319</v>
      </c>
      <c r="P1734" s="17" t="s">
        <v>39</v>
      </c>
      <c r="Q1734" s="17" t="s">
        <v>2559</v>
      </c>
      <c r="R1734" s="18">
        <v>0</v>
      </c>
      <c r="S1734" s="19" t="s">
        <v>5002</v>
      </c>
      <c r="T1734" s="17"/>
      <c r="U1734" s="66"/>
    </row>
    <row r="1735" spans="2:21" s="15" customFormat="1" ht="29" x14ac:dyDescent="0.35">
      <c r="B1735" s="64">
        <v>46132</v>
      </c>
      <c r="C1735" s="17">
        <v>1625</v>
      </c>
      <c r="D1735" s="74" t="s">
        <v>5058</v>
      </c>
      <c r="E1735" s="85" t="s">
        <v>5001</v>
      </c>
      <c r="F1735" s="85" t="s">
        <v>1468</v>
      </c>
      <c r="G1735" s="17" t="s">
        <v>4133</v>
      </c>
      <c r="H1735" s="17" t="s">
        <v>1930</v>
      </c>
      <c r="I1735" s="145" t="s">
        <v>39</v>
      </c>
      <c r="J1735" s="17" t="s">
        <v>26</v>
      </c>
      <c r="K1735" s="17" t="s">
        <v>2318</v>
      </c>
      <c r="L1735" s="17" t="s">
        <v>39</v>
      </c>
      <c r="M1735" s="16">
        <v>8110437006</v>
      </c>
      <c r="N1735" s="16">
        <v>864893039428134</v>
      </c>
      <c r="O1735" s="16" t="s">
        <v>39</v>
      </c>
      <c r="P1735" s="17" t="s">
        <v>2320</v>
      </c>
      <c r="Q1735" s="17" t="s">
        <v>2559</v>
      </c>
      <c r="R1735" s="18">
        <v>0</v>
      </c>
      <c r="S1735" s="19" t="s">
        <v>5002</v>
      </c>
      <c r="T1735" s="17"/>
      <c r="U1735" s="66"/>
    </row>
    <row r="1736" spans="2:21" s="15" customFormat="1" ht="29" x14ac:dyDescent="0.35">
      <c r="B1736" s="64">
        <v>46132</v>
      </c>
      <c r="C1736" s="17">
        <v>1626</v>
      </c>
      <c r="D1736" s="74" t="s">
        <v>5059</v>
      </c>
      <c r="E1736" s="85" t="s">
        <v>5001</v>
      </c>
      <c r="F1736" s="85" t="s">
        <v>1468</v>
      </c>
      <c r="G1736" s="17" t="s">
        <v>4133</v>
      </c>
      <c r="H1736" s="17" t="s">
        <v>1930</v>
      </c>
      <c r="I1736" s="145" t="s">
        <v>39</v>
      </c>
      <c r="J1736" s="17" t="s">
        <v>5183</v>
      </c>
      <c r="K1736" s="17" t="s">
        <v>2331</v>
      </c>
      <c r="L1736" s="17" t="s">
        <v>39</v>
      </c>
      <c r="M1736" s="16">
        <v>8182594804</v>
      </c>
      <c r="N1736" s="16">
        <v>869706060012954</v>
      </c>
      <c r="O1736" s="16" t="s">
        <v>5185</v>
      </c>
      <c r="P1736" s="17" t="s">
        <v>5184</v>
      </c>
      <c r="Q1736" s="17" t="s">
        <v>2559</v>
      </c>
      <c r="R1736" s="18">
        <v>0</v>
      </c>
      <c r="S1736" s="19" t="s">
        <v>5002</v>
      </c>
      <c r="T1736" s="17"/>
      <c r="U1736" s="66"/>
    </row>
    <row r="1737" spans="2:21" s="15" customFormat="1" ht="29" x14ac:dyDescent="0.35">
      <c r="B1737" s="64">
        <v>46132</v>
      </c>
      <c r="C1737" s="17">
        <v>1627</v>
      </c>
      <c r="D1737" s="74" t="s">
        <v>5060</v>
      </c>
      <c r="E1737" s="85" t="s">
        <v>5001</v>
      </c>
      <c r="F1737" s="85" t="s">
        <v>1468</v>
      </c>
      <c r="G1737" s="17" t="s">
        <v>4133</v>
      </c>
      <c r="H1737" s="17" t="s">
        <v>1930</v>
      </c>
      <c r="I1737" s="145" t="s">
        <v>39</v>
      </c>
      <c r="J1737" s="17" t="s">
        <v>5186</v>
      </c>
      <c r="K1737" s="17" t="s">
        <v>2355</v>
      </c>
      <c r="L1737" s="17" t="s">
        <v>39</v>
      </c>
      <c r="M1737" s="16">
        <v>8135514822</v>
      </c>
      <c r="N1737" s="16">
        <v>869220041853874</v>
      </c>
      <c r="O1737" s="16" t="s">
        <v>39</v>
      </c>
      <c r="P1737" s="17" t="s">
        <v>2356</v>
      </c>
      <c r="Q1737" s="17" t="s">
        <v>2559</v>
      </c>
      <c r="R1737" s="18">
        <v>0</v>
      </c>
      <c r="S1737" s="19" t="s">
        <v>5002</v>
      </c>
      <c r="T1737" s="17"/>
      <c r="U1737" s="66"/>
    </row>
    <row r="1738" spans="2:21" s="15" customFormat="1" ht="29" x14ac:dyDescent="0.35">
      <c r="B1738" s="64">
        <v>46132</v>
      </c>
      <c r="C1738" s="17">
        <v>1628</v>
      </c>
      <c r="D1738" s="74" t="s">
        <v>5061</v>
      </c>
      <c r="E1738" s="85" t="s">
        <v>5001</v>
      </c>
      <c r="F1738" s="85" t="s">
        <v>1468</v>
      </c>
      <c r="G1738" s="17" t="s">
        <v>4133</v>
      </c>
      <c r="H1738" s="17" t="s">
        <v>1930</v>
      </c>
      <c r="I1738" s="145" t="s">
        <v>39</v>
      </c>
      <c r="J1738" s="17" t="s">
        <v>4252</v>
      </c>
      <c r="K1738" s="17" t="s">
        <v>2378</v>
      </c>
      <c r="L1738" s="17" t="s">
        <v>39</v>
      </c>
      <c r="M1738" s="16">
        <v>8331886463</v>
      </c>
      <c r="N1738" s="16">
        <v>869706060877232</v>
      </c>
      <c r="O1738" s="16" t="s">
        <v>5188</v>
      </c>
      <c r="P1738" s="17" t="s">
        <v>5187</v>
      </c>
      <c r="Q1738" s="17" t="s">
        <v>2559</v>
      </c>
      <c r="R1738" s="18">
        <v>0</v>
      </c>
      <c r="S1738" s="19" t="s">
        <v>5002</v>
      </c>
      <c r="T1738" s="17"/>
      <c r="U1738" s="66"/>
    </row>
    <row r="1739" spans="2:21" s="15" customFormat="1" ht="29" x14ac:dyDescent="0.35">
      <c r="B1739" s="64">
        <v>46132</v>
      </c>
      <c r="C1739" s="17">
        <v>1629</v>
      </c>
      <c r="D1739" s="74" t="s">
        <v>5062</v>
      </c>
      <c r="E1739" s="85" t="s">
        <v>5001</v>
      </c>
      <c r="F1739" s="85" t="s">
        <v>1468</v>
      </c>
      <c r="G1739" s="17" t="s">
        <v>4133</v>
      </c>
      <c r="H1739" s="17" t="s">
        <v>1930</v>
      </c>
      <c r="I1739" s="145" t="s">
        <v>39</v>
      </c>
      <c r="J1739" s="17" t="s">
        <v>5189</v>
      </c>
      <c r="K1739" s="17" t="s">
        <v>2399</v>
      </c>
      <c r="L1739" s="17" t="s">
        <v>39</v>
      </c>
      <c r="M1739" s="16">
        <v>8331853798</v>
      </c>
      <c r="N1739" s="16">
        <v>869706060881358</v>
      </c>
      <c r="O1739" s="16" t="s">
        <v>5190</v>
      </c>
      <c r="P1739" s="17" t="s">
        <v>5191</v>
      </c>
      <c r="Q1739" s="17" t="s">
        <v>2559</v>
      </c>
      <c r="R1739" s="18">
        <v>0</v>
      </c>
      <c r="S1739" s="19" t="s">
        <v>5002</v>
      </c>
      <c r="T1739" s="17"/>
      <c r="U1739" s="66"/>
    </row>
    <row r="1740" spans="2:21" s="15" customFormat="1" ht="29" x14ac:dyDescent="0.35">
      <c r="B1740" s="64">
        <v>46132</v>
      </c>
      <c r="C1740" s="17">
        <v>1630</v>
      </c>
      <c r="D1740" s="74" t="s">
        <v>5063</v>
      </c>
      <c r="E1740" s="85" t="s">
        <v>5001</v>
      </c>
      <c r="F1740" s="85" t="s">
        <v>1468</v>
      </c>
      <c r="G1740" s="17" t="s">
        <v>4133</v>
      </c>
      <c r="H1740" s="17" t="s">
        <v>1930</v>
      </c>
      <c r="I1740" s="145" t="s">
        <v>39</v>
      </c>
      <c r="J1740" s="17" t="s">
        <v>5192</v>
      </c>
      <c r="K1740" s="17" t="s">
        <v>2449</v>
      </c>
      <c r="L1740" s="17" t="s">
        <v>39</v>
      </c>
      <c r="M1740" s="16">
        <v>8123554947</v>
      </c>
      <c r="N1740" s="16">
        <v>869706060881317</v>
      </c>
      <c r="O1740" s="16" t="s">
        <v>5194</v>
      </c>
      <c r="P1740" s="17" t="s">
        <v>5193</v>
      </c>
      <c r="Q1740" s="17" t="s">
        <v>2559</v>
      </c>
      <c r="R1740" s="18">
        <v>0</v>
      </c>
      <c r="S1740" s="19" t="s">
        <v>5002</v>
      </c>
      <c r="T1740" s="17"/>
      <c r="U1740" s="66"/>
    </row>
    <row r="1741" spans="2:21" s="15" customFormat="1" ht="29" x14ac:dyDescent="0.35">
      <c r="B1741" s="64">
        <v>46132</v>
      </c>
      <c r="C1741" s="17">
        <v>1631</v>
      </c>
      <c r="D1741" s="74" t="s">
        <v>5064</v>
      </c>
      <c r="E1741" s="85" t="s">
        <v>5001</v>
      </c>
      <c r="F1741" s="85" t="s">
        <v>1468</v>
      </c>
      <c r="G1741" s="17" t="s">
        <v>4133</v>
      </c>
      <c r="H1741" s="17" t="s">
        <v>1930</v>
      </c>
      <c r="I1741" s="145" t="s">
        <v>39</v>
      </c>
      <c r="J1741" s="17" t="s">
        <v>5195</v>
      </c>
      <c r="K1741" s="17" t="s">
        <v>2465</v>
      </c>
      <c r="L1741" s="17" t="s">
        <v>39</v>
      </c>
      <c r="M1741" s="16">
        <v>8332630702</v>
      </c>
      <c r="N1741" s="16">
        <v>868166059147678</v>
      </c>
      <c r="O1741" s="16" t="s">
        <v>39</v>
      </c>
      <c r="P1741" s="17" t="s">
        <v>2466</v>
      </c>
      <c r="Q1741" s="17" t="s">
        <v>2559</v>
      </c>
      <c r="R1741" s="18">
        <v>0</v>
      </c>
      <c r="S1741" s="19" t="s">
        <v>5002</v>
      </c>
      <c r="T1741" s="17"/>
      <c r="U1741" s="66"/>
    </row>
    <row r="1742" spans="2:21" s="15" customFormat="1" ht="29" x14ac:dyDescent="0.35">
      <c r="B1742" s="64">
        <v>46132</v>
      </c>
      <c r="C1742" s="17">
        <v>1632</v>
      </c>
      <c r="D1742" s="74" t="s">
        <v>5065</v>
      </c>
      <c r="E1742" s="85" t="s">
        <v>5001</v>
      </c>
      <c r="F1742" s="85" t="s">
        <v>1468</v>
      </c>
      <c r="G1742" s="17" t="s">
        <v>4133</v>
      </c>
      <c r="H1742" s="17" t="s">
        <v>1930</v>
      </c>
      <c r="I1742" s="145" t="s">
        <v>39</v>
      </c>
      <c r="J1742" s="17" t="s">
        <v>5196</v>
      </c>
      <c r="K1742" s="17" t="s">
        <v>5205</v>
      </c>
      <c r="L1742" s="17" t="s">
        <v>39</v>
      </c>
      <c r="M1742" s="16">
        <v>8128613326</v>
      </c>
      <c r="N1742" s="16">
        <v>868166059132555</v>
      </c>
      <c r="O1742" s="16" t="s">
        <v>5198</v>
      </c>
      <c r="P1742" s="17" t="s">
        <v>5197</v>
      </c>
      <c r="Q1742" s="17" t="s">
        <v>2559</v>
      </c>
      <c r="R1742" s="18">
        <v>0</v>
      </c>
      <c r="S1742" s="19" t="s">
        <v>5002</v>
      </c>
      <c r="T1742" s="17"/>
      <c r="U1742" s="66"/>
    </row>
    <row r="1743" spans="2:21" s="15" customFormat="1" ht="29" x14ac:dyDescent="0.35">
      <c r="B1743" s="64">
        <v>46132</v>
      </c>
      <c r="C1743" s="17">
        <v>1633</v>
      </c>
      <c r="D1743" s="74" t="s">
        <v>5066</v>
      </c>
      <c r="E1743" s="85" t="s">
        <v>5001</v>
      </c>
      <c r="F1743" s="85" t="s">
        <v>1468</v>
      </c>
      <c r="G1743" s="17" t="s">
        <v>4133</v>
      </c>
      <c r="H1743" s="17" t="s">
        <v>1930</v>
      </c>
      <c r="I1743" s="145" t="s">
        <v>39</v>
      </c>
      <c r="J1743" s="17" t="s">
        <v>3310</v>
      </c>
      <c r="K1743" s="14" t="s">
        <v>2756</v>
      </c>
      <c r="L1743" s="17" t="s">
        <v>39</v>
      </c>
      <c r="M1743" s="16">
        <v>8118249663</v>
      </c>
      <c r="N1743" s="16">
        <v>869706060073824</v>
      </c>
      <c r="O1743" s="16" t="s">
        <v>3311</v>
      </c>
      <c r="P1743" s="17" t="s">
        <v>3312</v>
      </c>
      <c r="Q1743" s="17" t="s">
        <v>2559</v>
      </c>
      <c r="R1743" s="18">
        <v>0</v>
      </c>
      <c r="S1743" s="19" t="s">
        <v>5002</v>
      </c>
      <c r="T1743" s="17"/>
      <c r="U1743" s="66"/>
    </row>
    <row r="1744" spans="2:21" s="15" customFormat="1" ht="29" x14ac:dyDescent="0.35">
      <c r="B1744" s="64">
        <v>46132</v>
      </c>
      <c r="C1744" s="17">
        <v>1634</v>
      </c>
      <c r="D1744" s="74" t="s">
        <v>5067</v>
      </c>
      <c r="E1744" s="85" t="s">
        <v>5001</v>
      </c>
      <c r="F1744" s="85" t="s">
        <v>1468</v>
      </c>
      <c r="G1744" s="17" t="s">
        <v>4133</v>
      </c>
      <c r="H1744" s="17" t="s">
        <v>1930</v>
      </c>
      <c r="I1744" s="145" t="s">
        <v>39</v>
      </c>
      <c r="J1744" s="17" t="s">
        <v>5199</v>
      </c>
      <c r="K1744" s="17" t="s">
        <v>2806</v>
      </c>
      <c r="L1744" s="17" t="s">
        <v>39</v>
      </c>
      <c r="M1744" s="16">
        <v>8332587516</v>
      </c>
      <c r="N1744" s="16">
        <v>869706060074707</v>
      </c>
      <c r="O1744" s="16" t="s">
        <v>39</v>
      </c>
      <c r="P1744" s="17" t="s">
        <v>2808</v>
      </c>
      <c r="Q1744" s="17" t="s">
        <v>2559</v>
      </c>
      <c r="R1744" s="18">
        <v>0</v>
      </c>
      <c r="S1744" s="19" t="s">
        <v>5002</v>
      </c>
      <c r="T1744" s="17"/>
      <c r="U1744" s="66"/>
    </row>
    <row r="1745" spans="2:21" s="15" customFormat="1" ht="29" x14ac:dyDescent="0.35">
      <c r="B1745" s="64">
        <v>46132</v>
      </c>
      <c r="C1745" s="17">
        <v>1635</v>
      </c>
      <c r="D1745" s="74" t="s">
        <v>5068</v>
      </c>
      <c r="E1745" s="85" t="s">
        <v>5001</v>
      </c>
      <c r="F1745" s="85" t="s">
        <v>1468</v>
      </c>
      <c r="G1745" s="17" t="s">
        <v>4133</v>
      </c>
      <c r="H1745" s="17" t="s">
        <v>1930</v>
      </c>
      <c r="I1745" s="145" t="s">
        <v>39</v>
      </c>
      <c r="J1745" s="17" t="s">
        <v>4071</v>
      </c>
      <c r="K1745" s="95" t="s">
        <v>4086</v>
      </c>
      <c r="L1745" s="17" t="s">
        <v>39</v>
      </c>
      <c r="M1745" s="16">
        <v>8120104255</v>
      </c>
      <c r="N1745" s="16">
        <v>869706060074772</v>
      </c>
      <c r="O1745" s="16" t="s">
        <v>4084</v>
      </c>
      <c r="P1745" s="17" t="s">
        <v>4085</v>
      </c>
      <c r="Q1745" s="17" t="s">
        <v>2559</v>
      </c>
      <c r="R1745" s="18">
        <v>0</v>
      </c>
      <c r="S1745" s="19" t="s">
        <v>5002</v>
      </c>
      <c r="T1745" s="17"/>
      <c r="U1745" s="66"/>
    </row>
    <row r="1746" spans="2:21" s="15" customFormat="1" ht="29" x14ac:dyDescent="0.35">
      <c r="B1746" s="64">
        <v>46132</v>
      </c>
      <c r="C1746" s="17">
        <v>1636</v>
      </c>
      <c r="D1746" s="74" t="s">
        <v>5069</v>
      </c>
      <c r="E1746" s="85" t="s">
        <v>5001</v>
      </c>
      <c r="F1746" s="85" t="s">
        <v>1468</v>
      </c>
      <c r="G1746" s="17" t="s">
        <v>4133</v>
      </c>
      <c r="H1746" s="17" t="s">
        <v>1930</v>
      </c>
      <c r="I1746" s="145" t="s">
        <v>39</v>
      </c>
      <c r="J1746" s="17" t="s">
        <v>4246</v>
      </c>
      <c r="K1746" s="95" t="s">
        <v>4247</v>
      </c>
      <c r="L1746" s="17" t="s">
        <v>39</v>
      </c>
      <c r="M1746" s="16">
        <v>8123211819</v>
      </c>
      <c r="N1746" s="16">
        <v>864943048176826</v>
      </c>
      <c r="O1746" s="16" t="s">
        <v>39</v>
      </c>
      <c r="P1746" s="17" t="s">
        <v>4248</v>
      </c>
      <c r="Q1746" s="17" t="s">
        <v>2559</v>
      </c>
      <c r="R1746" s="18">
        <v>0</v>
      </c>
      <c r="S1746" s="19" t="s">
        <v>5002</v>
      </c>
      <c r="T1746" s="17"/>
      <c r="U1746" s="66"/>
    </row>
    <row r="1747" spans="2:21" s="15" customFormat="1" ht="29" x14ac:dyDescent="0.35">
      <c r="B1747" s="64">
        <v>46132</v>
      </c>
      <c r="C1747" s="17">
        <v>1637</v>
      </c>
      <c r="D1747" s="74" t="s">
        <v>5070</v>
      </c>
      <c r="E1747" s="85" t="s">
        <v>5001</v>
      </c>
      <c r="F1747" s="85" t="s">
        <v>1468</v>
      </c>
      <c r="G1747" s="17" t="s">
        <v>4133</v>
      </c>
      <c r="H1747" s="17" t="s">
        <v>1930</v>
      </c>
      <c r="I1747" s="145" t="s">
        <v>39</v>
      </c>
      <c r="J1747" s="17" t="s">
        <v>4414</v>
      </c>
      <c r="K1747" s="17" t="s">
        <v>4415</v>
      </c>
      <c r="L1747" s="17" t="s">
        <v>39</v>
      </c>
      <c r="M1747" s="16">
        <v>8186027697</v>
      </c>
      <c r="N1747" s="16">
        <v>864943048677146</v>
      </c>
      <c r="O1747" s="16" t="s">
        <v>39</v>
      </c>
      <c r="P1747" s="17" t="s">
        <v>4416</v>
      </c>
      <c r="Q1747" s="17" t="s">
        <v>2559</v>
      </c>
      <c r="R1747" s="18">
        <v>0</v>
      </c>
      <c r="S1747" s="19" t="s">
        <v>5002</v>
      </c>
      <c r="T1747" s="17"/>
      <c r="U1747" s="66"/>
    </row>
    <row r="1748" spans="2:21" s="15" customFormat="1" ht="29" x14ac:dyDescent="0.35">
      <c r="B1748" s="64">
        <v>46132</v>
      </c>
      <c r="C1748" s="17">
        <v>1638</v>
      </c>
      <c r="D1748" s="74" t="s">
        <v>5071</v>
      </c>
      <c r="E1748" s="85" t="s">
        <v>5001</v>
      </c>
      <c r="F1748" s="85" t="s">
        <v>1468</v>
      </c>
      <c r="G1748" s="17" t="s">
        <v>4133</v>
      </c>
      <c r="H1748" s="17" t="s">
        <v>1930</v>
      </c>
      <c r="I1748" s="145" t="s">
        <v>39</v>
      </c>
      <c r="J1748" s="17" t="s">
        <v>4426</v>
      </c>
      <c r="K1748" s="17" t="s">
        <v>4427</v>
      </c>
      <c r="L1748" s="17" t="s">
        <v>39</v>
      </c>
      <c r="M1748" s="16">
        <v>8110440925</v>
      </c>
      <c r="N1748" s="16">
        <v>864943048787457</v>
      </c>
      <c r="O1748" s="16" t="s">
        <v>39</v>
      </c>
      <c r="P1748" s="17" t="s">
        <v>4428</v>
      </c>
      <c r="Q1748" s="17" t="s">
        <v>2559</v>
      </c>
      <c r="R1748" s="18">
        <v>0</v>
      </c>
      <c r="S1748" s="19" t="s">
        <v>5002</v>
      </c>
      <c r="T1748" s="17"/>
      <c r="U1748" s="66"/>
    </row>
    <row r="1749" spans="2:21" s="15" customFormat="1" ht="29" x14ac:dyDescent="0.35">
      <c r="B1749" s="64">
        <v>46132</v>
      </c>
      <c r="C1749" s="17">
        <v>1639</v>
      </c>
      <c r="D1749" s="74" t="s">
        <v>5072</v>
      </c>
      <c r="E1749" s="85" t="s">
        <v>5001</v>
      </c>
      <c r="F1749" s="85" t="s">
        <v>1468</v>
      </c>
      <c r="G1749" s="17" t="s">
        <v>4133</v>
      </c>
      <c r="H1749" s="17" t="s">
        <v>1930</v>
      </c>
      <c r="I1749" s="145" t="s">
        <v>39</v>
      </c>
      <c r="J1749" s="17" t="s">
        <v>4692</v>
      </c>
      <c r="K1749" s="17" t="s">
        <v>4689</v>
      </c>
      <c r="L1749" s="17" t="s">
        <v>39</v>
      </c>
      <c r="M1749" s="16">
        <v>8126201204</v>
      </c>
      <c r="N1749" s="16">
        <v>862667089302866</v>
      </c>
      <c r="O1749" s="16" t="s">
        <v>4710</v>
      </c>
      <c r="P1749" s="17" t="s">
        <v>4709</v>
      </c>
      <c r="Q1749" s="17" t="s">
        <v>2559</v>
      </c>
      <c r="R1749" s="18">
        <v>0</v>
      </c>
      <c r="S1749" s="19" t="s">
        <v>5002</v>
      </c>
      <c r="T1749" s="17"/>
      <c r="U1749" s="66"/>
    </row>
    <row r="1750" spans="2:21" s="15" customFormat="1" ht="29" x14ac:dyDescent="0.35">
      <c r="B1750" s="64">
        <v>46132</v>
      </c>
      <c r="C1750" s="17">
        <v>1640</v>
      </c>
      <c r="D1750" s="74" t="s">
        <v>5073</v>
      </c>
      <c r="E1750" s="85" t="s">
        <v>5001</v>
      </c>
      <c r="F1750" s="85" t="s">
        <v>1468</v>
      </c>
      <c r="G1750" s="17" t="s">
        <v>4133</v>
      </c>
      <c r="H1750" s="17" t="s">
        <v>1930</v>
      </c>
      <c r="I1750" s="145" t="s">
        <v>39</v>
      </c>
      <c r="J1750" s="17" t="s">
        <v>4737</v>
      </c>
      <c r="K1750" s="17" t="s">
        <v>4740</v>
      </c>
      <c r="L1750" s="17" t="s">
        <v>39</v>
      </c>
      <c r="M1750" s="16">
        <v>8126045259</v>
      </c>
      <c r="N1750" s="16">
        <v>862667089231529</v>
      </c>
      <c r="O1750" s="16" t="s">
        <v>39</v>
      </c>
      <c r="P1750" s="17" t="s">
        <v>4742</v>
      </c>
      <c r="Q1750" s="17" t="s">
        <v>2559</v>
      </c>
      <c r="R1750" s="18">
        <v>0</v>
      </c>
      <c r="S1750" s="19" t="s">
        <v>5002</v>
      </c>
      <c r="T1750" s="17"/>
      <c r="U1750" s="66"/>
    </row>
    <row r="1751" spans="2:21" s="15" customFormat="1" ht="29" x14ac:dyDescent="0.35">
      <c r="B1751" s="64">
        <v>46134</v>
      </c>
      <c r="C1751" s="17">
        <v>1641</v>
      </c>
      <c r="D1751" s="85">
        <v>936</v>
      </c>
      <c r="E1751" s="85" t="s">
        <v>5200</v>
      </c>
      <c r="F1751" s="85" t="s">
        <v>13</v>
      </c>
      <c r="G1751" s="17" t="s">
        <v>1805</v>
      </c>
      <c r="H1751" s="17" t="s">
        <v>5201</v>
      </c>
      <c r="I1751" s="145" t="s">
        <v>4609</v>
      </c>
      <c r="J1751" s="17" t="s">
        <v>5202</v>
      </c>
      <c r="K1751" s="17" t="s">
        <v>5206</v>
      </c>
      <c r="L1751" s="17" t="s">
        <v>5203</v>
      </c>
      <c r="M1751" s="16">
        <v>8120107916</v>
      </c>
      <c r="N1751" s="16">
        <v>863874089050094</v>
      </c>
      <c r="O1751" s="16" t="s">
        <v>39</v>
      </c>
      <c r="P1751" s="17" t="s">
        <v>5207</v>
      </c>
      <c r="Q1751" s="17" t="s">
        <v>8</v>
      </c>
      <c r="R1751" s="18">
        <v>1999.84</v>
      </c>
      <c r="S1751" s="19">
        <v>174</v>
      </c>
      <c r="T1751" s="17"/>
      <c r="U1751" s="66"/>
    </row>
    <row r="1752" spans="2:21" s="15" customFormat="1" ht="29" x14ac:dyDescent="0.35">
      <c r="B1752" s="64">
        <v>46135</v>
      </c>
      <c r="C1752" s="17">
        <v>1642</v>
      </c>
      <c r="D1752" s="85">
        <v>937</v>
      </c>
      <c r="E1752" s="85" t="s">
        <v>5208</v>
      </c>
      <c r="F1752" s="85" t="s">
        <v>13</v>
      </c>
      <c r="G1752" s="17" t="s">
        <v>1805</v>
      </c>
      <c r="H1752" s="17" t="s">
        <v>989</v>
      </c>
      <c r="I1752" s="145" t="s">
        <v>4979</v>
      </c>
      <c r="J1752" s="17" t="s">
        <v>24</v>
      </c>
      <c r="K1752" s="17" t="s">
        <v>5209</v>
      </c>
      <c r="L1752" s="17" t="s">
        <v>5203</v>
      </c>
      <c r="M1752" s="16">
        <v>8118227427</v>
      </c>
      <c r="N1752" s="16">
        <v>863874089045888</v>
      </c>
      <c r="O1752" s="16" t="s">
        <v>5210</v>
      </c>
      <c r="P1752" s="17" t="s">
        <v>5211</v>
      </c>
      <c r="Q1752" s="17" t="s">
        <v>8</v>
      </c>
      <c r="R1752" s="18">
        <v>1999.84</v>
      </c>
      <c r="S1752" s="19">
        <v>174</v>
      </c>
      <c r="T1752" s="17"/>
      <c r="U1752" s="66"/>
    </row>
    <row r="1753" spans="2:21" s="15" customFormat="1" ht="29" x14ac:dyDescent="0.35">
      <c r="B1753" s="64">
        <v>46136</v>
      </c>
      <c r="C1753" s="17">
        <v>1643</v>
      </c>
      <c r="D1753" s="85">
        <v>938</v>
      </c>
      <c r="E1753" s="85" t="s">
        <v>5212</v>
      </c>
      <c r="F1753" s="85" t="s">
        <v>13</v>
      </c>
      <c r="G1753" s="17" t="s">
        <v>1805</v>
      </c>
      <c r="H1753" s="14" t="s">
        <v>1744</v>
      </c>
      <c r="I1753" s="145" t="s">
        <v>5090</v>
      </c>
      <c r="J1753" s="17" t="s">
        <v>5213</v>
      </c>
      <c r="K1753" s="17" t="s">
        <v>5214</v>
      </c>
      <c r="L1753" s="17" t="s">
        <v>5203</v>
      </c>
      <c r="M1753" s="16">
        <v>8110494065</v>
      </c>
      <c r="N1753" s="16">
        <v>863874089028959</v>
      </c>
      <c r="O1753" s="16" t="s">
        <v>39</v>
      </c>
      <c r="P1753" s="17" t="s">
        <v>5215</v>
      </c>
      <c r="Q1753" s="17" t="s">
        <v>8</v>
      </c>
      <c r="R1753" s="18">
        <v>1999.84</v>
      </c>
      <c r="S1753" s="19">
        <v>174</v>
      </c>
      <c r="T1753" s="17"/>
      <c r="U1753" s="66"/>
    </row>
    <row r="1754" spans="2:21" s="15" customFormat="1" ht="29" x14ac:dyDescent="0.35">
      <c r="B1754" s="64">
        <v>46140</v>
      </c>
      <c r="C1754" s="17">
        <v>1644</v>
      </c>
      <c r="D1754" s="85">
        <v>939</v>
      </c>
      <c r="E1754" s="85" t="s">
        <v>5216</v>
      </c>
      <c r="F1754" s="85" t="s">
        <v>13</v>
      </c>
      <c r="G1754" s="17" t="s">
        <v>1805</v>
      </c>
      <c r="H1754" s="17" t="s">
        <v>4115</v>
      </c>
      <c r="I1754" s="145" t="s">
        <v>3579</v>
      </c>
      <c r="J1754" s="17" t="s">
        <v>5217</v>
      </c>
      <c r="K1754" s="17" t="s">
        <v>5218</v>
      </c>
      <c r="L1754" s="17" t="s">
        <v>4946</v>
      </c>
      <c r="M1754" s="16" t="s">
        <v>39</v>
      </c>
      <c r="N1754" s="16" t="s">
        <v>39</v>
      </c>
      <c r="O1754" s="16" t="s">
        <v>39</v>
      </c>
      <c r="P1754" s="17" t="s">
        <v>39</v>
      </c>
      <c r="Q1754" s="17" t="s">
        <v>8</v>
      </c>
      <c r="R1754" s="18">
        <v>1999.84</v>
      </c>
      <c r="S1754" s="19">
        <v>174</v>
      </c>
      <c r="T1754" s="17"/>
      <c r="U1754" s="66"/>
    </row>
    <row r="1755" spans="2:21" s="15" customFormat="1" ht="29" x14ac:dyDescent="0.35">
      <c r="B1755" s="64">
        <v>46142</v>
      </c>
      <c r="C1755" s="17">
        <v>1645</v>
      </c>
      <c r="D1755" s="85">
        <v>940</v>
      </c>
      <c r="E1755" s="85" t="s">
        <v>5219</v>
      </c>
      <c r="F1755" s="85" t="s">
        <v>13</v>
      </c>
      <c r="G1755" s="17" t="s">
        <v>1805</v>
      </c>
      <c r="H1755" s="17" t="s">
        <v>5220</v>
      </c>
      <c r="I1755" s="145" t="s">
        <v>3579</v>
      </c>
      <c r="J1755" s="17" t="s">
        <v>5221</v>
      </c>
      <c r="K1755" s="17" t="s">
        <v>5222</v>
      </c>
      <c r="L1755" s="17" t="s">
        <v>39</v>
      </c>
      <c r="M1755" s="16" t="s">
        <v>39</v>
      </c>
      <c r="N1755" s="16" t="s">
        <v>39</v>
      </c>
      <c r="O1755" s="16" t="s">
        <v>39</v>
      </c>
      <c r="P1755" s="17" t="s">
        <v>39</v>
      </c>
      <c r="Q1755" s="17" t="s">
        <v>8</v>
      </c>
      <c r="R1755" s="18">
        <v>1999.84</v>
      </c>
      <c r="S1755" s="19">
        <v>174</v>
      </c>
      <c r="T1755" s="17"/>
      <c r="U1755" s="66"/>
    </row>
    <row r="1756" spans="2:21" s="15" customFormat="1" ht="29" x14ac:dyDescent="0.35">
      <c r="B1756" s="64">
        <v>46146</v>
      </c>
      <c r="C1756" s="17">
        <v>1646</v>
      </c>
      <c r="D1756" s="85">
        <v>941</v>
      </c>
      <c r="E1756" s="85" t="s">
        <v>5223</v>
      </c>
      <c r="F1756" s="85" t="s">
        <v>13</v>
      </c>
      <c r="G1756" s="17" t="s">
        <v>1805</v>
      </c>
      <c r="H1756" s="17" t="s">
        <v>4115</v>
      </c>
      <c r="I1756" s="145" t="s">
        <v>3579</v>
      </c>
      <c r="J1756" s="17" t="s">
        <v>5224</v>
      </c>
      <c r="K1756" s="17" t="s">
        <v>5225</v>
      </c>
      <c r="L1756" s="17" t="s">
        <v>39</v>
      </c>
      <c r="M1756" s="16" t="s">
        <v>39</v>
      </c>
      <c r="N1756" s="16" t="s">
        <v>39</v>
      </c>
      <c r="O1756" s="16" t="s">
        <v>39</v>
      </c>
      <c r="P1756" s="17" t="s">
        <v>39</v>
      </c>
      <c r="Q1756" s="17" t="s">
        <v>8</v>
      </c>
      <c r="R1756" s="18">
        <v>1999.84</v>
      </c>
      <c r="S1756" s="19">
        <v>174</v>
      </c>
      <c r="T1756" s="17"/>
      <c r="U1756" s="66"/>
    </row>
    <row r="1757" spans="2:21" s="15" customFormat="1" ht="29" x14ac:dyDescent="0.35">
      <c r="B1757" s="64">
        <v>46150</v>
      </c>
      <c r="C1757" s="17">
        <v>1647</v>
      </c>
      <c r="D1757" s="85">
        <v>942</v>
      </c>
      <c r="E1757" s="85" t="s">
        <v>5226</v>
      </c>
      <c r="F1757" s="85" t="s">
        <v>13</v>
      </c>
      <c r="G1757" s="17" t="s">
        <v>1805</v>
      </c>
      <c r="H1757" s="17" t="s">
        <v>4115</v>
      </c>
      <c r="I1757" s="145" t="s">
        <v>3579</v>
      </c>
      <c r="J1757" s="17" t="s">
        <v>5227</v>
      </c>
      <c r="K1757" s="17" t="s">
        <v>5228</v>
      </c>
      <c r="L1757" s="17" t="s">
        <v>39</v>
      </c>
      <c r="M1757" s="16" t="s">
        <v>39</v>
      </c>
      <c r="N1757" s="16" t="s">
        <v>39</v>
      </c>
      <c r="O1757" s="16" t="s">
        <v>39</v>
      </c>
      <c r="P1757" s="17" t="s">
        <v>39</v>
      </c>
      <c r="Q1757" s="17" t="s">
        <v>8</v>
      </c>
      <c r="R1757" s="18">
        <v>1999.84</v>
      </c>
      <c r="S1757" s="19">
        <v>174</v>
      </c>
      <c r="T1757" s="17"/>
      <c r="U1757" s="66"/>
    </row>
    <row r="1758" spans="2:21" s="15" customFormat="1" ht="29" x14ac:dyDescent="0.35">
      <c r="B1758" s="64">
        <v>46153</v>
      </c>
      <c r="C1758" s="17">
        <v>1648</v>
      </c>
      <c r="D1758" s="85">
        <v>943</v>
      </c>
      <c r="E1758" s="85" t="s">
        <v>5229</v>
      </c>
      <c r="F1758" s="85" t="s">
        <v>13</v>
      </c>
      <c r="G1758" s="17" t="s">
        <v>1805</v>
      </c>
      <c r="H1758" s="17" t="s">
        <v>4115</v>
      </c>
      <c r="I1758" s="145" t="s">
        <v>3579</v>
      </c>
      <c r="J1758" s="17" t="s">
        <v>5230</v>
      </c>
      <c r="K1758" s="17" t="s">
        <v>5232</v>
      </c>
      <c r="L1758" s="17" t="s">
        <v>39</v>
      </c>
      <c r="M1758" s="16" t="s">
        <v>39</v>
      </c>
      <c r="N1758" s="16" t="s">
        <v>39</v>
      </c>
      <c r="O1758" s="16" t="s">
        <v>39</v>
      </c>
      <c r="P1758" s="17" t="s">
        <v>39</v>
      </c>
      <c r="Q1758" s="17" t="s">
        <v>8</v>
      </c>
      <c r="R1758" s="18">
        <v>1999.84</v>
      </c>
      <c r="S1758" s="19">
        <v>174</v>
      </c>
      <c r="T1758" s="17"/>
      <c r="U1758" s="66"/>
    </row>
    <row r="1759" spans="2:21" s="15" customFormat="1" ht="29" x14ac:dyDescent="0.35">
      <c r="B1759" s="64">
        <v>46153</v>
      </c>
      <c r="C1759" s="17">
        <v>1649</v>
      </c>
      <c r="D1759" s="85" t="s">
        <v>39</v>
      </c>
      <c r="E1759" s="85" t="s">
        <v>40</v>
      </c>
      <c r="F1759" s="85" t="s">
        <v>40</v>
      </c>
      <c r="G1759" s="17" t="s">
        <v>1805</v>
      </c>
      <c r="H1759" s="17" t="s">
        <v>4115</v>
      </c>
      <c r="I1759" s="145" t="s">
        <v>3579</v>
      </c>
      <c r="J1759" s="17" t="s">
        <v>5231</v>
      </c>
      <c r="K1759" s="17" t="s">
        <v>5233</v>
      </c>
      <c r="L1759" s="17" t="s">
        <v>39</v>
      </c>
      <c r="M1759" s="16" t="s">
        <v>39</v>
      </c>
      <c r="N1759" s="16" t="s">
        <v>39</v>
      </c>
      <c r="O1759" s="16" t="s">
        <v>39</v>
      </c>
      <c r="P1759" s="17" t="s">
        <v>39</v>
      </c>
      <c r="Q1759" s="17" t="s">
        <v>5234</v>
      </c>
      <c r="R1759" s="18" t="s">
        <v>39</v>
      </c>
      <c r="S1759" s="19" t="s">
        <v>39</v>
      </c>
      <c r="T1759" s="17"/>
      <c r="U1759" s="66"/>
    </row>
    <row r="1760" spans="2:21" s="15" customFormat="1" ht="29" x14ac:dyDescent="0.35">
      <c r="B1760" s="64">
        <v>46160</v>
      </c>
      <c r="C1760" s="17">
        <v>1650</v>
      </c>
      <c r="D1760" s="85">
        <v>944</v>
      </c>
      <c r="E1760" s="85" t="s">
        <v>5235</v>
      </c>
      <c r="F1760" s="85" t="s">
        <v>13</v>
      </c>
      <c r="G1760" s="17" t="s">
        <v>1805</v>
      </c>
      <c r="H1760" s="17" t="s">
        <v>4115</v>
      </c>
      <c r="I1760" s="145" t="s">
        <v>3579</v>
      </c>
      <c r="J1760" s="17" t="s">
        <v>5236</v>
      </c>
      <c r="K1760" s="17" t="s">
        <v>5237</v>
      </c>
      <c r="L1760" s="17" t="s">
        <v>39</v>
      </c>
      <c r="M1760" s="16" t="s">
        <v>39</v>
      </c>
      <c r="N1760" s="16" t="s">
        <v>39</v>
      </c>
      <c r="O1760" s="16" t="s">
        <v>39</v>
      </c>
      <c r="P1760" s="17" t="s">
        <v>39</v>
      </c>
      <c r="Q1760" s="17" t="s">
        <v>8</v>
      </c>
      <c r="R1760" s="18">
        <v>1999.84</v>
      </c>
      <c r="S1760" s="19">
        <v>174</v>
      </c>
      <c r="T1760" s="17"/>
      <c r="U1760" s="66"/>
    </row>
    <row r="1761" spans="2:21" s="15" customFormat="1" ht="29" x14ac:dyDescent="0.35">
      <c r="B1761" s="64">
        <v>46161</v>
      </c>
      <c r="C1761" s="17">
        <v>1651</v>
      </c>
      <c r="D1761" s="85" t="s">
        <v>5238</v>
      </c>
      <c r="E1761" s="85" t="s">
        <v>5239</v>
      </c>
      <c r="F1761" s="85" t="s">
        <v>1468</v>
      </c>
      <c r="G1761" s="17" t="s">
        <v>4133</v>
      </c>
      <c r="H1761" s="17" t="s">
        <v>1930</v>
      </c>
      <c r="I1761" s="145" t="s">
        <v>39</v>
      </c>
      <c r="J1761" s="14" t="s">
        <v>5246</v>
      </c>
      <c r="K1761" s="17" t="s">
        <v>1396</v>
      </c>
      <c r="L1761" s="17" t="s">
        <v>39</v>
      </c>
      <c r="M1761" s="37">
        <v>8110454204</v>
      </c>
      <c r="N1761" s="37">
        <v>869220041114731</v>
      </c>
      <c r="O1761" s="16" t="s">
        <v>39</v>
      </c>
      <c r="P1761" s="14" t="s">
        <v>42</v>
      </c>
      <c r="Q1761" s="17" t="s">
        <v>2559</v>
      </c>
      <c r="R1761" s="18">
        <v>0</v>
      </c>
      <c r="S1761" s="19" t="s">
        <v>5240</v>
      </c>
      <c r="T1761" s="17"/>
      <c r="U1761" s="66"/>
    </row>
    <row r="1762" spans="2:21" s="15" customFormat="1" ht="29" x14ac:dyDescent="0.35">
      <c r="B1762" s="64">
        <v>46161</v>
      </c>
      <c r="C1762" s="17">
        <v>1652</v>
      </c>
      <c r="D1762" s="85" t="s">
        <v>5241</v>
      </c>
      <c r="E1762" s="85" t="s">
        <v>5239</v>
      </c>
      <c r="F1762" s="85" t="s">
        <v>1468</v>
      </c>
      <c r="G1762" s="17" t="s">
        <v>4133</v>
      </c>
      <c r="H1762" s="17" t="s">
        <v>1930</v>
      </c>
      <c r="I1762" s="145" t="s">
        <v>39</v>
      </c>
      <c r="J1762" s="17" t="s">
        <v>4098</v>
      </c>
      <c r="K1762" s="17" t="s">
        <v>1732</v>
      </c>
      <c r="L1762" s="17" t="s">
        <v>39</v>
      </c>
      <c r="M1762" s="65">
        <v>8128611816</v>
      </c>
      <c r="N1762" s="16">
        <v>868166057893661</v>
      </c>
      <c r="O1762" s="119" t="s">
        <v>39</v>
      </c>
      <c r="P1762" s="70" t="s">
        <v>1731</v>
      </c>
      <c r="Q1762" s="17" t="s">
        <v>2559</v>
      </c>
      <c r="R1762" s="18">
        <v>0</v>
      </c>
      <c r="S1762" s="19" t="s">
        <v>5240</v>
      </c>
      <c r="T1762" s="17"/>
      <c r="U1762" s="66"/>
    </row>
    <row r="1763" spans="2:21" s="15" customFormat="1" ht="29" x14ac:dyDescent="0.35">
      <c r="B1763" s="64">
        <v>46161</v>
      </c>
      <c r="C1763" s="17">
        <v>1653</v>
      </c>
      <c r="D1763" s="85" t="s">
        <v>5242</v>
      </c>
      <c r="E1763" s="85" t="s">
        <v>5239</v>
      </c>
      <c r="F1763" s="85" t="s">
        <v>1468</v>
      </c>
      <c r="G1763" s="17" t="s">
        <v>4133</v>
      </c>
      <c r="H1763" s="17" t="s">
        <v>1930</v>
      </c>
      <c r="I1763" s="145" t="s">
        <v>39</v>
      </c>
      <c r="J1763" s="17" t="s">
        <v>5247</v>
      </c>
      <c r="K1763" s="17" t="s">
        <v>2079</v>
      </c>
      <c r="L1763" s="17" t="s">
        <v>39</v>
      </c>
      <c r="M1763" s="16">
        <v>8116006935</v>
      </c>
      <c r="N1763" s="16" t="s">
        <v>2080</v>
      </c>
      <c r="O1763" s="16" t="s">
        <v>5248</v>
      </c>
      <c r="P1763" s="17" t="s">
        <v>5249</v>
      </c>
      <c r="Q1763" s="17" t="s">
        <v>2559</v>
      </c>
      <c r="R1763" s="18">
        <v>0</v>
      </c>
      <c r="S1763" s="19" t="s">
        <v>5240</v>
      </c>
      <c r="T1763" s="17"/>
      <c r="U1763" s="66"/>
    </row>
    <row r="1764" spans="2:21" s="15" customFormat="1" ht="29" x14ac:dyDescent="0.35">
      <c r="B1764" s="64">
        <v>46161</v>
      </c>
      <c r="C1764" s="17">
        <v>1654</v>
      </c>
      <c r="D1764" s="85" t="s">
        <v>5243</v>
      </c>
      <c r="E1764" s="85" t="s">
        <v>5239</v>
      </c>
      <c r="F1764" s="85" t="s">
        <v>1468</v>
      </c>
      <c r="G1764" s="17" t="s">
        <v>4133</v>
      </c>
      <c r="H1764" s="17" t="s">
        <v>1930</v>
      </c>
      <c r="I1764" s="145" t="s">
        <v>39</v>
      </c>
      <c r="J1764" s="17" t="s">
        <v>5250</v>
      </c>
      <c r="K1764" s="17" t="s">
        <v>5244</v>
      </c>
      <c r="L1764" s="17" t="s">
        <v>39</v>
      </c>
      <c r="M1764" s="16">
        <v>8331894441</v>
      </c>
      <c r="N1764" s="16">
        <v>869706060882802</v>
      </c>
      <c r="O1764" s="16" t="s">
        <v>39</v>
      </c>
      <c r="P1764" s="17" t="s">
        <v>2387</v>
      </c>
      <c r="Q1764" s="17" t="s">
        <v>2559</v>
      </c>
      <c r="R1764" s="18">
        <v>0</v>
      </c>
      <c r="S1764" s="19" t="s">
        <v>5240</v>
      </c>
      <c r="T1764" s="17"/>
      <c r="U1764" s="66"/>
    </row>
    <row r="1765" spans="2:21" s="15" customFormat="1" ht="29" x14ac:dyDescent="0.35">
      <c r="B1765" s="64">
        <v>46161</v>
      </c>
      <c r="C1765" s="17">
        <v>1655</v>
      </c>
      <c r="D1765" s="85" t="s">
        <v>5245</v>
      </c>
      <c r="E1765" s="85" t="s">
        <v>5239</v>
      </c>
      <c r="F1765" s="85" t="s">
        <v>1468</v>
      </c>
      <c r="G1765" s="17" t="s">
        <v>4133</v>
      </c>
      <c r="H1765" s="17" t="s">
        <v>1930</v>
      </c>
      <c r="I1765" s="145" t="s">
        <v>39</v>
      </c>
      <c r="J1765" s="17" t="s">
        <v>5252</v>
      </c>
      <c r="K1765" s="17" t="s">
        <v>2451</v>
      </c>
      <c r="L1765" s="17" t="s">
        <v>39</v>
      </c>
      <c r="M1765" s="16">
        <v>8134058877</v>
      </c>
      <c r="N1765" s="16">
        <v>869706060882166</v>
      </c>
      <c r="O1765" s="16" t="s">
        <v>39</v>
      </c>
      <c r="P1765" s="17" t="s">
        <v>2452</v>
      </c>
      <c r="Q1765" s="17" t="s">
        <v>2559</v>
      </c>
      <c r="R1765" s="18">
        <v>0</v>
      </c>
      <c r="S1765" s="19" t="s">
        <v>5240</v>
      </c>
      <c r="T1765" s="17"/>
      <c r="U1765" s="66"/>
    </row>
    <row r="1766" spans="2:21" s="15" customFormat="1" ht="29" x14ac:dyDescent="0.35">
      <c r="B1766" s="64">
        <v>46164</v>
      </c>
      <c r="C1766" s="17">
        <v>1656</v>
      </c>
      <c r="D1766" s="85" t="s">
        <v>5253</v>
      </c>
      <c r="E1766" s="85" t="s">
        <v>5263</v>
      </c>
      <c r="F1766" s="85" t="s">
        <v>1468</v>
      </c>
      <c r="G1766" s="17" t="s">
        <v>4133</v>
      </c>
      <c r="H1766" s="17" t="s">
        <v>1930</v>
      </c>
      <c r="I1766" s="145" t="s">
        <v>39</v>
      </c>
      <c r="J1766" s="14" t="s">
        <v>133</v>
      </c>
      <c r="K1766" s="14" t="s">
        <v>1354</v>
      </c>
      <c r="L1766" s="17" t="s">
        <v>39</v>
      </c>
      <c r="M1766" s="37">
        <v>8182596326</v>
      </c>
      <c r="N1766" s="38">
        <v>863844055237934</v>
      </c>
      <c r="O1766" s="14" t="s">
        <v>132</v>
      </c>
      <c r="P1766" s="17" t="s">
        <v>39</v>
      </c>
      <c r="Q1766" s="17" t="s">
        <v>2559</v>
      </c>
      <c r="R1766" s="18">
        <v>0</v>
      </c>
      <c r="S1766" s="19" t="s">
        <v>5264</v>
      </c>
      <c r="T1766" s="17"/>
      <c r="U1766" s="66"/>
    </row>
    <row r="1767" spans="2:21" s="15" customFormat="1" ht="29" x14ac:dyDescent="0.35">
      <c r="B1767" s="64">
        <v>46164</v>
      </c>
      <c r="C1767" s="17">
        <v>1657</v>
      </c>
      <c r="D1767" s="85" t="s">
        <v>5254</v>
      </c>
      <c r="E1767" s="85" t="s">
        <v>5263</v>
      </c>
      <c r="F1767" s="85" t="s">
        <v>1468</v>
      </c>
      <c r="G1767" s="17" t="s">
        <v>4133</v>
      </c>
      <c r="H1767" s="17" t="s">
        <v>1930</v>
      </c>
      <c r="I1767" s="145" t="s">
        <v>39</v>
      </c>
      <c r="J1767" s="17" t="s">
        <v>5265</v>
      </c>
      <c r="K1767" s="17" t="s">
        <v>1631</v>
      </c>
      <c r="L1767" s="17" t="s">
        <v>39</v>
      </c>
      <c r="M1767" s="65">
        <v>8110508748</v>
      </c>
      <c r="N1767" s="38">
        <v>868166057398729</v>
      </c>
      <c r="O1767" s="16" t="s">
        <v>5267</v>
      </c>
      <c r="P1767" s="17" t="s">
        <v>5266</v>
      </c>
      <c r="Q1767" s="17" t="s">
        <v>2559</v>
      </c>
      <c r="R1767" s="18">
        <v>0</v>
      </c>
      <c r="S1767" s="19" t="s">
        <v>5264</v>
      </c>
      <c r="T1767" s="17"/>
      <c r="U1767" s="66"/>
    </row>
    <row r="1768" spans="2:21" s="15" customFormat="1" ht="29" x14ac:dyDescent="0.35">
      <c r="B1768" s="64">
        <v>46164</v>
      </c>
      <c r="C1768" s="17">
        <v>1658</v>
      </c>
      <c r="D1768" s="85" t="s">
        <v>5255</v>
      </c>
      <c r="E1768" s="85" t="s">
        <v>5263</v>
      </c>
      <c r="F1768" s="85" t="s">
        <v>1468</v>
      </c>
      <c r="G1768" s="17" t="s">
        <v>4133</v>
      </c>
      <c r="H1768" s="17" t="s">
        <v>1930</v>
      </c>
      <c r="I1768" s="145" t="s">
        <v>39</v>
      </c>
      <c r="J1768" s="17" t="s">
        <v>26</v>
      </c>
      <c r="K1768" s="17" t="s">
        <v>1909</v>
      </c>
      <c r="L1768" s="17" t="s">
        <v>39</v>
      </c>
      <c r="M1768" s="16">
        <v>8128605766</v>
      </c>
      <c r="N1768" s="16">
        <v>868166059175562</v>
      </c>
      <c r="O1768" s="16" t="s">
        <v>5269</v>
      </c>
      <c r="P1768" s="17" t="s">
        <v>5268</v>
      </c>
      <c r="Q1768" s="17" t="s">
        <v>2559</v>
      </c>
      <c r="R1768" s="18">
        <v>0</v>
      </c>
      <c r="S1768" s="19" t="s">
        <v>5264</v>
      </c>
      <c r="T1768" s="17"/>
      <c r="U1768" s="66"/>
    </row>
    <row r="1769" spans="2:21" s="15" customFormat="1" ht="29" x14ac:dyDescent="0.35">
      <c r="B1769" s="64">
        <v>46164</v>
      </c>
      <c r="C1769" s="17">
        <v>1659</v>
      </c>
      <c r="D1769" s="85" t="s">
        <v>5256</v>
      </c>
      <c r="E1769" s="85" t="s">
        <v>5263</v>
      </c>
      <c r="F1769" s="85" t="s">
        <v>1468</v>
      </c>
      <c r="G1769" s="17" t="s">
        <v>4133</v>
      </c>
      <c r="H1769" s="17" t="s">
        <v>1930</v>
      </c>
      <c r="I1769" s="145" t="s">
        <v>39</v>
      </c>
      <c r="J1769" s="17" t="s">
        <v>5271</v>
      </c>
      <c r="K1769" s="17" t="s">
        <v>2420</v>
      </c>
      <c r="L1769" s="17" t="s">
        <v>39</v>
      </c>
      <c r="M1769" s="16">
        <v>8128754868</v>
      </c>
      <c r="N1769" s="16">
        <v>869220041852272</v>
      </c>
      <c r="O1769" s="16" t="s">
        <v>5273</v>
      </c>
      <c r="P1769" s="17" t="s">
        <v>5272</v>
      </c>
      <c r="Q1769" s="17" t="s">
        <v>2559</v>
      </c>
      <c r="R1769" s="18">
        <v>0</v>
      </c>
      <c r="S1769" s="19" t="s">
        <v>5264</v>
      </c>
      <c r="T1769" s="17"/>
      <c r="U1769" s="66"/>
    </row>
    <row r="1770" spans="2:21" s="15" customFormat="1" ht="29" x14ac:dyDescent="0.35">
      <c r="B1770" s="64">
        <v>46164</v>
      </c>
      <c r="C1770" s="17">
        <v>1660</v>
      </c>
      <c r="D1770" s="85" t="s">
        <v>5257</v>
      </c>
      <c r="E1770" s="85" t="s">
        <v>5263</v>
      </c>
      <c r="F1770" s="85" t="s">
        <v>1468</v>
      </c>
      <c r="G1770" s="17" t="s">
        <v>4133</v>
      </c>
      <c r="H1770" s="17" t="s">
        <v>1930</v>
      </c>
      <c r="I1770" s="145" t="s">
        <v>39</v>
      </c>
      <c r="J1770" s="17" t="s">
        <v>5274</v>
      </c>
      <c r="K1770" s="116" t="s">
        <v>4606</v>
      </c>
      <c r="L1770" s="17" t="s">
        <v>39</v>
      </c>
      <c r="M1770" s="16">
        <v>8333015361</v>
      </c>
      <c r="N1770" s="16">
        <v>869706060074020</v>
      </c>
      <c r="O1770" s="16" t="s">
        <v>3268</v>
      </c>
      <c r="P1770" s="17" t="s">
        <v>3269</v>
      </c>
      <c r="Q1770" s="17" t="s">
        <v>2559</v>
      </c>
      <c r="R1770" s="18">
        <v>0</v>
      </c>
      <c r="S1770" s="19" t="s">
        <v>5264</v>
      </c>
      <c r="T1770" s="17"/>
      <c r="U1770" s="66"/>
    </row>
    <row r="1771" spans="2:21" s="15" customFormat="1" ht="29" x14ac:dyDescent="0.35">
      <c r="B1771" s="64">
        <v>46164</v>
      </c>
      <c r="C1771" s="17">
        <v>1661</v>
      </c>
      <c r="D1771" s="85" t="s">
        <v>5258</v>
      </c>
      <c r="E1771" s="85" t="s">
        <v>5263</v>
      </c>
      <c r="F1771" s="85" t="s">
        <v>1468</v>
      </c>
      <c r="G1771" s="17" t="s">
        <v>4133</v>
      </c>
      <c r="H1771" s="17" t="s">
        <v>1930</v>
      </c>
      <c r="I1771" s="145" t="s">
        <v>39</v>
      </c>
      <c r="J1771" s="17" t="s">
        <v>5275</v>
      </c>
      <c r="K1771" s="17" t="s">
        <v>4386</v>
      </c>
      <c r="L1771" s="17" t="s">
        <v>39</v>
      </c>
      <c r="M1771" s="16">
        <v>8120227229</v>
      </c>
      <c r="N1771" s="16">
        <v>864943048176073</v>
      </c>
      <c r="O1771" s="16" t="s">
        <v>4382</v>
      </c>
      <c r="P1771" s="17" t="s">
        <v>4383</v>
      </c>
      <c r="Q1771" s="17" t="s">
        <v>2559</v>
      </c>
      <c r="R1771" s="18">
        <v>0</v>
      </c>
      <c r="S1771" s="19" t="s">
        <v>5264</v>
      </c>
      <c r="T1771" s="17"/>
      <c r="U1771" s="66"/>
    </row>
    <row r="1772" spans="2:21" s="15" customFormat="1" ht="29" x14ac:dyDescent="0.35">
      <c r="B1772" s="64">
        <v>46164</v>
      </c>
      <c r="C1772" s="17">
        <v>1662</v>
      </c>
      <c r="D1772" s="85" t="s">
        <v>5259</v>
      </c>
      <c r="E1772" s="85" t="s">
        <v>5263</v>
      </c>
      <c r="F1772" s="85" t="s">
        <v>1468</v>
      </c>
      <c r="G1772" s="17" t="s">
        <v>4133</v>
      </c>
      <c r="H1772" s="17" t="s">
        <v>1930</v>
      </c>
      <c r="I1772" s="145" t="s">
        <v>39</v>
      </c>
      <c r="J1772" s="17" t="s">
        <v>4389</v>
      </c>
      <c r="K1772" s="17" t="s">
        <v>4390</v>
      </c>
      <c r="L1772" s="17" t="s">
        <v>39</v>
      </c>
      <c r="M1772" s="16">
        <v>8115198384</v>
      </c>
      <c r="N1772" s="16">
        <v>864943047770520</v>
      </c>
      <c r="O1772" s="16" t="s">
        <v>4391</v>
      </c>
      <c r="P1772" s="17" t="s">
        <v>4392</v>
      </c>
      <c r="Q1772" s="17" t="s">
        <v>2559</v>
      </c>
      <c r="R1772" s="18">
        <v>0</v>
      </c>
      <c r="S1772" s="19" t="s">
        <v>5264</v>
      </c>
      <c r="T1772" s="17"/>
      <c r="U1772" s="66"/>
    </row>
    <row r="1773" spans="2:21" s="15" customFormat="1" ht="29" x14ac:dyDescent="0.35">
      <c r="B1773" s="64">
        <v>46164</v>
      </c>
      <c r="C1773" s="17">
        <v>1663</v>
      </c>
      <c r="D1773" s="85" t="s">
        <v>5260</v>
      </c>
      <c r="E1773" s="85" t="s">
        <v>5263</v>
      </c>
      <c r="F1773" s="85" t="s">
        <v>1468</v>
      </c>
      <c r="G1773" s="17" t="s">
        <v>4133</v>
      </c>
      <c r="H1773" s="17" t="s">
        <v>1930</v>
      </c>
      <c r="I1773" s="145" t="s">
        <v>39</v>
      </c>
      <c r="J1773" s="17" t="s">
        <v>4400</v>
      </c>
      <c r="K1773" s="14" t="s">
        <v>4402</v>
      </c>
      <c r="L1773" s="17" t="s">
        <v>39</v>
      </c>
      <c r="M1773" s="16">
        <v>8115166506</v>
      </c>
      <c r="N1773" s="16">
        <v>864943047771817</v>
      </c>
      <c r="O1773" s="16" t="s">
        <v>39</v>
      </c>
      <c r="P1773" s="17" t="s">
        <v>4401</v>
      </c>
      <c r="Q1773" s="17" t="s">
        <v>2559</v>
      </c>
      <c r="R1773" s="18">
        <v>0</v>
      </c>
      <c r="S1773" s="19" t="s">
        <v>5264</v>
      </c>
      <c r="T1773" s="17"/>
      <c r="U1773" s="66"/>
    </row>
    <row r="1774" spans="2:21" s="15" customFormat="1" ht="29" x14ac:dyDescent="0.35">
      <c r="B1774" s="64">
        <v>46164</v>
      </c>
      <c r="C1774" s="17">
        <v>1664</v>
      </c>
      <c r="D1774" s="85" t="s">
        <v>5261</v>
      </c>
      <c r="E1774" s="85" t="s">
        <v>5263</v>
      </c>
      <c r="F1774" s="85" t="s">
        <v>1468</v>
      </c>
      <c r="G1774" s="17" t="s">
        <v>4133</v>
      </c>
      <c r="H1774" s="17" t="s">
        <v>1930</v>
      </c>
      <c r="I1774" s="145" t="s">
        <v>39</v>
      </c>
      <c r="J1774" s="17" t="s">
        <v>4694</v>
      </c>
      <c r="K1774" s="17" t="s">
        <v>4695</v>
      </c>
      <c r="L1774" s="17" t="s">
        <v>39</v>
      </c>
      <c r="M1774" s="16">
        <v>8116801511</v>
      </c>
      <c r="N1774" s="16">
        <v>862667082681670</v>
      </c>
      <c r="O1774" s="16" t="s">
        <v>39</v>
      </c>
      <c r="P1774" s="17" t="s">
        <v>4711</v>
      </c>
      <c r="Q1774" s="17" t="s">
        <v>2559</v>
      </c>
      <c r="R1774" s="18">
        <v>0</v>
      </c>
      <c r="S1774" s="19" t="s">
        <v>5264</v>
      </c>
      <c r="T1774" s="17"/>
      <c r="U1774" s="66"/>
    </row>
    <row r="1775" spans="2:21" s="15" customFormat="1" ht="29" x14ac:dyDescent="0.35">
      <c r="B1775" s="64">
        <v>46164</v>
      </c>
      <c r="C1775" s="17">
        <v>1665</v>
      </c>
      <c r="D1775" s="85" t="s">
        <v>5262</v>
      </c>
      <c r="E1775" s="85" t="s">
        <v>5263</v>
      </c>
      <c r="F1775" s="85" t="s">
        <v>1468</v>
      </c>
      <c r="G1775" s="17" t="s">
        <v>4133</v>
      </c>
      <c r="H1775" s="17" t="s">
        <v>1930</v>
      </c>
      <c r="I1775" s="145" t="s">
        <v>39</v>
      </c>
      <c r="J1775" s="17" t="s">
        <v>4736</v>
      </c>
      <c r="K1775" s="17" t="s">
        <v>4750</v>
      </c>
      <c r="L1775" s="17" t="s">
        <v>39</v>
      </c>
      <c r="M1775" s="16">
        <v>8126174250</v>
      </c>
      <c r="N1775" s="16">
        <v>862667089398237</v>
      </c>
      <c r="O1775" s="16" t="s">
        <v>4752</v>
      </c>
      <c r="P1775" s="17" t="s">
        <v>4753</v>
      </c>
      <c r="Q1775" s="17" t="s">
        <v>2559</v>
      </c>
      <c r="R1775" s="18">
        <v>0</v>
      </c>
      <c r="S1775" s="19" t="s">
        <v>5264</v>
      </c>
      <c r="T1775" s="17"/>
      <c r="U1775" s="66"/>
    </row>
    <row r="1776" spans="2:21" s="15" customFormat="1" ht="29" x14ac:dyDescent="0.35">
      <c r="B1776" s="64">
        <v>46164</v>
      </c>
      <c r="C1776" s="17">
        <v>1666</v>
      </c>
      <c r="D1776" s="85">
        <v>945</v>
      </c>
      <c r="E1776" s="85" t="s">
        <v>5276</v>
      </c>
      <c r="F1776" s="85" t="s">
        <v>13</v>
      </c>
      <c r="G1776" s="17" t="s">
        <v>1805</v>
      </c>
      <c r="H1776" s="17" t="s">
        <v>4115</v>
      </c>
      <c r="I1776" s="145" t="s">
        <v>4979</v>
      </c>
      <c r="J1776" s="17" t="s">
        <v>5278</v>
      </c>
      <c r="K1776" s="17" t="s">
        <v>5280</v>
      </c>
      <c r="L1776" s="17" t="s">
        <v>4660</v>
      </c>
      <c r="M1776" s="16">
        <v>8114973080</v>
      </c>
      <c r="N1776" s="16">
        <v>866557080301577</v>
      </c>
      <c r="O1776" s="16" t="s">
        <v>39</v>
      </c>
      <c r="P1776" s="17" t="s">
        <v>5281</v>
      </c>
      <c r="Q1776" s="17" t="s">
        <v>8</v>
      </c>
      <c r="R1776" s="18">
        <v>1999.84</v>
      </c>
      <c r="S1776" s="19">
        <v>174</v>
      </c>
      <c r="T1776" s="17"/>
      <c r="U1776" s="66"/>
    </row>
    <row r="1777" spans="2:21" s="15" customFormat="1" ht="43.5" x14ac:dyDescent="0.35">
      <c r="B1777" s="64">
        <v>46164</v>
      </c>
      <c r="C1777" s="17">
        <v>1667</v>
      </c>
      <c r="D1777" s="85">
        <v>946</v>
      </c>
      <c r="E1777" s="85" t="s">
        <v>5276</v>
      </c>
      <c r="F1777" s="85" t="s">
        <v>13</v>
      </c>
      <c r="G1777" s="17" t="s">
        <v>1805</v>
      </c>
      <c r="H1777" s="17" t="s">
        <v>5277</v>
      </c>
      <c r="I1777" s="145" t="s">
        <v>4605</v>
      </c>
      <c r="J1777" s="17" t="s">
        <v>5279</v>
      </c>
      <c r="K1777" s="17" t="s">
        <v>5282</v>
      </c>
      <c r="L1777" s="17" t="s">
        <v>4660</v>
      </c>
      <c r="M1777" s="16" t="s">
        <v>39</v>
      </c>
      <c r="N1777" s="16" t="s">
        <v>39</v>
      </c>
      <c r="O1777" s="16" t="s">
        <v>39</v>
      </c>
      <c r="P1777" s="17" t="s">
        <v>39</v>
      </c>
      <c r="Q1777" s="17" t="s">
        <v>8</v>
      </c>
      <c r="R1777" s="18">
        <v>1999.84</v>
      </c>
      <c r="S1777" s="19">
        <v>174</v>
      </c>
      <c r="T1777" s="17"/>
      <c r="U1777" s="66"/>
    </row>
    <row r="1778" spans="2:21" s="15" customFormat="1" ht="14.5" x14ac:dyDescent="0.35">
      <c r="B1778" s="64"/>
      <c r="C1778" s="17">
        <v>1668</v>
      </c>
      <c r="D1778" s="85"/>
      <c r="E1778" s="85"/>
      <c r="F1778" s="85"/>
      <c r="G1778" s="17"/>
      <c r="H1778" s="17"/>
      <c r="I1778" s="145"/>
      <c r="J1778" s="17"/>
      <c r="K1778" s="17"/>
      <c r="L1778" s="17"/>
      <c r="M1778" s="16"/>
      <c r="N1778" s="16"/>
      <c r="O1778" s="16"/>
      <c r="P1778" s="17"/>
      <c r="Q1778" s="17"/>
      <c r="R1778" s="18"/>
      <c r="S1778" s="19"/>
      <c r="T1778" s="17"/>
      <c r="U1778" s="66"/>
    </row>
    <row r="1779" spans="2:21" s="15" customFormat="1" ht="14.5" x14ac:dyDescent="0.35">
      <c r="B1779" s="64"/>
      <c r="C1779" s="17">
        <v>1669</v>
      </c>
      <c r="D1779" s="85"/>
      <c r="E1779" s="85"/>
      <c r="F1779" s="85"/>
      <c r="G1779" s="17"/>
      <c r="H1779" s="17"/>
      <c r="I1779" s="145"/>
      <c r="J1779" s="17"/>
      <c r="K1779" s="17"/>
      <c r="L1779" s="17"/>
      <c r="M1779" s="16"/>
      <c r="N1779" s="16"/>
      <c r="O1779" s="16"/>
      <c r="P1779" s="17"/>
      <c r="Q1779" s="17"/>
      <c r="R1779" s="18"/>
      <c r="S1779" s="19"/>
      <c r="T1779" s="17"/>
      <c r="U1779" s="66"/>
    </row>
    <row r="1780" spans="2:21" s="15" customFormat="1" ht="14.5" x14ac:dyDescent="0.35">
      <c r="B1780" s="64"/>
      <c r="C1780" s="17">
        <v>1670</v>
      </c>
      <c r="D1780" s="85"/>
      <c r="E1780" s="85"/>
      <c r="F1780" s="85"/>
      <c r="G1780" s="17"/>
      <c r="H1780" s="17"/>
      <c r="I1780" s="145"/>
      <c r="J1780" s="17"/>
      <c r="K1780" s="17"/>
      <c r="L1780" s="17"/>
      <c r="M1780" s="16"/>
      <c r="N1780" s="16"/>
      <c r="O1780" s="16"/>
      <c r="P1780" s="17"/>
      <c r="Q1780" s="17"/>
      <c r="R1780" s="18"/>
      <c r="S1780" s="19"/>
      <c r="T1780" s="17"/>
      <c r="U1780" s="66"/>
    </row>
    <row r="1781" spans="2:21" s="15" customFormat="1" ht="14.5" x14ac:dyDescent="0.35">
      <c r="B1781" s="64"/>
      <c r="C1781" s="17">
        <v>1671</v>
      </c>
      <c r="D1781" s="85"/>
      <c r="E1781" s="85"/>
      <c r="F1781" s="85"/>
      <c r="G1781" s="17"/>
      <c r="H1781" s="17"/>
      <c r="I1781" s="145"/>
      <c r="J1781" s="17"/>
      <c r="K1781" s="17"/>
      <c r="L1781" s="17"/>
      <c r="M1781" s="16"/>
      <c r="N1781" s="16"/>
      <c r="O1781" s="16"/>
      <c r="P1781" s="17"/>
      <c r="Q1781" s="17"/>
      <c r="R1781" s="18"/>
      <c r="S1781" s="19"/>
      <c r="T1781" s="17"/>
      <c r="U1781" s="66"/>
    </row>
    <row r="1782" spans="2:21" s="15" customFormat="1" ht="14.5" x14ac:dyDescent="0.35">
      <c r="B1782" s="64"/>
      <c r="C1782" s="17">
        <v>1672</v>
      </c>
      <c r="D1782" s="85"/>
      <c r="E1782" s="85"/>
      <c r="F1782" s="85"/>
      <c r="G1782" s="17"/>
      <c r="H1782" s="17"/>
      <c r="I1782" s="145"/>
      <c r="J1782" s="17"/>
      <c r="K1782" s="17"/>
      <c r="L1782" s="17"/>
      <c r="M1782" s="16"/>
      <c r="N1782" s="16"/>
      <c r="O1782" s="16"/>
      <c r="P1782" s="17"/>
      <c r="Q1782" s="17"/>
      <c r="R1782" s="18"/>
      <c r="S1782" s="19"/>
      <c r="T1782" s="17"/>
      <c r="U1782" s="66"/>
    </row>
    <row r="1783" spans="2:21" s="15" customFormat="1" ht="14.5" x14ac:dyDescent="0.35">
      <c r="B1783" s="64"/>
      <c r="C1783" s="17">
        <v>1673</v>
      </c>
      <c r="D1783" s="85"/>
      <c r="E1783" s="85"/>
      <c r="F1783" s="85"/>
      <c r="G1783" s="17"/>
      <c r="H1783" s="17"/>
      <c r="I1783" s="145"/>
      <c r="J1783" s="17"/>
      <c r="K1783" s="17"/>
      <c r="L1783" s="17"/>
      <c r="M1783" s="16"/>
      <c r="N1783" s="16"/>
      <c r="O1783" s="16"/>
      <c r="P1783" s="17"/>
      <c r="Q1783" s="17"/>
      <c r="R1783" s="18"/>
      <c r="S1783" s="19"/>
      <c r="T1783" s="17"/>
      <c r="U1783" s="66"/>
    </row>
    <row r="1784" spans="2:21" s="15" customFormat="1" ht="14.5" x14ac:dyDescent="0.35">
      <c r="B1784" s="64"/>
      <c r="C1784" s="17">
        <v>1674</v>
      </c>
      <c r="D1784" s="85"/>
      <c r="E1784" s="85"/>
      <c r="F1784" s="85"/>
      <c r="G1784" s="17"/>
      <c r="H1784" s="17"/>
      <c r="I1784" s="145"/>
      <c r="J1784" s="17"/>
      <c r="K1784" s="17"/>
      <c r="L1784" s="17"/>
      <c r="M1784" s="16"/>
      <c r="N1784" s="16"/>
      <c r="O1784" s="16"/>
      <c r="P1784" s="17"/>
      <c r="Q1784" s="17"/>
      <c r="R1784" s="18"/>
      <c r="S1784" s="19"/>
      <c r="T1784" s="17"/>
      <c r="U1784" s="66"/>
    </row>
    <row r="1785" spans="2:21" s="15" customFormat="1" ht="14.5" x14ac:dyDescent="0.35">
      <c r="B1785" s="64"/>
      <c r="C1785" s="17">
        <v>1675</v>
      </c>
      <c r="D1785" s="85"/>
      <c r="E1785" s="85"/>
      <c r="F1785" s="85"/>
      <c r="G1785" s="17"/>
      <c r="H1785" s="17"/>
      <c r="I1785" s="145"/>
      <c r="J1785" s="17"/>
      <c r="K1785" s="17"/>
      <c r="L1785" s="17"/>
      <c r="M1785" s="16"/>
      <c r="N1785" s="16"/>
      <c r="O1785" s="16"/>
      <c r="P1785" s="17"/>
      <c r="Q1785" s="17"/>
      <c r="R1785" s="18"/>
      <c r="S1785" s="19"/>
      <c r="T1785" s="17"/>
      <c r="U1785" s="66"/>
    </row>
    <row r="1786" spans="2:21" s="15" customFormat="1" ht="14.5" x14ac:dyDescent="0.35">
      <c r="B1786" s="64"/>
      <c r="C1786" s="17"/>
      <c r="D1786" s="85"/>
      <c r="E1786" s="85"/>
      <c r="F1786" s="85"/>
      <c r="G1786" s="17"/>
      <c r="H1786" s="17"/>
      <c r="I1786" s="145"/>
      <c r="J1786" s="17"/>
      <c r="K1786" s="17"/>
      <c r="L1786" s="17"/>
      <c r="M1786" s="16"/>
      <c r="N1786" s="16"/>
      <c r="O1786" s="16"/>
      <c r="P1786" s="17"/>
      <c r="Q1786" s="17"/>
      <c r="R1786" s="18"/>
      <c r="S1786" s="19"/>
      <c r="T1786" s="17"/>
      <c r="U1786" s="66"/>
    </row>
    <row r="1787" spans="2:21" s="15" customFormat="1" ht="14.5" x14ac:dyDescent="0.35">
      <c r="B1787" s="64"/>
      <c r="C1787" s="17"/>
      <c r="D1787" s="85"/>
      <c r="E1787" s="85"/>
      <c r="F1787" s="85"/>
      <c r="G1787" s="17"/>
      <c r="H1787" s="17"/>
      <c r="I1787" s="145"/>
      <c r="J1787" s="17"/>
      <c r="K1787" s="17"/>
      <c r="L1787" s="17"/>
      <c r="M1787" s="16"/>
      <c r="N1787" s="16"/>
      <c r="O1787" s="16"/>
      <c r="P1787" s="17"/>
      <c r="Q1787" s="17"/>
      <c r="R1787" s="18"/>
      <c r="S1787" s="19"/>
      <c r="T1787" s="17"/>
      <c r="U1787" s="66"/>
    </row>
    <row r="1788" spans="2:21" s="15" customFormat="1" ht="14.5" x14ac:dyDescent="0.35">
      <c r="B1788" s="64"/>
      <c r="C1788" s="17"/>
      <c r="D1788" s="85"/>
      <c r="E1788" s="85"/>
      <c r="F1788" s="85"/>
      <c r="G1788" s="17"/>
      <c r="H1788" s="17"/>
      <c r="I1788" s="145"/>
      <c r="J1788" s="17"/>
      <c r="K1788" s="17"/>
      <c r="L1788" s="17"/>
      <c r="M1788" s="16"/>
      <c r="N1788" s="16"/>
      <c r="O1788" s="16"/>
      <c r="P1788" s="17"/>
      <c r="Q1788" s="17"/>
      <c r="R1788" s="18"/>
      <c r="S1788" s="19"/>
      <c r="T1788" s="17"/>
      <c r="U1788" s="66"/>
    </row>
    <row r="1789" spans="2:21" s="15" customFormat="1" ht="14.5" x14ac:dyDescent="0.35">
      <c r="B1789" s="64"/>
      <c r="C1789" s="17"/>
      <c r="D1789" s="85"/>
      <c r="E1789" s="85"/>
      <c r="F1789" s="85"/>
      <c r="G1789" s="17"/>
      <c r="H1789" s="17"/>
      <c r="I1789" s="145"/>
      <c r="J1789" s="17"/>
      <c r="K1789" s="17"/>
      <c r="L1789" s="17"/>
      <c r="M1789" s="16"/>
      <c r="N1789" s="16"/>
      <c r="O1789" s="16"/>
      <c r="P1789" s="17"/>
      <c r="Q1789" s="17"/>
      <c r="R1789" s="18"/>
      <c r="S1789" s="19"/>
      <c r="T1789" s="17"/>
      <c r="U1789" s="66"/>
    </row>
    <row r="1790" spans="2:21" s="15" customFormat="1" ht="14.5" x14ac:dyDescent="0.35">
      <c r="B1790" s="64"/>
      <c r="C1790" s="17"/>
      <c r="D1790" s="85"/>
      <c r="E1790" s="85"/>
      <c r="F1790" s="85"/>
      <c r="G1790" s="17"/>
      <c r="H1790" s="17"/>
      <c r="I1790" s="145"/>
      <c r="J1790" s="17"/>
      <c r="K1790" s="17"/>
      <c r="L1790" s="17"/>
      <c r="M1790" s="16"/>
      <c r="N1790" s="16"/>
      <c r="O1790" s="16"/>
      <c r="P1790" s="17"/>
      <c r="Q1790" s="17"/>
      <c r="R1790" s="18"/>
      <c r="S1790" s="19"/>
      <c r="T1790" s="17"/>
      <c r="U1790" s="66"/>
    </row>
    <row r="1791" spans="2:21" s="34" customFormat="1" ht="15" thickBot="1" x14ac:dyDescent="0.4">
      <c r="B1791" s="78"/>
      <c r="C1791" s="79"/>
      <c r="D1791" s="131"/>
      <c r="E1791" s="79"/>
      <c r="F1791" s="92"/>
      <c r="G1791" s="79"/>
      <c r="H1791" s="79"/>
      <c r="I1791" s="146"/>
      <c r="J1791" s="80"/>
      <c r="K1791" s="80"/>
      <c r="L1791" s="79"/>
      <c r="M1791" s="79"/>
      <c r="N1791" s="79"/>
      <c r="O1791" s="79"/>
      <c r="P1791" s="79"/>
      <c r="Q1791" s="79"/>
      <c r="R1791" s="79"/>
      <c r="S1791" s="79"/>
      <c r="T1791" s="81"/>
      <c r="U1791" s="82"/>
    </row>
    <row r="1792" spans="2:21" s="34" customFormat="1" ht="15" thickBot="1" x14ac:dyDescent="0.4">
      <c r="D1792" s="129"/>
      <c r="F1792" s="93"/>
      <c r="G1792" s="15"/>
      <c r="I1792" s="147"/>
      <c r="J1792" s="15"/>
      <c r="K1792" s="15"/>
    </row>
    <row r="1793" spans="1:23" s="34" customFormat="1" ht="29" x14ac:dyDescent="0.35">
      <c r="A1793" s="15"/>
      <c r="B1793" s="64"/>
      <c r="C1793" s="14"/>
      <c r="D1793" s="85" t="s">
        <v>39</v>
      </c>
      <c r="E1793" s="14"/>
      <c r="F1793" s="74" t="s">
        <v>13</v>
      </c>
      <c r="G1793" s="17" t="s">
        <v>5</v>
      </c>
      <c r="H1793" s="14" t="s">
        <v>17</v>
      </c>
      <c r="I1793" s="144"/>
      <c r="J1793" s="14" t="s">
        <v>16</v>
      </c>
      <c r="K1793" s="14" t="s">
        <v>15</v>
      </c>
      <c r="L1793" s="14"/>
      <c r="M1793" s="37"/>
      <c r="N1793" s="38"/>
      <c r="O1793" s="38"/>
      <c r="P1793" s="14"/>
      <c r="Q1793" s="17" t="s">
        <v>14</v>
      </c>
      <c r="R1793" s="18">
        <v>0</v>
      </c>
      <c r="S1793" s="19">
        <v>0</v>
      </c>
      <c r="T1793" s="83"/>
      <c r="U1793" s="84"/>
      <c r="V1793" s="15"/>
      <c r="W1793" s="15"/>
    </row>
    <row r="1794" spans="1:23" s="34" customFormat="1" ht="29" x14ac:dyDescent="0.35">
      <c r="A1794" s="15"/>
      <c r="B1794" s="64"/>
      <c r="C1794" s="14"/>
      <c r="D1794" s="74"/>
      <c r="E1794" s="14"/>
      <c r="F1794" s="74" t="s">
        <v>13</v>
      </c>
      <c r="G1794" s="17" t="s">
        <v>12</v>
      </c>
      <c r="H1794" s="14" t="s">
        <v>11</v>
      </c>
      <c r="I1794" s="144"/>
      <c r="J1794" s="14" t="s">
        <v>10</v>
      </c>
      <c r="K1794" s="14" t="s">
        <v>9</v>
      </c>
      <c r="L1794" s="14" t="s">
        <v>2</v>
      </c>
      <c r="M1794" s="38"/>
      <c r="N1794" s="38"/>
      <c r="O1794" s="38"/>
      <c r="P1794" s="14"/>
      <c r="Q1794" s="17" t="s">
        <v>8</v>
      </c>
      <c r="R1794" s="18">
        <v>0</v>
      </c>
      <c r="S1794" s="41">
        <v>0</v>
      </c>
      <c r="T1794" s="83"/>
      <c r="U1794" s="66"/>
      <c r="V1794" s="15"/>
      <c r="W1794" s="15"/>
    </row>
    <row r="1795" spans="1:23" s="34" customFormat="1" ht="29" x14ac:dyDescent="0.35">
      <c r="A1795" s="15"/>
      <c r="B1795" s="96"/>
      <c r="C1795" s="14">
        <v>36</v>
      </c>
      <c r="D1795" s="74"/>
      <c r="E1795" s="14" t="s">
        <v>7</v>
      </c>
      <c r="F1795" s="74" t="s">
        <v>6</v>
      </c>
      <c r="G1795" s="14" t="s">
        <v>5</v>
      </c>
      <c r="H1795" s="14"/>
      <c r="I1795" s="144"/>
      <c r="J1795" s="14" t="s">
        <v>4</v>
      </c>
      <c r="K1795" s="14" t="s">
        <v>3</v>
      </c>
      <c r="L1795" s="14" t="s">
        <v>2</v>
      </c>
      <c r="M1795" s="38">
        <v>8118249610</v>
      </c>
      <c r="N1795" s="38">
        <v>865011031967913</v>
      </c>
      <c r="O1795" s="38"/>
      <c r="P1795" s="14" t="s">
        <v>1</v>
      </c>
      <c r="Q1795" s="14" t="s">
        <v>0</v>
      </c>
      <c r="R1795" s="40">
        <v>0</v>
      </c>
      <c r="S1795" s="41">
        <v>0</v>
      </c>
      <c r="T1795" s="14"/>
      <c r="U1795" s="14"/>
      <c r="V1795" s="15"/>
      <c r="W1795" s="15"/>
    </row>
    <row r="1796" spans="1:23" s="34" customFormat="1" ht="14.5" x14ac:dyDescent="0.35">
      <c r="D1796" s="74">
        <v>111</v>
      </c>
      <c r="F1796" s="93"/>
      <c r="G1796" s="15"/>
      <c r="I1796" s="147"/>
      <c r="J1796" s="15"/>
      <c r="K1796" s="15"/>
    </row>
    <row r="1797" spans="1:23" x14ac:dyDescent="0.35">
      <c r="D1797" s="93"/>
    </row>
    <row r="1819" spans="9:9" x14ac:dyDescent="0.35">
      <c r="I1819" s="139" t="s">
        <v>4326</v>
      </c>
    </row>
  </sheetData>
  <autoFilter ref="B3:U1785" xr:uid="{00000000-0009-0000-0000-000000000000}">
    <sortState xmlns:xlrd2="http://schemas.microsoft.com/office/spreadsheetml/2017/richdata2" ref="B4:S428">
      <sortCondition ref="B3:B428"/>
    </sortState>
  </autoFilter>
  <conditionalFormatting sqref="E1:E3 E5 E7:E8 E10:E14 E16:E39 E41 E44:E45 E47 E49 E51:E60 E63 E65 E67:E73 E75:E76 E80 E87:E88 E90:E91 E94:E97 E100 E102:E109 E112 E115:E118 E120:E121 E123:E125 E128:E151 E153:E155 E157:E159 E161:E162 E164 E166:E177 E179:E202 E204:E213 E215 E217:E218 E220:E228 E230:E231 E234:E236 E259:E266 E268 E270:E283 E293 E307 E310:E315 E329:E330 E332:E337 E390 E402:E404 E411:E415 E417 E425:E427 E459 E480:E485 E608 E615:E617 E808:E812 E908:E910 E1158 E1292:E1293 E1504:E1048576">
    <cfRule type="containsText" dxfId="5298" priority="10392" operator="containsText" text="ACTIVO">
      <formula>NOT(ISERROR(SEARCH("ACTIVO",E1)))</formula>
    </cfRule>
  </conditionalFormatting>
  <conditionalFormatting sqref="E1:E3 E5 E7:E8 E10:E14 E16:E39 E41 E44:E45 E47 E49 E51:E60 E63 E65 E67:E73 E75:E76 E80 E87:E88 E90:E91 E94:E97 E100 E102:E109 E112 E115:E118 E120:E121 E123:E125 E128:E151 E153:E155 E157:E159 E161:E162 E164 E166:E177 E179:E202 E204:E213 E215 E217:E218 E220:E228 E230:E231 E234:E236 E259:E266 E268 E270:E283 E307 E310:E315 E329:E330 E332:E337 E390 E411:E415 E417 E425:E427 E459 E608 E808:E812 E908:E910 E1158 E1292:E1293 E1510:E1048576 E293 E402:E404 E480:E485 E615:E617">
    <cfRule type="containsText" dxfId="5297" priority="10391" operator="containsText" text="INACTIVO">
      <formula>NOT(ISERROR(SEARCH("INACTIVO",E1)))</formula>
    </cfRule>
  </conditionalFormatting>
  <conditionalFormatting sqref="E1:E3 E5 E7:E8 E10:E14 E16:E39 E41 E44:E45 E47 E49 E51:E60 E63 E65 E67:E73 E75:E76 E80 E87:E88 E90:E91 E94:E97 E100 E102:E109 E112 E115:E118 E120:E121 E123:E125 E128:E151 E153:E155 E157:E159 E161:E162 E164 E166:E177 E179:E202 E204:E213 E215 E217:E218 E220:E228 E230:E231 E234:E236 E259:E266 E268 E270:E283 E307 E310:E315 E329:E330 E332:E337 E411:E415 E417 E459 E808:E812 E908:E910 E1158 E1292:E1293 E608">
    <cfRule type="containsText" dxfId="5296" priority="10389" operator="containsText" text="REVISION">
      <formula>NOT(ISERROR(SEARCH("REVISION",E1)))</formula>
    </cfRule>
  </conditionalFormatting>
  <conditionalFormatting sqref="E1:E3 E5 E7:E8 E10:E14 E16:E39 E41 E44:E45 E47 E49 E51:E60 E63 E65 E67:E73 E75:E76 E80 E87:E88 E90:E91 E94:E97 E100 E102:E109 E112 E115:E118 E120:E121 E123:E125 E128:E151 E153:E155 E157:E159 E161:E162 E164 E166:E177 E179:E202 E204:E213 E215 E217:E218 E220:E228 E230:E231 E234:E236 E259:E266 E268 E270:E283 E307 E310:E315 E329:E330 E332:E337 E411:E415 E417 E459 E608:F608 E808:E812 E908:E910 E1158 E1292:E1293 E1510:F1048576 E425:E427 E390">
    <cfRule type="containsText" dxfId="5295" priority="10390" operator="containsText" text="BAJA">
      <formula>NOT(ISERROR(SEARCH("BAJA",E1)))</formula>
    </cfRule>
  </conditionalFormatting>
  <conditionalFormatting sqref="E1:E78">
    <cfRule type="containsText" dxfId="5294" priority="6969" operator="containsText" text="REVISION">
      <formula>NOT(ISERROR(SEARCH("REVISION",E1)))</formula>
    </cfRule>
    <cfRule type="containsText" dxfId="5293" priority="6974" operator="containsText" text="ACTIVO">
      <formula>NOT(ISERROR(SEARCH("ACTIVO",E1)))</formula>
    </cfRule>
  </conditionalFormatting>
  <conditionalFormatting sqref="E1:E165">
    <cfRule type="containsText" dxfId="5292" priority="4468" operator="containsText" text="BAJA">
      <formula>NOT(ISERROR(SEARCH("BAJA",E1)))</formula>
    </cfRule>
  </conditionalFormatting>
  <conditionalFormatting sqref="E5:E8">
    <cfRule type="containsText" dxfId="5291" priority="8871" operator="containsText" text="ACTIVO">
      <formula>NOT(ISERROR(SEARCH("ACTIVO",E5)))</formula>
    </cfRule>
  </conditionalFormatting>
  <conditionalFormatting sqref="E6">
    <cfRule type="containsText" dxfId="5290" priority="8872" operator="containsText" text="ACTIVO ">
      <formula>NOT(ISERROR(SEARCH("ACTIVO ",E6)))</formula>
    </cfRule>
    <cfRule type="containsText" dxfId="5289" priority="8870" operator="containsText" text="INACTIVO">
      <formula>NOT(ISERROR(SEARCH("INACTIVO",E6)))</formula>
    </cfRule>
    <cfRule type="containsText" dxfId="5288" priority="8869" operator="containsText" text="BAJA">
      <formula>NOT(ISERROR(SEARCH("BAJA",E6)))</formula>
    </cfRule>
    <cfRule type="containsText" dxfId="5287" priority="8868" operator="containsText" text="REVISION">
      <formula>NOT(ISERROR(SEARCH("REVISION",E6)))</formula>
    </cfRule>
    <cfRule type="containsText" dxfId="5286" priority="8867" operator="containsText" text="REVISION">
      <formula>NOT(ISERROR(SEARCH("REVISION",E6)))</formula>
    </cfRule>
  </conditionalFormatting>
  <conditionalFormatting sqref="E9">
    <cfRule type="containsText" dxfId="5285" priority="8855" operator="containsText" text="BAJA">
      <formula>NOT(ISERROR(SEARCH("BAJA",E9)))</formula>
    </cfRule>
    <cfRule type="containsText" dxfId="5284" priority="8853" operator="containsText" text="REVISION">
      <formula>NOT(ISERROR(SEARCH("REVISION",E9)))</formula>
    </cfRule>
    <cfRule type="containsText" dxfId="5283" priority="8854" operator="containsText" text="REVISION">
      <formula>NOT(ISERROR(SEARCH("REVISION",E9)))</formula>
    </cfRule>
    <cfRule type="containsText" dxfId="5282" priority="8858" operator="containsText" text="ACTIVO ">
      <formula>NOT(ISERROR(SEARCH("ACTIVO ",E9)))</formula>
    </cfRule>
    <cfRule type="containsText" dxfId="5281" priority="8856" operator="containsText" text="INACTIVO">
      <formula>NOT(ISERROR(SEARCH("INACTIVO",E9)))</formula>
    </cfRule>
  </conditionalFormatting>
  <conditionalFormatting sqref="E9:E14">
    <cfRule type="containsText" dxfId="5280" priority="8857" operator="containsText" text="ACTIVO">
      <formula>NOT(ISERROR(SEARCH("ACTIVO",E9)))</formula>
    </cfRule>
  </conditionalFormatting>
  <conditionalFormatting sqref="E15">
    <cfRule type="containsText" dxfId="5279" priority="8846" operator="containsText" text="REVISION">
      <formula>NOT(ISERROR(SEARCH("REVISION",E15)))</formula>
    </cfRule>
    <cfRule type="containsText" dxfId="5278" priority="8847" operator="containsText" text="BAJA">
      <formula>NOT(ISERROR(SEARCH("BAJA",E15)))</formula>
    </cfRule>
    <cfRule type="containsText" dxfId="5277" priority="8848" operator="containsText" text="INACTIVO">
      <formula>NOT(ISERROR(SEARCH("INACTIVO",E15)))</formula>
    </cfRule>
    <cfRule type="containsText" dxfId="5276" priority="8849" operator="containsText" text="ACTIVO">
      <formula>NOT(ISERROR(SEARCH("ACTIVO",E15)))</formula>
    </cfRule>
    <cfRule type="containsText" dxfId="5275" priority="8850" operator="containsText" text="ACTIVO ">
      <formula>NOT(ISERROR(SEARCH("ACTIVO ",E15)))</formula>
    </cfRule>
    <cfRule type="containsText" dxfId="5274" priority="8845" operator="containsText" text="REVISION">
      <formula>NOT(ISERROR(SEARCH("REVISION",E15)))</formula>
    </cfRule>
  </conditionalFormatting>
  <conditionalFormatting sqref="E16:E39 E5 E7:E8 E10:E14 E41 E44:E45 E47 E49 E51:E60 E63 E65 E67:E73 E75:E76 E87:E88 E90:E91 E100 E123:E125 E128:E151 E161:E162 E164 E392 E394:E398 E435:E438 E440:E457 E459 E551:E558 E560:E584 E586:E609 E204:E213 E215 E166:E177 E701:E703 E157:E159 E220:E228 E230:E231 E268 E270:E283 E287:E296 E298:E305 E307 E310:E315 E317:E319 E321:E324 E329:E330 E332:E337 E339:E390 E750 E808:E812 E1158 E1504:E1048576 E80 E1:E3 E94:E97 E102:E109 E112 E115:E118 E120:E121 E153:E155 E179:E202 E217:E218 E234:E257 E259:E266 E400:E408 E411:E415 E417 E420:E423 E908:E910 E425:E432 E461 E463:E469 E472:E486 E488:E513 E515:E549 E1292:E1293">
    <cfRule type="containsText" dxfId="5273" priority="9728" operator="containsText" text="REVISION">
      <formula>NOT(ISERROR(SEARCH("REVISION",E1)))</formula>
    </cfRule>
  </conditionalFormatting>
  <conditionalFormatting sqref="E16:E39">
    <cfRule type="containsText" dxfId="5272" priority="8886" operator="containsText" text="ACTIVO">
      <formula>NOT(ISERROR(SEARCH("ACTIVO",E16)))</formula>
    </cfRule>
  </conditionalFormatting>
  <conditionalFormatting sqref="E31">
    <cfRule type="containsText" dxfId="5271" priority="8885" operator="containsText" text="INACTIVO">
      <formula>NOT(ISERROR(SEARCH("INACTIVO",E31)))</formula>
    </cfRule>
    <cfRule type="containsText" dxfId="5270" priority="8887" operator="containsText" text="ACTIVO ">
      <formula>NOT(ISERROR(SEARCH("ACTIVO ",E31)))</formula>
    </cfRule>
    <cfRule type="containsText" dxfId="5269" priority="8884" operator="containsText" text="BAJA">
      <formula>NOT(ISERROR(SEARCH("BAJA",E31)))</formula>
    </cfRule>
    <cfRule type="containsText" dxfId="5268" priority="8883" operator="containsText" text="REVISION">
      <formula>NOT(ISERROR(SEARCH("REVISION",E31)))</formula>
    </cfRule>
  </conditionalFormatting>
  <conditionalFormatting sqref="E40">
    <cfRule type="containsText" dxfId="5267" priority="8837" operator="containsText" text="REVISION">
      <formula>NOT(ISERROR(SEARCH("REVISION",E40)))</formula>
    </cfRule>
    <cfRule type="containsText" dxfId="5266" priority="8838" operator="containsText" text="REVISION">
      <formula>NOT(ISERROR(SEARCH("REVISION",E40)))</formula>
    </cfRule>
    <cfRule type="containsText" dxfId="5265" priority="8839" operator="containsText" text="BAJA">
      <formula>NOT(ISERROR(SEARCH("BAJA",E40)))</formula>
    </cfRule>
    <cfRule type="containsText" dxfId="5264" priority="8840" operator="containsText" text="INACTIVO">
      <formula>NOT(ISERROR(SEARCH("INACTIVO",E40)))</formula>
    </cfRule>
    <cfRule type="containsText" dxfId="5263" priority="8842" operator="containsText" text="ACTIVO ">
      <formula>NOT(ISERROR(SEARCH("ACTIVO ",E40)))</formula>
    </cfRule>
  </conditionalFormatting>
  <conditionalFormatting sqref="E40:E41">
    <cfRule type="containsText" dxfId="5262" priority="8841" operator="containsText" text="ACTIVO">
      <formula>NOT(ISERROR(SEARCH("ACTIVO",E40)))</formula>
    </cfRule>
  </conditionalFormatting>
  <conditionalFormatting sqref="E42">
    <cfRule type="containsText" dxfId="5261" priority="8822" operator="containsText" text="REVISION">
      <formula>NOT(ISERROR(SEARCH("REVISION",E42)))</formula>
    </cfRule>
    <cfRule type="containsText" dxfId="5260" priority="8823" operator="containsText" text="REVISION">
      <formula>NOT(ISERROR(SEARCH("REVISION",E42)))</formula>
    </cfRule>
    <cfRule type="containsText" dxfId="5259" priority="8824" operator="containsText" text="BAJA">
      <formula>NOT(ISERROR(SEARCH("BAJA",E42)))</formula>
    </cfRule>
    <cfRule type="containsText" dxfId="5258" priority="8825" operator="containsText" text="INACTIVO">
      <formula>NOT(ISERROR(SEARCH("INACTIVO",E42)))</formula>
    </cfRule>
    <cfRule type="containsText" dxfId="5257" priority="8826" operator="containsText" text="ACTIVO">
      <formula>NOT(ISERROR(SEARCH("ACTIVO",E42)))</formula>
    </cfRule>
    <cfRule type="containsText" dxfId="5256" priority="8827" operator="containsText" text="ACTIVO ">
      <formula>NOT(ISERROR(SEARCH("ACTIVO ",E42)))</formula>
    </cfRule>
  </conditionalFormatting>
  <conditionalFormatting sqref="E42:E45">
    <cfRule type="containsText" dxfId="5255" priority="8818" operator="containsText" text="ACTIVO">
      <formula>NOT(ISERROR(SEARCH("ACTIVO",E42)))</formula>
    </cfRule>
  </conditionalFormatting>
  <conditionalFormatting sqref="E43">
    <cfRule type="containsText" dxfId="5254" priority="8817" operator="containsText" text="INACTIVO">
      <formula>NOT(ISERROR(SEARCH("INACTIVO",E43)))</formula>
    </cfRule>
    <cfRule type="containsText" dxfId="5253" priority="8819" operator="containsText" text="ACTIVO ">
      <formula>NOT(ISERROR(SEARCH("ACTIVO ",E43)))</formula>
    </cfRule>
    <cfRule type="containsText" dxfId="5252" priority="8814" operator="containsText" text="REVISION">
      <formula>NOT(ISERROR(SEARCH("REVISION",E43)))</formula>
    </cfRule>
    <cfRule type="containsText" dxfId="5251" priority="8816" operator="containsText" text="BAJA">
      <formula>NOT(ISERROR(SEARCH("BAJA",E43)))</formula>
    </cfRule>
    <cfRule type="containsText" dxfId="5250" priority="8815" operator="containsText" text="REVISION">
      <formula>NOT(ISERROR(SEARCH("REVISION",E43)))</formula>
    </cfRule>
  </conditionalFormatting>
  <conditionalFormatting sqref="E46">
    <cfRule type="containsText" dxfId="5249" priority="8806" operator="containsText" text="REVISION">
      <formula>NOT(ISERROR(SEARCH("REVISION",E46)))</formula>
    </cfRule>
    <cfRule type="containsText" dxfId="5248" priority="8807" operator="containsText" text="REVISION">
      <formula>NOT(ISERROR(SEARCH("REVISION",E46)))</formula>
    </cfRule>
    <cfRule type="containsText" dxfId="5247" priority="8809" operator="containsText" text="INACTIVO">
      <formula>NOT(ISERROR(SEARCH("INACTIVO",E46)))</formula>
    </cfRule>
    <cfRule type="containsText" dxfId="5246" priority="8808" operator="containsText" text="BAJA">
      <formula>NOT(ISERROR(SEARCH("BAJA",E46)))</formula>
    </cfRule>
    <cfRule type="containsText" dxfId="5245" priority="8811" operator="containsText" text="ACTIVO ">
      <formula>NOT(ISERROR(SEARCH("ACTIVO ",E46)))</formula>
    </cfRule>
  </conditionalFormatting>
  <conditionalFormatting sqref="E46:E47">
    <cfRule type="containsText" dxfId="5244" priority="8810" operator="containsText" text="ACTIVO">
      <formula>NOT(ISERROR(SEARCH("ACTIVO",E46)))</formula>
    </cfRule>
  </conditionalFormatting>
  <conditionalFormatting sqref="E47">
    <cfRule type="containsText" dxfId="5243" priority="9776" operator="containsText" text="INACTIVO">
      <formula>NOT(ISERROR(SEARCH("INACTIVO",E47)))</formula>
    </cfRule>
    <cfRule type="containsText" dxfId="5242" priority="9775" operator="containsText" text="BAJA">
      <formula>NOT(ISERROR(SEARCH("BAJA",E47)))</formula>
    </cfRule>
    <cfRule type="containsText" dxfId="5241" priority="9774" operator="containsText" text="REVISION">
      <formula>NOT(ISERROR(SEARCH("REVISION",E47)))</formula>
    </cfRule>
    <cfRule type="containsText" dxfId="5240" priority="9777" operator="containsText" text="ACTIVO">
      <formula>NOT(ISERROR(SEARCH("ACTIVO",E47)))</formula>
    </cfRule>
  </conditionalFormatting>
  <conditionalFormatting sqref="E48">
    <cfRule type="containsText" dxfId="5239" priority="8803" operator="containsText" text="ACTIVO ">
      <formula>NOT(ISERROR(SEARCH("ACTIVO ",E48)))</formula>
    </cfRule>
    <cfRule type="containsText" dxfId="5238" priority="8799" operator="containsText" text="REVISION">
      <formula>NOT(ISERROR(SEARCH("REVISION",E48)))</formula>
    </cfRule>
    <cfRule type="containsText" dxfId="5237" priority="8801" operator="containsText" text="INACTIVO">
      <formula>NOT(ISERROR(SEARCH("INACTIVO",E48)))</formula>
    </cfRule>
    <cfRule type="containsText" dxfId="5236" priority="8800" operator="containsText" text="BAJA">
      <formula>NOT(ISERROR(SEARCH("BAJA",E48)))</formula>
    </cfRule>
    <cfRule type="containsText" dxfId="5235" priority="8798" operator="containsText" text="REVISION">
      <formula>NOT(ISERROR(SEARCH("REVISION",E48)))</formula>
    </cfRule>
  </conditionalFormatting>
  <conditionalFormatting sqref="E48:E49">
    <cfRule type="containsText" dxfId="5234" priority="8802" operator="containsText" text="ACTIVO">
      <formula>NOT(ISERROR(SEARCH("ACTIVO",E48)))</formula>
    </cfRule>
  </conditionalFormatting>
  <conditionalFormatting sqref="E50">
    <cfRule type="containsText" dxfId="5233" priority="8790" operator="containsText" text="REVISION">
      <formula>NOT(ISERROR(SEARCH("REVISION",E50)))</formula>
    </cfRule>
    <cfRule type="containsText" dxfId="5232" priority="8795" operator="containsText" text="ACTIVO ">
      <formula>NOT(ISERROR(SEARCH("ACTIVO ",E50)))</formula>
    </cfRule>
    <cfRule type="containsText" dxfId="5231" priority="8793" operator="containsText" text="INACTIVO">
      <formula>NOT(ISERROR(SEARCH("INACTIVO",E50)))</formula>
    </cfRule>
    <cfRule type="containsText" dxfId="5230" priority="8792" operator="containsText" text="BAJA">
      <formula>NOT(ISERROR(SEARCH("BAJA",E50)))</formula>
    </cfRule>
    <cfRule type="containsText" dxfId="5229" priority="8791" operator="containsText" text="REVISION">
      <formula>NOT(ISERROR(SEARCH("REVISION",E50)))</formula>
    </cfRule>
  </conditionalFormatting>
  <conditionalFormatting sqref="E50:E60">
    <cfRule type="containsText" dxfId="5228" priority="8794" operator="containsText" text="ACTIVO">
      <formula>NOT(ISERROR(SEARCH("ACTIVO",E50)))</formula>
    </cfRule>
  </conditionalFormatting>
  <conditionalFormatting sqref="E61">
    <cfRule type="containsText" dxfId="5227" priority="8783" operator="containsText" text="REVISION">
      <formula>NOT(ISERROR(SEARCH("REVISION",E61)))</formula>
    </cfRule>
    <cfRule type="containsText" dxfId="5226" priority="8785" operator="containsText" text="INACTIVO">
      <formula>NOT(ISERROR(SEARCH("INACTIVO",E61)))</formula>
    </cfRule>
    <cfRule type="containsText" dxfId="5225" priority="8786" operator="containsText" text="ACTIVO">
      <formula>NOT(ISERROR(SEARCH("ACTIVO",E61)))</formula>
    </cfRule>
    <cfRule type="containsText" dxfId="5224" priority="8784" operator="containsText" text="BAJA">
      <formula>NOT(ISERROR(SEARCH("BAJA",E61)))</formula>
    </cfRule>
    <cfRule type="containsText" dxfId="5223" priority="8782" operator="containsText" text="REVISION">
      <formula>NOT(ISERROR(SEARCH("REVISION",E61)))</formula>
    </cfRule>
    <cfRule type="containsText" dxfId="5222" priority="8787" operator="containsText" text="ACTIVO ">
      <formula>NOT(ISERROR(SEARCH("ACTIVO ",E61)))</formula>
    </cfRule>
  </conditionalFormatting>
  <conditionalFormatting sqref="E62">
    <cfRule type="containsText" dxfId="5221" priority="6972" operator="containsText" text="BAJA">
      <formula>NOT(ISERROR(SEARCH("BAJA",E62)))</formula>
    </cfRule>
    <cfRule type="containsText" dxfId="5220" priority="6971" operator="containsText" text="REVISION">
      <formula>NOT(ISERROR(SEARCH("REVISION",E62)))</formula>
    </cfRule>
    <cfRule type="containsText" dxfId="5219" priority="6970" operator="containsText" text="ACTIVO ">
      <formula>NOT(ISERROR(SEARCH("ACTIVO ",E62)))</formula>
    </cfRule>
    <cfRule type="containsText" dxfId="5218" priority="6967" operator="containsText" text="ACTIVO">
      <formula>NOT(ISERROR(SEARCH("ACTIVO",E62)))</formula>
    </cfRule>
    <cfRule type="containsText" dxfId="5217" priority="6973" operator="containsText" text="INACTIVO">
      <formula>NOT(ISERROR(SEARCH("INACTIVO",E62)))</formula>
    </cfRule>
  </conditionalFormatting>
  <conditionalFormatting sqref="E63:E65">
    <cfRule type="containsText" dxfId="5216" priority="8778" operator="containsText" text="ACTIVO">
      <formula>NOT(ISERROR(SEARCH("ACTIVO",E63)))</formula>
    </cfRule>
  </conditionalFormatting>
  <conditionalFormatting sqref="E64">
    <cfRule type="containsText" dxfId="5215" priority="8777" operator="containsText" text="INACTIVO">
      <formula>NOT(ISERROR(SEARCH("INACTIVO",E64)))</formula>
    </cfRule>
    <cfRule type="containsText" dxfId="5214" priority="8779" operator="containsText" text="ACTIVO ">
      <formula>NOT(ISERROR(SEARCH("ACTIVO ",E64)))</formula>
    </cfRule>
    <cfRule type="containsText" dxfId="5213" priority="8774" operator="containsText" text="REVISION">
      <formula>NOT(ISERROR(SEARCH("REVISION",E64)))</formula>
    </cfRule>
    <cfRule type="containsText" dxfId="5212" priority="8775" operator="containsText" text="REVISION">
      <formula>NOT(ISERROR(SEARCH("REVISION",E64)))</formula>
    </cfRule>
    <cfRule type="containsText" dxfId="5211" priority="8776" operator="containsText" text="BAJA">
      <formula>NOT(ISERROR(SEARCH("BAJA",E64)))</formula>
    </cfRule>
  </conditionalFormatting>
  <conditionalFormatting sqref="E66">
    <cfRule type="containsText" dxfId="5210" priority="8769" operator="containsText" text="INACTIVO">
      <formula>NOT(ISERROR(SEARCH("INACTIVO",E66)))</formula>
    </cfRule>
    <cfRule type="containsText" dxfId="5209" priority="8766" operator="containsText" text="REVISION">
      <formula>NOT(ISERROR(SEARCH("REVISION",E66)))</formula>
    </cfRule>
    <cfRule type="containsText" dxfId="5208" priority="8768" operator="containsText" text="BAJA">
      <formula>NOT(ISERROR(SEARCH("BAJA",E66)))</formula>
    </cfRule>
    <cfRule type="containsText" dxfId="5207" priority="8767" operator="containsText" text="REVISION">
      <formula>NOT(ISERROR(SEARCH("REVISION",E66)))</formula>
    </cfRule>
    <cfRule type="containsText" dxfId="5206" priority="8771" operator="containsText" text="ACTIVO ">
      <formula>NOT(ISERROR(SEARCH("ACTIVO ",E66)))</formula>
    </cfRule>
  </conditionalFormatting>
  <conditionalFormatting sqref="E66:E73">
    <cfRule type="containsText" dxfId="5205" priority="8770" operator="containsText" text="ACTIVO">
      <formula>NOT(ISERROR(SEARCH("ACTIVO",E66)))</formula>
    </cfRule>
  </conditionalFormatting>
  <conditionalFormatting sqref="E74">
    <cfRule type="containsText" dxfId="5204" priority="8758" operator="containsText" text="REVISION">
      <formula>NOT(ISERROR(SEARCH("REVISION",E74)))</formula>
    </cfRule>
    <cfRule type="containsText" dxfId="5203" priority="8759" operator="containsText" text="REVISION">
      <formula>NOT(ISERROR(SEARCH("REVISION",E74)))</formula>
    </cfRule>
    <cfRule type="containsText" dxfId="5202" priority="8760" operator="containsText" text="BAJA">
      <formula>NOT(ISERROR(SEARCH("BAJA",E74)))</formula>
    </cfRule>
    <cfRule type="containsText" dxfId="5201" priority="8761" operator="containsText" text="INACTIVO">
      <formula>NOT(ISERROR(SEARCH("INACTIVO",E74)))</formula>
    </cfRule>
    <cfRule type="containsText" dxfId="5200" priority="8763" operator="containsText" text="ACTIVO ">
      <formula>NOT(ISERROR(SEARCH("ACTIVO ",E74)))</formula>
    </cfRule>
  </conditionalFormatting>
  <conditionalFormatting sqref="E74:E76">
    <cfRule type="containsText" dxfId="5199" priority="8762" operator="containsText" text="ACTIVO">
      <formula>NOT(ISERROR(SEARCH("ACTIVO",E74)))</formula>
    </cfRule>
  </conditionalFormatting>
  <conditionalFormatting sqref="E77">
    <cfRule type="containsText" dxfId="5198" priority="8754" operator="containsText" text="ACTIVO">
      <formula>NOT(ISERROR(SEARCH("ACTIVO",E77)))</formula>
    </cfRule>
    <cfRule type="containsText" dxfId="5197" priority="8755" operator="containsText" text="ACTIVO ">
      <formula>NOT(ISERROR(SEARCH("ACTIVO ",E77)))</formula>
    </cfRule>
    <cfRule type="containsText" dxfId="5196" priority="8753" operator="containsText" text="INACTIVO">
      <formula>NOT(ISERROR(SEARCH("INACTIVO",E77)))</formula>
    </cfRule>
    <cfRule type="containsText" dxfId="5195" priority="8752" operator="containsText" text="BAJA">
      <formula>NOT(ISERROR(SEARCH("BAJA",E77)))</formula>
    </cfRule>
    <cfRule type="containsText" dxfId="5194" priority="8751" operator="containsText" text="REVISION">
      <formula>NOT(ISERROR(SEARCH("REVISION",E77)))</formula>
    </cfRule>
    <cfRule type="containsText" dxfId="5193" priority="8750" operator="containsText" text="REVISION">
      <formula>NOT(ISERROR(SEARCH("REVISION",E77)))</formula>
    </cfRule>
  </conditionalFormatting>
  <conditionalFormatting sqref="E77:E78">
    <cfRule type="containsText" dxfId="5192" priority="8746" operator="containsText" text="ACTIVO">
      <formula>NOT(ISERROR(SEARCH("ACTIVO",E77)))</formula>
    </cfRule>
  </conditionalFormatting>
  <conditionalFormatting sqref="E78">
    <cfRule type="containsText" dxfId="5191" priority="8747" operator="containsText" text="ACTIVO ">
      <formula>NOT(ISERROR(SEARCH("ACTIVO ",E78)))</formula>
    </cfRule>
    <cfRule type="containsText" dxfId="5190" priority="8745" operator="containsText" text="INACTIVO">
      <formula>NOT(ISERROR(SEARCH("INACTIVO",E78)))</formula>
    </cfRule>
    <cfRule type="containsText" dxfId="5189" priority="8744" operator="containsText" text="BAJA">
      <formula>NOT(ISERROR(SEARCH("BAJA",E78)))</formula>
    </cfRule>
    <cfRule type="containsText" dxfId="5188" priority="8742" operator="containsText" text="REVISION">
      <formula>NOT(ISERROR(SEARCH("REVISION",E78)))</formula>
    </cfRule>
    <cfRule type="containsText" dxfId="5187" priority="8743" operator="containsText" text="REVISION">
      <formula>NOT(ISERROR(SEARCH("REVISION",E78)))</formula>
    </cfRule>
  </conditionalFormatting>
  <conditionalFormatting sqref="E79">
    <cfRule type="containsText" dxfId="5186" priority="6961" operator="containsText" text="ACTIVO ">
      <formula>NOT(ISERROR(SEARCH("ACTIVO ",E79)))</formula>
    </cfRule>
    <cfRule type="containsText" dxfId="5185" priority="6958" operator="containsText" text="ACTIVO">
      <formula>NOT(ISERROR(SEARCH("ACTIVO",E79)))</formula>
    </cfRule>
    <cfRule type="containsText" dxfId="5184" priority="6962" operator="containsText" text="REVISION">
      <formula>NOT(ISERROR(SEARCH("REVISION",E79)))</formula>
    </cfRule>
    <cfRule type="containsText" dxfId="5183" priority="6963" operator="containsText" text="BAJA">
      <formula>NOT(ISERROR(SEARCH("BAJA",E79)))</formula>
    </cfRule>
    <cfRule type="containsText" dxfId="5182" priority="6964" operator="containsText" text="INACTIVO">
      <formula>NOT(ISERROR(SEARCH("INACTIVO",E79)))</formula>
    </cfRule>
    <cfRule type="containsText" dxfId="5181" priority="6965" operator="containsText" text="ACTIVO">
      <formula>NOT(ISERROR(SEARCH("ACTIVO",E79)))</formula>
    </cfRule>
  </conditionalFormatting>
  <conditionalFormatting sqref="E79:E81">
    <cfRule type="containsText" dxfId="5180" priority="6960" operator="containsText" text="REVISION">
      <formula>NOT(ISERROR(SEARCH("REVISION",E79)))</formula>
    </cfRule>
  </conditionalFormatting>
  <conditionalFormatting sqref="E80:E81">
    <cfRule type="containsText" dxfId="5179" priority="6983" operator="containsText" text="ACTIVO">
      <formula>NOT(ISERROR(SEARCH("ACTIVO",E80)))</formula>
    </cfRule>
  </conditionalFormatting>
  <conditionalFormatting sqref="E81">
    <cfRule type="containsText" dxfId="5178" priority="6982" operator="containsText" text="INACTIVO">
      <formula>NOT(ISERROR(SEARCH("INACTIVO",E81)))</formula>
    </cfRule>
    <cfRule type="containsText" dxfId="5177" priority="6981" operator="containsText" text="BAJA">
      <formula>NOT(ISERROR(SEARCH("BAJA",E81)))</formula>
    </cfRule>
    <cfRule type="containsText" dxfId="5176" priority="6980" operator="containsText" text="REVISION">
      <formula>NOT(ISERROR(SEARCH("REVISION",E81)))</formula>
    </cfRule>
    <cfRule type="containsText" dxfId="5175" priority="6979" operator="containsText" text="ACTIVO ">
      <formula>NOT(ISERROR(SEARCH("ACTIVO ",E81)))</formula>
    </cfRule>
  </conditionalFormatting>
  <conditionalFormatting sqref="E81:E82">
    <cfRule type="containsText" dxfId="5174" priority="6933" operator="containsText" text="ACTIVO">
      <formula>NOT(ISERROR(SEARCH("ACTIVO",E81)))</formula>
    </cfRule>
  </conditionalFormatting>
  <conditionalFormatting sqref="E82">
    <cfRule type="containsText" dxfId="5173" priority="6928" operator="containsText" text="REVISION">
      <formula>NOT(ISERROR(SEARCH("REVISION",E82)))</formula>
    </cfRule>
    <cfRule type="containsText" dxfId="5172" priority="6929" operator="containsText" text="ACTIVO ">
      <formula>NOT(ISERROR(SEARCH("ACTIVO ",E82)))</formula>
    </cfRule>
    <cfRule type="containsText" dxfId="5171" priority="6930" operator="containsText" text="REVISION">
      <formula>NOT(ISERROR(SEARCH("REVISION",E82)))</formula>
    </cfRule>
    <cfRule type="containsText" dxfId="5170" priority="6931" operator="containsText" text="BAJA">
      <formula>NOT(ISERROR(SEARCH("BAJA",E82)))</formula>
    </cfRule>
    <cfRule type="containsText" dxfId="5169" priority="6932" operator="containsText" text="INACTIVO">
      <formula>NOT(ISERROR(SEARCH("INACTIVO",E82)))</formula>
    </cfRule>
  </conditionalFormatting>
  <conditionalFormatting sqref="E82:E83">
    <cfRule type="containsText" dxfId="5168" priority="6899" operator="containsText" text="ACTIVO">
      <formula>NOT(ISERROR(SEARCH("ACTIVO",E82)))</formula>
    </cfRule>
  </conditionalFormatting>
  <conditionalFormatting sqref="E83">
    <cfRule type="containsText" dxfId="5167" priority="6894" operator="containsText" text="REVISION">
      <formula>NOT(ISERROR(SEARCH("REVISION",E83)))</formula>
    </cfRule>
    <cfRule type="containsText" dxfId="5166" priority="6898" operator="containsText" text="INACTIVO">
      <formula>NOT(ISERROR(SEARCH("INACTIVO",E83)))</formula>
    </cfRule>
    <cfRule type="containsText" dxfId="5165" priority="6897" operator="containsText" text="BAJA">
      <formula>NOT(ISERROR(SEARCH("BAJA",E83)))</formula>
    </cfRule>
    <cfRule type="containsText" dxfId="5164" priority="6896" operator="containsText" text="REVISION">
      <formula>NOT(ISERROR(SEARCH("REVISION",E83)))</formula>
    </cfRule>
    <cfRule type="containsText" dxfId="5163" priority="6895" operator="containsText" text="ACTIVO ">
      <formula>NOT(ISERROR(SEARCH("ACTIVO ",E83)))</formula>
    </cfRule>
  </conditionalFormatting>
  <conditionalFormatting sqref="E83:E84">
    <cfRule type="containsText" dxfId="5162" priority="6863" operator="containsText" text="ACTIVO">
      <formula>NOT(ISERROR(SEARCH("ACTIVO",E83)))</formula>
    </cfRule>
  </conditionalFormatting>
  <conditionalFormatting sqref="E84">
    <cfRule type="containsText" dxfId="5161" priority="6862" operator="containsText" text="INACTIVO">
      <formula>NOT(ISERROR(SEARCH("INACTIVO",E84)))</formula>
    </cfRule>
    <cfRule type="containsText" dxfId="5160" priority="6858" operator="containsText" text="REVISION">
      <formula>NOT(ISERROR(SEARCH("REVISION",E84)))</formula>
    </cfRule>
    <cfRule type="containsText" dxfId="5159" priority="6861" operator="containsText" text="BAJA">
      <formula>NOT(ISERROR(SEARCH("BAJA",E84)))</formula>
    </cfRule>
    <cfRule type="containsText" dxfId="5158" priority="6859" operator="containsText" text="ACTIVO ">
      <formula>NOT(ISERROR(SEARCH("ACTIVO ",E84)))</formula>
    </cfRule>
    <cfRule type="containsText" dxfId="5157" priority="6860" operator="containsText" text="REVISION">
      <formula>NOT(ISERROR(SEARCH("REVISION",E84)))</formula>
    </cfRule>
  </conditionalFormatting>
  <conditionalFormatting sqref="E84:E88">
    <cfRule type="containsText" dxfId="5156" priority="6829" operator="containsText" text="ACTIVO">
      <formula>NOT(ISERROR(SEARCH("ACTIVO",E84)))</formula>
    </cfRule>
  </conditionalFormatting>
  <conditionalFormatting sqref="E85">
    <cfRule type="containsText" dxfId="5155" priority="6828" operator="containsText" text="INACTIVO">
      <formula>NOT(ISERROR(SEARCH("INACTIVO",E85)))</formula>
    </cfRule>
    <cfRule type="containsText" dxfId="5154" priority="6827" operator="containsText" text="BAJA">
      <formula>NOT(ISERROR(SEARCH("BAJA",E85)))</formula>
    </cfRule>
    <cfRule type="containsText" dxfId="5153" priority="6826" operator="containsText" text="REVISION">
      <formula>NOT(ISERROR(SEARCH("REVISION",E85)))</formula>
    </cfRule>
    <cfRule type="containsText" dxfId="5152" priority="6825" operator="containsText" text="ACTIVO ">
      <formula>NOT(ISERROR(SEARCH("ACTIVO ",E85)))</formula>
    </cfRule>
    <cfRule type="containsText" dxfId="5151" priority="6822" operator="containsText" text="ACTIVO">
      <formula>NOT(ISERROR(SEARCH("ACTIVO",E85)))</formula>
    </cfRule>
  </conditionalFormatting>
  <conditionalFormatting sqref="E85:E88">
    <cfRule type="containsText" dxfId="5150" priority="6824" operator="containsText" text="REVISION">
      <formula>NOT(ISERROR(SEARCH("REVISION",E85)))</formula>
    </cfRule>
  </conditionalFormatting>
  <conditionalFormatting sqref="E86">
    <cfRule type="containsText" dxfId="5149" priority="8739" operator="containsText" text="ACTIVO ">
      <formula>NOT(ISERROR(SEARCH("ACTIVO ",E86)))</formula>
    </cfRule>
    <cfRule type="containsText" dxfId="5148" priority="8734" operator="containsText" text="REVISION">
      <formula>NOT(ISERROR(SEARCH("REVISION",E86)))</formula>
    </cfRule>
    <cfRule type="containsText" dxfId="5147" priority="8737" operator="containsText" text="INACTIVO">
      <formula>NOT(ISERROR(SEARCH("INACTIVO",E86)))</formula>
    </cfRule>
    <cfRule type="containsText" dxfId="5146" priority="8736" operator="containsText" text="BAJA">
      <formula>NOT(ISERROR(SEARCH("BAJA",E86)))</formula>
    </cfRule>
    <cfRule type="containsText" dxfId="5145" priority="8735" operator="containsText" text="REVISION">
      <formula>NOT(ISERROR(SEARCH("REVISION",E86)))</formula>
    </cfRule>
  </conditionalFormatting>
  <conditionalFormatting sqref="E86:E88">
    <cfRule type="containsText" dxfId="5144" priority="8738" operator="containsText" text="ACTIVO">
      <formula>NOT(ISERROR(SEARCH("ACTIVO",E86)))</formula>
    </cfRule>
  </conditionalFormatting>
  <conditionalFormatting sqref="E89">
    <cfRule type="containsText" dxfId="5143" priority="6796" operator="containsText" text="REVISION">
      <formula>NOT(ISERROR(SEARCH("REVISION",E89)))</formula>
    </cfRule>
    <cfRule type="containsText" dxfId="5142" priority="6792" operator="containsText" text="ACTIVO">
      <formula>NOT(ISERROR(SEARCH("ACTIVO",E89)))</formula>
    </cfRule>
    <cfRule type="containsText" dxfId="5141" priority="6795" operator="containsText" text="ACTIVO ">
      <formula>NOT(ISERROR(SEARCH("ACTIVO ",E89)))</formula>
    </cfRule>
    <cfRule type="containsText" dxfId="5140" priority="6797" operator="containsText" text="BAJA">
      <formula>NOT(ISERROR(SEARCH("BAJA",E89)))</formula>
    </cfRule>
    <cfRule type="containsText" dxfId="5139" priority="6798" operator="containsText" text="INACTIVO">
      <formula>NOT(ISERROR(SEARCH("INACTIVO",E89)))</formula>
    </cfRule>
  </conditionalFormatting>
  <conditionalFormatting sqref="E89:E92">
    <cfRule type="containsText" dxfId="5138" priority="6799" operator="containsText" text="ACTIVO">
      <formula>NOT(ISERROR(SEARCH("ACTIVO",E89)))</formula>
    </cfRule>
    <cfRule type="containsText" dxfId="5137" priority="6794" operator="containsText" text="REVISION">
      <formula>NOT(ISERROR(SEARCH("REVISION",E89)))</formula>
    </cfRule>
  </conditionalFormatting>
  <conditionalFormatting sqref="E90:E92">
    <cfRule type="containsText" dxfId="5136" priority="8728" operator="containsText" text="ACTIVO">
      <formula>NOT(ISERROR(SEARCH("ACTIVO",E90)))</formula>
    </cfRule>
  </conditionalFormatting>
  <conditionalFormatting sqref="E92">
    <cfRule type="containsText" dxfId="5135" priority="8724" operator="containsText" text="REVISION">
      <formula>NOT(ISERROR(SEARCH("REVISION",E92)))</formula>
    </cfRule>
    <cfRule type="containsText" dxfId="5134" priority="8729" operator="containsText" text="ACTIVO ">
      <formula>NOT(ISERROR(SEARCH("ACTIVO ",E92)))</formula>
    </cfRule>
    <cfRule type="containsText" dxfId="5133" priority="8727" operator="containsText" text="INACTIVO">
      <formula>NOT(ISERROR(SEARCH("INACTIVO",E92)))</formula>
    </cfRule>
    <cfRule type="containsText" dxfId="5132" priority="8726" operator="containsText" text="BAJA">
      <formula>NOT(ISERROR(SEARCH("BAJA",E92)))</formula>
    </cfRule>
    <cfRule type="containsText" dxfId="5131" priority="8725" operator="containsText" text="REVISION">
      <formula>NOT(ISERROR(SEARCH("REVISION",E92)))</formula>
    </cfRule>
  </conditionalFormatting>
  <conditionalFormatting sqref="E93">
    <cfRule type="containsText" dxfId="5130" priority="6762" operator="containsText" text="REVISION">
      <formula>NOT(ISERROR(SEARCH("REVISION",E93)))</formula>
    </cfRule>
    <cfRule type="containsText" dxfId="5129" priority="6763" operator="containsText" text="BAJA">
      <formula>NOT(ISERROR(SEARCH("BAJA",E93)))</formula>
    </cfRule>
    <cfRule type="containsText" dxfId="5128" priority="6764" operator="containsText" text="INACTIVO">
      <formula>NOT(ISERROR(SEARCH("INACTIVO",E93)))</formula>
    </cfRule>
    <cfRule type="containsText" dxfId="5127" priority="6758" operator="containsText" text="ACTIVO">
      <formula>NOT(ISERROR(SEARCH("ACTIVO",E93)))</formula>
    </cfRule>
    <cfRule type="containsText" dxfId="5126" priority="6761" operator="containsText" text="ACTIVO ">
      <formula>NOT(ISERROR(SEARCH("ACTIVO ",E93)))</formula>
    </cfRule>
  </conditionalFormatting>
  <conditionalFormatting sqref="E93:E97">
    <cfRule type="containsText" dxfId="5125" priority="6765" operator="containsText" text="ACTIVO">
      <formula>NOT(ISERROR(SEARCH("ACTIVO",E93)))</formula>
    </cfRule>
    <cfRule type="containsText" dxfId="5124" priority="6760" operator="containsText" text="REVISION">
      <formula>NOT(ISERROR(SEARCH("REVISION",E93)))</formula>
    </cfRule>
  </conditionalFormatting>
  <conditionalFormatting sqref="E98">
    <cfRule type="containsText" dxfId="5123" priority="6728" operator="containsText" text="INACTIVO">
      <formula>NOT(ISERROR(SEARCH("INACTIVO",E98)))</formula>
    </cfRule>
    <cfRule type="containsText" dxfId="5122" priority="6722" operator="containsText" text="ACTIVO">
      <formula>NOT(ISERROR(SEARCH("ACTIVO",E98)))</formula>
    </cfRule>
    <cfRule type="containsText" dxfId="5121" priority="6727" operator="containsText" text="BAJA">
      <formula>NOT(ISERROR(SEARCH("BAJA",E98)))</formula>
    </cfRule>
    <cfRule type="containsText" dxfId="5120" priority="6726" operator="containsText" text="REVISION">
      <formula>NOT(ISERROR(SEARCH("REVISION",E98)))</formula>
    </cfRule>
    <cfRule type="containsText" dxfId="5119" priority="6725" operator="containsText" text="ACTIVO ">
      <formula>NOT(ISERROR(SEARCH("ACTIVO ",E98)))</formula>
    </cfRule>
  </conditionalFormatting>
  <conditionalFormatting sqref="E98:E100">
    <cfRule type="containsText" dxfId="5118" priority="6729" operator="containsText" text="ACTIVO">
      <formula>NOT(ISERROR(SEARCH("ACTIVO",E98)))</formula>
    </cfRule>
    <cfRule type="containsText" dxfId="5117" priority="6724" operator="containsText" text="REVISION">
      <formula>NOT(ISERROR(SEARCH("REVISION",E98)))</formula>
    </cfRule>
  </conditionalFormatting>
  <conditionalFormatting sqref="E99">
    <cfRule type="containsText" dxfId="5116" priority="8716" operator="containsText" text="REVISION">
      <formula>NOT(ISERROR(SEARCH("REVISION",E99)))</formula>
    </cfRule>
    <cfRule type="containsText" dxfId="5115" priority="8718" operator="containsText" text="BAJA">
      <formula>NOT(ISERROR(SEARCH("BAJA",E99)))</formula>
    </cfRule>
    <cfRule type="containsText" dxfId="5114" priority="8717" operator="containsText" text="REVISION">
      <formula>NOT(ISERROR(SEARCH("REVISION",E99)))</formula>
    </cfRule>
    <cfRule type="containsText" dxfId="5113" priority="8721" operator="containsText" text="ACTIVO ">
      <formula>NOT(ISERROR(SEARCH("ACTIVO ",E99)))</formula>
    </cfRule>
    <cfRule type="containsText" dxfId="5112" priority="8719" operator="containsText" text="INACTIVO">
      <formula>NOT(ISERROR(SEARCH("INACTIVO",E99)))</formula>
    </cfRule>
  </conditionalFormatting>
  <conditionalFormatting sqref="E99:E100">
    <cfRule type="containsText" dxfId="5111" priority="8720" operator="containsText" text="ACTIVO">
      <formula>NOT(ISERROR(SEARCH("ACTIVO",E99)))</formula>
    </cfRule>
  </conditionalFormatting>
  <conditionalFormatting sqref="E101">
    <cfRule type="containsText" dxfId="5110" priority="6682" operator="containsText" text="ACTIVO ">
      <formula>NOT(ISERROR(SEARCH("ACTIVO ",E101)))</formula>
    </cfRule>
    <cfRule type="containsText" dxfId="5109" priority="6679" operator="containsText" text="ACTIVO">
      <formula>NOT(ISERROR(SEARCH("ACTIVO",E101)))</formula>
    </cfRule>
    <cfRule type="containsText" dxfId="5108" priority="6685" operator="containsText" text="INACTIVO">
      <formula>NOT(ISERROR(SEARCH("INACTIVO",E101)))</formula>
    </cfRule>
    <cfRule type="containsText" dxfId="5107" priority="6683" operator="containsText" text="REVISION">
      <formula>NOT(ISERROR(SEARCH("REVISION",E101)))</formula>
    </cfRule>
    <cfRule type="containsText" dxfId="5106" priority="6684" operator="containsText" text="BAJA">
      <formula>NOT(ISERROR(SEARCH("BAJA",E101)))</formula>
    </cfRule>
  </conditionalFormatting>
  <conditionalFormatting sqref="E101:E109">
    <cfRule type="containsText" dxfId="5105" priority="6681" operator="containsText" text="REVISION">
      <formula>NOT(ISERROR(SEARCH("REVISION",E101)))</formula>
    </cfRule>
    <cfRule type="containsText" dxfId="5104" priority="6686" operator="containsText" text="ACTIVO">
      <formula>NOT(ISERROR(SEARCH("ACTIVO",E101)))</formula>
    </cfRule>
  </conditionalFormatting>
  <conditionalFormatting sqref="E110">
    <cfRule type="containsText" dxfId="5103" priority="4472" operator="containsText" text="ACTIVO ">
      <formula>NOT(ISERROR(SEARCH("ACTIVO ",E110)))</formula>
    </cfRule>
    <cfRule type="containsText" dxfId="5102" priority="4475" operator="containsText" text="INACTIVO">
      <formula>NOT(ISERROR(SEARCH("INACTIVO",E110)))</formula>
    </cfRule>
    <cfRule type="containsText" dxfId="5101" priority="4469" operator="containsText" text="ACTIVO">
      <formula>NOT(ISERROR(SEARCH("ACTIVO",E110)))</formula>
    </cfRule>
    <cfRule type="containsText" dxfId="5100" priority="4471" operator="containsText" text="REVISION">
      <formula>NOT(ISERROR(SEARCH("REVISION",E110)))</formula>
    </cfRule>
    <cfRule type="containsText" dxfId="5099" priority="4473" operator="containsText" text="REVISION">
      <formula>NOT(ISERROR(SEARCH("REVISION",E110)))</formula>
    </cfRule>
    <cfRule type="containsText" dxfId="5098" priority="4474" operator="containsText" text="BAJA">
      <formula>NOT(ISERROR(SEARCH("BAJA",E110)))</formula>
    </cfRule>
  </conditionalFormatting>
  <conditionalFormatting sqref="E110:E111">
    <cfRule type="containsText" dxfId="5097" priority="4476" operator="containsText" text="ACTIVO">
      <formula>NOT(ISERROR(SEARCH("ACTIVO",E110)))</formula>
    </cfRule>
  </conditionalFormatting>
  <conditionalFormatting sqref="E111">
    <cfRule type="containsText" dxfId="5096" priority="6649" operator="containsText" text="INACTIVO">
      <formula>NOT(ISERROR(SEARCH("INACTIVO",E111)))</formula>
    </cfRule>
    <cfRule type="containsText" dxfId="5095" priority="6648" operator="containsText" text="BAJA">
      <formula>NOT(ISERROR(SEARCH("BAJA",E111)))</formula>
    </cfRule>
    <cfRule type="containsText" dxfId="5094" priority="6647" operator="containsText" text="REVISION">
      <formula>NOT(ISERROR(SEARCH("REVISION",E111)))</formula>
    </cfRule>
    <cfRule type="containsText" dxfId="5093" priority="6646" operator="containsText" text="ACTIVO ">
      <formula>NOT(ISERROR(SEARCH("ACTIVO ",E111)))</formula>
    </cfRule>
  </conditionalFormatting>
  <conditionalFormatting sqref="E111:E112">
    <cfRule type="containsText" dxfId="5092" priority="6650" operator="containsText" text="ACTIVO">
      <formula>NOT(ISERROR(SEARCH("ACTIVO",E111)))</formula>
    </cfRule>
  </conditionalFormatting>
  <conditionalFormatting sqref="E111:E113">
    <cfRule type="containsText" dxfId="5091" priority="6615" operator="containsText" text="REVISION">
      <formula>NOT(ISERROR(SEARCH("REVISION",E111)))</formula>
    </cfRule>
  </conditionalFormatting>
  <conditionalFormatting sqref="E113">
    <cfRule type="containsText" dxfId="5090" priority="6620" operator="containsText" text="ACTIVO">
      <formula>NOT(ISERROR(SEARCH("ACTIVO",E113)))</formula>
    </cfRule>
    <cfRule type="containsText" dxfId="5089" priority="6619" operator="containsText" text="INACTIVO">
      <formula>NOT(ISERROR(SEARCH("INACTIVO",E113)))</formula>
    </cfRule>
    <cfRule type="containsText" dxfId="5088" priority="6618" operator="containsText" text="BAJA">
      <formula>NOT(ISERROR(SEARCH("BAJA",E113)))</formula>
    </cfRule>
    <cfRule type="containsText" dxfId="5087" priority="6616" operator="containsText" text="ACTIVO ">
      <formula>NOT(ISERROR(SEARCH("ACTIVO ",E113)))</formula>
    </cfRule>
    <cfRule type="containsText" dxfId="5086" priority="6617" operator="containsText" text="REVISION">
      <formula>NOT(ISERROR(SEARCH("REVISION",E113)))</formula>
    </cfRule>
  </conditionalFormatting>
  <conditionalFormatting sqref="E113:E118">
    <cfRule type="containsText" dxfId="5085" priority="6588" operator="containsText" text="ACTIVO">
      <formula>NOT(ISERROR(SEARCH("ACTIVO",E113)))</formula>
    </cfRule>
  </conditionalFormatting>
  <conditionalFormatting sqref="E114">
    <cfRule type="containsText" dxfId="5084" priority="6584" operator="containsText" text="ACTIVO ">
      <formula>NOT(ISERROR(SEARCH("ACTIVO ",E114)))</formula>
    </cfRule>
    <cfRule type="containsText" dxfId="5083" priority="6587" operator="containsText" text="INACTIVO">
      <formula>NOT(ISERROR(SEARCH("INACTIVO",E114)))</formula>
    </cfRule>
    <cfRule type="containsText" dxfId="5082" priority="6586" operator="containsText" text="BAJA">
      <formula>NOT(ISERROR(SEARCH("BAJA",E114)))</formula>
    </cfRule>
    <cfRule type="containsText" dxfId="5081" priority="6585" operator="containsText" text="REVISION">
      <formula>NOT(ISERROR(SEARCH("REVISION",E114)))</formula>
    </cfRule>
    <cfRule type="containsText" dxfId="5080" priority="6581" operator="containsText" text="ACTIVO">
      <formula>NOT(ISERROR(SEARCH("ACTIVO",E114)))</formula>
    </cfRule>
  </conditionalFormatting>
  <conditionalFormatting sqref="E114:E118">
    <cfRule type="containsText" dxfId="5079" priority="6583" operator="containsText" text="REVISION">
      <formula>NOT(ISERROR(SEARCH("REVISION",E114)))</formula>
    </cfRule>
  </conditionalFormatting>
  <conditionalFormatting sqref="E119">
    <cfRule type="containsText" dxfId="5078" priority="6507" operator="containsText" text="ACTIVO">
      <formula>NOT(ISERROR(SEARCH("ACTIVO",E119)))</formula>
    </cfRule>
    <cfRule type="containsText" dxfId="5077" priority="6510" operator="containsText" text="ACTIVO ">
      <formula>NOT(ISERROR(SEARCH("ACTIVO ",E119)))</formula>
    </cfRule>
    <cfRule type="containsText" dxfId="5076" priority="6513" operator="containsText" text="INACTIVO">
      <formula>NOT(ISERROR(SEARCH("INACTIVO",E119)))</formula>
    </cfRule>
    <cfRule type="containsText" dxfId="5075" priority="6512" operator="containsText" text="BAJA">
      <formula>NOT(ISERROR(SEARCH("BAJA",E119)))</formula>
    </cfRule>
    <cfRule type="containsText" dxfId="5074" priority="6511" operator="containsText" text="REVISION">
      <formula>NOT(ISERROR(SEARCH("REVISION",E119)))</formula>
    </cfRule>
  </conditionalFormatting>
  <conditionalFormatting sqref="E119:E121">
    <cfRule type="containsText" dxfId="5073" priority="6509" operator="containsText" text="REVISION">
      <formula>NOT(ISERROR(SEARCH("REVISION",E119)))</formula>
    </cfRule>
    <cfRule type="containsText" dxfId="5072" priority="6514" operator="containsText" text="ACTIVO">
      <formula>NOT(ISERROR(SEARCH("ACTIVO",E119)))</formula>
    </cfRule>
  </conditionalFormatting>
  <conditionalFormatting sqref="E122">
    <cfRule type="containsText" dxfId="5071" priority="6500" operator="containsText" text="REVISION">
      <formula>NOT(ISERROR(SEARCH("REVISION",E122)))</formula>
    </cfRule>
    <cfRule type="containsText" dxfId="5070" priority="6502" operator="containsText" text="INACTIVO">
      <formula>NOT(ISERROR(SEARCH("INACTIVO",E122)))</formula>
    </cfRule>
    <cfRule type="containsText" dxfId="5069" priority="6501" operator="containsText" text="BAJA">
      <formula>NOT(ISERROR(SEARCH("BAJA",E122)))</formula>
    </cfRule>
    <cfRule type="containsText" dxfId="5068" priority="6499" operator="containsText" text="ACTIVO ">
      <formula>NOT(ISERROR(SEARCH("ACTIVO ",E122)))</formula>
    </cfRule>
    <cfRule type="containsText" dxfId="5067" priority="6496" operator="containsText" text="ACTIVO">
      <formula>NOT(ISERROR(SEARCH("ACTIVO",E122)))</formula>
    </cfRule>
  </conditionalFormatting>
  <conditionalFormatting sqref="E122:E151">
    <cfRule type="containsText" dxfId="5066" priority="6503" operator="containsText" text="ACTIVO">
      <formula>NOT(ISERROR(SEARCH("ACTIVO",E122)))</formula>
    </cfRule>
    <cfRule type="containsText" dxfId="5065" priority="6498" operator="containsText" text="REVISION">
      <formula>NOT(ISERROR(SEARCH("REVISION",E122)))</formula>
    </cfRule>
  </conditionalFormatting>
  <conditionalFormatting sqref="E123:E126">
    <cfRule type="containsText" dxfId="5064" priority="8712" operator="containsText" text="ACTIVO">
      <formula>NOT(ISERROR(SEARCH("ACTIVO",E123)))</formula>
    </cfRule>
  </conditionalFormatting>
  <conditionalFormatting sqref="E126">
    <cfRule type="containsText" dxfId="5063" priority="8709" operator="containsText" text="REVISION">
      <formula>NOT(ISERROR(SEARCH("REVISION",E126)))</formula>
    </cfRule>
    <cfRule type="containsText" dxfId="5062" priority="8710" operator="containsText" text="BAJA">
      <formula>NOT(ISERROR(SEARCH("BAJA",E126)))</formula>
    </cfRule>
    <cfRule type="containsText" dxfId="5061" priority="8711" operator="containsText" text="INACTIVO">
      <formula>NOT(ISERROR(SEARCH("INACTIVO",E126)))</formula>
    </cfRule>
    <cfRule type="containsText" dxfId="5060" priority="8713" operator="containsText" text="ACTIVO ">
      <formula>NOT(ISERROR(SEARCH("ACTIVO ",E126)))</formula>
    </cfRule>
    <cfRule type="containsText" dxfId="5059" priority="8708" operator="containsText" text="REVISION">
      <formula>NOT(ISERROR(SEARCH("REVISION",E126)))</formula>
    </cfRule>
  </conditionalFormatting>
  <conditionalFormatting sqref="E126:E151">
    <cfRule type="containsText" dxfId="5058" priority="8704" operator="containsText" text="ACTIVO">
      <formula>NOT(ISERROR(SEARCH("ACTIVO",E126)))</formula>
    </cfRule>
  </conditionalFormatting>
  <conditionalFormatting sqref="E127">
    <cfRule type="containsText" dxfId="5057" priority="8702" operator="containsText" text="BAJA">
      <formula>NOT(ISERROR(SEARCH("BAJA",E127)))</formula>
    </cfRule>
    <cfRule type="containsText" dxfId="5056" priority="8703" operator="containsText" text="INACTIVO">
      <formula>NOT(ISERROR(SEARCH("INACTIVO",E127)))</formula>
    </cfRule>
    <cfRule type="containsText" dxfId="5055" priority="8700" operator="containsText" text="REVISION">
      <formula>NOT(ISERROR(SEARCH("REVISION",E127)))</formula>
    </cfRule>
    <cfRule type="containsText" dxfId="5054" priority="8705" operator="containsText" text="ACTIVO ">
      <formula>NOT(ISERROR(SEARCH("ACTIVO ",E127)))</formula>
    </cfRule>
    <cfRule type="containsText" dxfId="5053" priority="8701" operator="containsText" text="REVISION">
      <formula>NOT(ISERROR(SEARCH("REVISION",E127)))</formula>
    </cfRule>
  </conditionalFormatting>
  <conditionalFormatting sqref="E152">
    <cfRule type="containsText" dxfId="5052" priority="6430" operator="containsText" text="REVISION">
      <formula>NOT(ISERROR(SEARCH("REVISION",E152)))</formula>
    </cfRule>
    <cfRule type="containsText" dxfId="5051" priority="6435" operator="containsText" text="ACTIVO">
      <formula>NOT(ISERROR(SEARCH("ACTIVO",E152)))</formula>
    </cfRule>
    <cfRule type="containsText" dxfId="5050" priority="6428" operator="containsText" text="ACTIVO">
      <formula>NOT(ISERROR(SEARCH("ACTIVO",E152)))</formula>
    </cfRule>
    <cfRule type="containsText" dxfId="5049" priority="6432" operator="containsText" text="REVISION">
      <formula>NOT(ISERROR(SEARCH("REVISION",E152)))</formula>
    </cfRule>
    <cfRule type="containsText" dxfId="5048" priority="6431" operator="containsText" text="ACTIVO ">
      <formula>NOT(ISERROR(SEARCH("ACTIVO ",E152)))</formula>
    </cfRule>
    <cfRule type="containsText" dxfId="5047" priority="6433" operator="containsText" text="BAJA">
      <formula>NOT(ISERROR(SEARCH("BAJA",E152)))</formula>
    </cfRule>
    <cfRule type="containsText" dxfId="5046" priority="6434" operator="containsText" text="INACTIVO">
      <formula>NOT(ISERROR(SEARCH("INACTIVO",E152)))</formula>
    </cfRule>
  </conditionalFormatting>
  <conditionalFormatting sqref="E153:E156">
    <cfRule type="containsText" dxfId="5045" priority="6487" operator="containsText" text="REVISION">
      <formula>NOT(ISERROR(SEARCH("REVISION",E153)))</formula>
    </cfRule>
    <cfRule type="containsText" dxfId="5044" priority="6492" operator="containsText" text="ACTIVO">
      <formula>NOT(ISERROR(SEARCH("ACTIVO",E153)))</formula>
    </cfRule>
  </conditionalFormatting>
  <conditionalFormatting sqref="E156">
    <cfRule type="containsText" dxfId="5043" priority="6485" operator="containsText" text="ACTIVO">
      <formula>NOT(ISERROR(SEARCH("ACTIVO",E156)))</formula>
    </cfRule>
    <cfRule type="containsText" dxfId="5042" priority="6490" operator="containsText" text="BAJA">
      <formula>NOT(ISERROR(SEARCH("BAJA",E156)))</formula>
    </cfRule>
    <cfRule type="containsText" dxfId="5041" priority="6488" operator="containsText" text="ACTIVO ">
      <formula>NOT(ISERROR(SEARCH("ACTIVO ",E156)))</formula>
    </cfRule>
    <cfRule type="containsText" dxfId="5040" priority="6491" operator="containsText" text="INACTIVO">
      <formula>NOT(ISERROR(SEARCH("INACTIVO",E156)))</formula>
    </cfRule>
    <cfRule type="containsText" dxfId="5039" priority="6489" operator="containsText" text="REVISION">
      <formula>NOT(ISERROR(SEARCH("REVISION",E156)))</formula>
    </cfRule>
  </conditionalFormatting>
  <conditionalFormatting sqref="E157:E164">
    <cfRule type="containsText" dxfId="5038" priority="8328" operator="containsText" text="REVISION">
      <formula>NOT(ISERROR(SEARCH("REVISION",E157)))</formula>
    </cfRule>
    <cfRule type="containsText" dxfId="5037" priority="8333" operator="containsText" text="ACTIVO">
      <formula>NOT(ISERROR(SEARCH("ACTIVO",E157)))</formula>
    </cfRule>
  </conditionalFormatting>
  <conditionalFormatting sqref="E160">
    <cfRule type="containsText" dxfId="5036" priority="8324" operator="containsText" text="REVISION">
      <formula>NOT(ISERROR(SEARCH("REVISION",E160)))</formula>
    </cfRule>
    <cfRule type="containsText" dxfId="5035" priority="8326" operator="containsText" text="ACTIVO">
      <formula>NOT(ISERROR(SEARCH("ACTIVO",E160)))</formula>
    </cfRule>
    <cfRule type="containsText" dxfId="5034" priority="8332" operator="containsText" text="INACTIVO">
      <formula>NOT(ISERROR(SEARCH("INACTIVO",E160)))</formula>
    </cfRule>
    <cfRule type="containsText" dxfId="5033" priority="8329" operator="containsText" text="ACTIVO ">
      <formula>NOT(ISERROR(SEARCH("ACTIVO ",E160)))</formula>
    </cfRule>
    <cfRule type="containsText" dxfId="5032" priority="8330" operator="containsText" text="REVISION">
      <formula>NOT(ISERROR(SEARCH("REVISION",E160)))</formula>
    </cfRule>
    <cfRule type="containsText" dxfId="5031" priority="8331" operator="containsText" text="BAJA">
      <formula>NOT(ISERROR(SEARCH("BAJA",E160)))</formula>
    </cfRule>
  </conditionalFormatting>
  <conditionalFormatting sqref="E161:E164">
    <cfRule type="containsText" dxfId="5030" priority="8696" operator="containsText" text="ACTIVO">
      <formula>NOT(ISERROR(SEARCH("ACTIVO",E161)))</formula>
    </cfRule>
  </conditionalFormatting>
  <conditionalFormatting sqref="E163">
    <cfRule type="containsText" dxfId="5029" priority="8695" operator="containsText" text="INACTIVO">
      <formula>NOT(ISERROR(SEARCH("INACTIVO",E163)))</formula>
    </cfRule>
    <cfRule type="containsText" dxfId="5028" priority="8697" operator="containsText" text="ACTIVO ">
      <formula>NOT(ISERROR(SEARCH("ACTIVO ",E163)))</formula>
    </cfRule>
    <cfRule type="containsText" dxfId="5027" priority="8694" operator="containsText" text="BAJA">
      <formula>NOT(ISERROR(SEARCH("BAJA",E163)))</formula>
    </cfRule>
    <cfRule type="containsText" dxfId="5026" priority="8693" operator="containsText" text="REVISION">
      <formula>NOT(ISERROR(SEARCH("REVISION",E163)))</formula>
    </cfRule>
    <cfRule type="containsText" dxfId="5025" priority="8692" operator="containsText" text="REVISION">
      <formula>NOT(ISERROR(SEARCH("REVISION",E163)))</formula>
    </cfRule>
  </conditionalFormatting>
  <conditionalFormatting sqref="E165">
    <cfRule type="containsText" dxfId="5024" priority="6260" operator="containsText" text="REVISION">
      <formula>NOT(ISERROR(SEARCH("REVISION",E165)))</formula>
    </cfRule>
    <cfRule type="containsText" dxfId="5023" priority="6261" operator="containsText" text="BAJA">
      <formula>NOT(ISERROR(SEARCH("BAJA",E165)))</formula>
    </cfRule>
    <cfRule type="containsText" dxfId="5022" priority="6262" operator="containsText" text="INACTIVO">
      <formula>NOT(ISERROR(SEARCH("INACTIVO",E165)))</formula>
    </cfRule>
    <cfRule type="containsText" dxfId="5021" priority="6263" operator="containsText" text="ACTIVO">
      <formula>NOT(ISERROR(SEARCH("ACTIVO",E165)))</formula>
    </cfRule>
    <cfRule type="containsText" dxfId="5020" priority="6258" operator="containsText" text="REVISION">
      <formula>NOT(ISERROR(SEARCH("REVISION",E165)))</formula>
    </cfRule>
    <cfRule type="containsText" dxfId="5019" priority="6256" operator="containsText" text="ACTIVO">
      <formula>NOT(ISERROR(SEARCH("ACTIVO",E165)))</formula>
    </cfRule>
    <cfRule type="containsText" dxfId="5018" priority="6259" operator="containsText" text="ACTIVO ">
      <formula>NOT(ISERROR(SEARCH("ACTIVO ",E165)))</formula>
    </cfRule>
  </conditionalFormatting>
  <conditionalFormatting sqref="E166:E177">
    <cfRule type="containsText" dxfId="5017" priority="8447" operator="containsText" text="REVISION">
      <formula>NOT(ISERROR(SEARCH("REVISION",E166)))</formula>
    </cfRule>
    <cfRule type="containsText" dxfId="5016" priority="8606" operator="containsText" text="BAJA">
      <formula>NOT(ISERROR(SEARCH("BAJA",E166)))</formula>
    </cfRule>
    <cfRule type="containsText" dxfId="5015" priority="8629" operator="containsText" text="ACTIVO">
      <formula>NOT(ISERROR(SEARCH("ACTIVO",E166)))</formula>
    </cfRule>
  </conditionalFormatting>
  <conditionalFormatting sqref="E172">
    <cfRule type="containsText" dxfId="5014" priority="8358" operator="containsText" text="ACTIVO">
      <formula>NOT(ISERROR(SEARCH("ACTIVO",E172)))</formula>
    </cfRule>
    <cfRule type="containsText" dxfId="5013" priority="8357" operator="containsText" text="BAJA">
      <formula>NOT(ISERROR(SEARCH("BAJA",E172)))</formula>
    </cfRule>
  </conditionalFormatting>
  <conditionalFormatting sqref="E178">
    <cfRule type="containsText" dxfId="5012" priority="6243" operator="containsText" text="ACTIVO">
      <formula>NOT(ISERROR(SEARCH("ACTIVO",E178)))</formula>
    </cfRule>
    <cfRule type="containsText" dxfId="5011" priority="6247" operator="containsText" text="REVISION">
      <formula>NOT(ISERROR(SEARCH("REVISION",E178)))</formula>
    </cfRule>
    <cfRule type="containsText" dxfId="5010" priority="6249" operator="containsText" text="INACTIVO">
      <formula>NOT(ISERROR(SEARCH("INACTIVO",E178)))</formula>
    </cfRule>
    <cfRule type="containsText" dxfId="5009" priority="6246" operator="containsText" text="ACTIVO ">
      <formula>NOT(ISERROR(SEARCH("ACTIVO ",E178)))</formula>
    </cfRule>
    <cfRule type="containsText" dxfId="5008" priority="6248" operator="containsText" text="BAJA">
      <formula>NOT(ISERROR(SEARCH("BAJA",E178)))</formula>
    </cfRule>
  </conditionalFormatting>
  <conditionalFormatting sqref="E178:E202">
    <cfRule type="containsText" dxfId="5007" priority="6250" operator="containsText" text="ACTIVO">
      <formula>NOT(ISERROR(SEARCH("ACTIVO",E178)))</formula>
    </cfRule>
    <cfRule type="containsText" dxfId="5006" priority="6245" operator="containsText" text="REVISION">
      <formula>NOT(ISERROR(SEARCH("REVISION",E178)))</formula>
    </cfRule>
  </conditionalFormatting>
  <conditionalFormatting sqref="E203">
    <cfRule type="containsText" dxfId="5005" priority="6216" operator="containsText" text="BAJA">
      <formula>NOT(ISERROR(SEARCH("BAJA",E203)))</formula>
    </cfRule>
    <cfRule type="containsText" dxfId="5004" priority="6215" operator="containsText" text="REVISION">
      <formula>NOT(ISERROR(SEARCH("REVISION",E203)))</formula>
    </cfRule>
    <cfRule type="containsText" dxfId="5003" priority="6214" operator="containsText" text="ACTIVO ">
      <formula>NOT(ISERROR(SEARCH("ACTIVO ",E203)))</formula>
    </cfRule>
    <cfRule type="containsText" dxfId="5002" priority="6211" operator="containsText" text="ACTIVO">
      <formula>NOT(ISERROR(SEARCH("ACTIVO",E203)))</formula>
    </cfRule>
    <cfRule type="containsText" dxfId="5001" priority="6217" operator="containsText" text="INACTIVO">
      <formula>NOT(ISERROR(SEARCH("INACTIVO",E203)))</formula>
    </cfRule>
  </conditionalFormatting>
  <conditionalFormatting sqref="E203:E215">
    <cfRule type="containsText" dxfId="5000" priority="6213" operator="containsText" text="REVISION">
      <formula>NOT(ISERROR(SEARCH("REVISION",E203)))</formula>
    </cfRule>
    <cfRule type="containsText" dxfId="4999" priority="6218" operator="containsText" text="ACTIVO">
      <formula>NOT(ISERROR(SEARCH("ACTIVO",E203)))</formula>
    </cfRule>
  </conditionalFormatting>
  <conditionalFormatting sqref="E204:E215">
    <cfRule type="containsText" dxfId="4998" priority="8636" operator="containsText" text="ACTIVO">
      <formula>NOT(ISERROR(SEARCH("ACTIVO",E204)))</formula>
    </cfRule>
  </conditionalFormatting>
  <conditionalFormatting sqref="E214">
    <cfRule type="containsText" dxfId="4997" priority="8634" operator="containsText" text="BAJA">
      <formula>NOT(ISERROR(SEARCH("BAJA",E214)))</formula>
    </cfRule>
    <cfRule type="containsText" dxfId="4996" priority="8637" operator="containsText" text="ACTIVO ">
      <formula>NOT(ISERROR(SEARCH("ACTIVO ",E214)))</formula>
    </cfRule>
    <cfRule type="containsText" dxfId="4995" priority="8633" operator="containsText" text="REVISION">
      <formula>NOT(ISERROR(SEARCH("REVISION",E214)))</formula>
    </cfRule>
    <cfRule type="containsText" dxfId="4994" priority="8632" operator="containsText" text="REVISION">
      <formula>NOT(ISERROR(SEARCH("REVISION",E214)))</formula>
    </cfRule>
    <cfRule type="containsText" dxfId="4993" priority="8635" operator="containsText" text="INACTIVO">
      <formula>NOT(ISERROR(SEARCH("INACTIVO",E214)))</formula>
    </cfRule>
  </conditionalFormatting>
  <conditionalFormatting sqref="E216">
    <cfRule type="containsText" dxfId="4992" priority="4454" operator="containsText" text="ACTIVO">
      <formula>NOT(ISERROR(SEARCH("ACTIVO",E216)))</formula>
    </cfRule>
    <cfRule type="containsText" dxfId="4991" priority="4456" operator="containsText" text="REVISION">
      <formula>NOT(ISERROR(SEARCH("REVISION",E216)))</formula>
    </cfRule>
    <cfRule type="containsText" dxfId="4990" priority="4457" operator="containsText" text="ACTIVO ">
      <formula>NOT(ISERROR(SEARCH("ACTIVO ",E216)))</formula>
    </cfRule>
    <cfRule type="containsText" dxfId="4989" priority="4458" operator="containsText" text="REVISION">
      <formula>NOT(ISERROR(SEARCH("REVISION",E216)))</formula>
    </cfRule>
    <cfRule type="containsText" dxfId="4988" priority="4459" operator="containsText" text="BAJA">
      <formula>NOT(ISERROR(SEARCH("BAJA",E216)))</formula>
    </cfRule>
    <cfRule type="containsText" dxfId="4987" priority="4460" operator="containsText" text="INACTIVO">
      <formula>NOT(ISERROR(SEARCH("INACTIVO",E216)))</formula>
    </cfRule>
    <cfRule type="containsText" dxfId="4986" priority="4461" operator="containsText" text="ACTIVO">
      <formula>NOT(ISERROR(SEARCH("ACTIVO",E216)))</formula>
    </cfRule>
  </conditionalFormatting>
  <conditionalFormatting sqref="E217:E219">
    <cfRule type="containsText" dxfId="4985" priority="6207" operator="containsText" text="ACTIVO">
      <formula>NOT(ISERROR(SEARCH("ACTIVO",E217)))</formula>
    </cfRule>
  </conditionalFormatting>
  <conditionalFormatting sqref="E217:E232">
    <cfRule type="containsText" dxfId="4984" priority="6202" operator="containsText" text="REVISION">
      <formula>NOT(ISERROR(SEARCH("REVISION",E217)))</formula>
    </cfRule>
  </conditionalFormatting>
  <conditionalFormatting sqref="E219">
    <cfRule type="containsText" dxfId="4983" priority="6204" operator="containsText" text="REVISION">
      <formula>NOT(ISERROR(SEARCH("REVISION",E219)))</formula>
    </cfRule>
    <cfRule type="containsText" dxfId="4982" priority="6205" operator="containsText" text="BAJA">
      <formula>NOT(ISERROR(SEARCH("BAJA",E219)))</formula>
    </cfRule>
    <cfRule type="containsText" dxfId="4981" priority="6206" operator="containsText" text="INACTIVO">
      <formula>NOT(ISERROR(SEARCH("INACTIVO",E219)))</formula>
    </cfRule>
    <cfRule type="containsText" dxfId="4980" priority="6200" operator="containsText" text="ACTIVO">
      <formula>NOT(ISERROR(SEARCH("ACTIVO",E219)))</formula>
    </cfRule>
    <cfRule type="containsText" dxfId="4979" priority="6203" operator="containsText" text="ACTIVO ">
      <formula>NOT(ISERROR(SEARCH("ACTIVO ",E219)))</formula>
    </cfRule>
  </conditionalFormatting>
  <conditionalFormatting sqref="E220:E232">
    <cfRule type="containsText" dxfId="4978" priority="8236" operator="containsText" text="ACTIVO">
      <formula>NOT(ISERROR(SEARCH("ACTIVO",E220)))</formula>
    </cfRule>
  </conditionalFormatting>
  <conditionalFormatting sqref="E232">
    <cfRule type="containsText" dxfId="4977" priority="8235" operator="containsText" text="INACTIVO">
      <formula>NOT(ISERROR(SEARCH("INACTIVO",E232)))</formula>
    </cfRule>
    <cfRule type="containsText" dxfId="4976" priority="8232" operator="containsText" text="ACTIVO ">
      <formula>NOT(ISERROR(SEARCH("ACTIVO ",E232)))</formula>
    </cfRule>
    <cfRule type="containsText" dxfId="4975" priority="8233" operator="containsText" text="REVISION">
      <formula>NOT(ISERROR(SEARCH("REVISION",E232)))</formula>
    </cfRule>
    <cfRule type="containsText" dxfId="4974" priority="8234" operator="containsText" text="BAJA">
      <formula>NOT(ISERROR(SEARCH("BAJA",E232)))</formula>
    </cfRule>
  </conditionalFormatting>
  <conditionalFormatting sqref="E232:E233">
    <cfRule type="containsText" dxfId="4973" priority="6191" operator="containsText" text="REVISION">
      <formula>NOT(ISERROR(SEARCH("REVISION",E232)))</formula>
    </cfRule>
  </conditionalFormatting>
  <conditionalFormatting sqref="E232:E257">
    <cfRule type="containsText" dxfId="4972" priority="6196" operator="containsText" text="ACTIVO">
      <formula>NOT(ISERROR(SEARCH("ACTIVO",E232)))</formula>
    </cfRule>
  </conditionalFormatting>
  <conditionalFormatting sqref="E233">
    <cfRule type="containsText" dxfId="4971" priority="6195" operator="containsText" text="INACTIVO">
      <formula>NOT(ISERROR(SEARCH("INACTIVO",E233)))</formula>
    </cfRule>
    <cfRule type="containsText" dxfId="4970" priority="6193" operator="containsText" text="REVISION">
      <formula>NOT(ISERROR(SEARCH("REVISION",E233)))</formula>
    </cfRule>
    <cfRule type="containsText" dxfId="4969" priority="6194" operator="containsText" text="BAJA">
      <formula>NOT(ISERROR(SEARCH("BAJA",E233)))</formula>
    </cfRule>
    <cfRule type="containsText" dxfId="4968" priority="6192" operator="containsText" text="ACTIVO ">
      <formula>NOT(ISERROR(SEARCH("ACTIVO ",E233)))</formula>
    </cfRule>
    <cfRule type="containsText" dxfId="4967" priority="6189" operator="containsText" text="ACTIVO">
      <formula>NOT(ISERROR(SEARCH("ACTIVO",E233)))</formula>
    </cfRule>
  </conditionalFormatting>
  <conditionalFormatting sqref="E236">
    <cfRule type="containsText" dxfId="4966" priority="9832" operator="containsText" text="ACTIVO">
      <formula>NOT(ISERROR(SEARCH("ACTIVO",E236)))</formula>
    </cfRule>
    <cfRule type="containsText" dxfId="4965" priority="9829" operator="containsText" text="REVISION">
      <formula>NOT(ISERROR(SEARCH("REVISION",E236)))</formula>
    </cfRule>
    <cfRule type="containsText" dxfId="4964" priority="9831" operator="containsText" text="INACTIVO">
      <formula>NOT(ISERROR(SEARCH("INACTIVO",E236)))</formula>
    </cfRule>
    <cfRule type="containsText" dxfId="4963" priority="9830" operator="containsText" text="BAJA">
      <formula>NOT(ISERROR(SEARCH("BAJA",E236)))</formula>
    </cfRule>
  </conditionalFormatting>
  <conditionalFormatting sqref="E238:E257">
    <cfRule type="containsText" dxfId="4962" priority="10101" operator="containsText" text="ACTIVO">
      <formula>NOT(ISERROR(SEARCH("ACTIVO",E238)))</formula>
    </cfRule>
    <cfRule type="containsText" dxfId="4961" priority="10100" operator="containsText" text="INACTIVO">
      <formula>NOT(ISERROR(SEARCH("INACTIVO",E238)))</formula>
    </cfRule>
    <cfRule type="containsText" dxfId="4960" priority="10099" operator="containsText" text="BAJA">
      <formula>NOT(ISERROR(SEARCH("BAJA",E238)))</formula>
    </cfRule>
    <cfRule type="containsText" dxfId="4959" priority="10098" operator="containsText" text="REVISION">
      <formula>NOT(ISERROR(SEARCH("REVISION",E238)))</formula>
    </cfRule>
  </conditionalFormatting>
  <conditionalFormatting sqref="E258">
    <cfRule type="containsText" dxfId="4958" priority="6178" operator="containsText" text="ACTIVO">
      <formula>NOT(ISERROR(SEARCH("ACTIVO",E258)))</formula>
    </cfRule>
    <cfRule type="containsText" dxfId="4957" priority="6181" operator="containsText" text="ACTIVO ">
      <formula>NOT(ISERROR(SEARCH("ACTIVO ",E258)))</formula>
    </cfRule>
    <cfRule type="containsText" dxfId="4956" priority="6182" operator="containsText" text="REVISION">
      <formula>NOT(ISERROR(SEARCH("REVISION",E258)))</formula>
    </cfRule>
    <cfRule type="containsText" dxfId="4955" priority="6183" operator="containsText" text="BAJA">
      <formula>NOT(ISERROR(SEARCH("BAJA",E258)))</formula>
    </cfRule>
    <cfRule type="containsText" dxfId="4954" priority="6184" operator="containsText" text="INACTIVO">
      <formula>NOT(ISERROR(SEARCH("INACTIVO",E258)))</formula>
    </cfRule>
  </conditionalFormatting>
  <conditionalFormatting sqref="E258:E266">
    <cfRule type="containsText" dxfId="4953" priority="6180" operator="containsText" text="REVISION">
      <formula>NOT(ISERROR(SEARCH("REVISION",E258)))</formula>
    </cfRule>
    <cfRule type="containsText" dxfId="4952" priority="6185" operator="containsText" text="ACTIVO">
      <formula>NOT(ISERROR(SEARCH("ACTIVO",E258)))</formula>
    </cfRule>
  </conditionalFormatting>
  <conditionalFormatting sqref="E267">
    <cfRule type="containsText" dxfId="4951" priority="6122" operator="containsText" text="ACTIVO ">
      <formula>NOT(ISERROR(SEARCH("ACTIVO ",E267)))</formula>
    </cfRule>
    <cfRule type="containsText" dxfId="4950" priority="6119" operator="containsText" text="ACTIVO">
      <formula>NOT(ISERROR(SEARCH("ACTIVO",E267)))</formula>
    </cfRule>
    <cfRule type="containsText" dxfId="4949" priority="6126" operator="containsText" text="ACTIVO">
      <formula>NOT(ISERROR(SEARCH("ACTIVO",E267)))</formula>
    </cfRule>
    <cfRule type="containsText" dxfId="4948" priority="6125" operator="containsText" text="INACTIVO">
      <formula>NOT(ISERROR(SEARCH("INACTIVO",E267)))</formula>
    </cfRule>
    <cfRule type="containsText" dxfId="4947" priority="6123" operator="containsText" text="REVISION">
      <formula>NOT(ISERROR(SEARCH("REVISION",E267)))</formula>
    </cfRule>
    <cfRule type="containsText" dxfId="4946" priority="6124" operator="containsText" text="BAJA">
      <formula>NOT(ISERROR(SEARCH("BAJA",E267)))</formula>
    </cfRule>
  </conditionalFormatting>
  <conditionalFormatting sqref="E267:E284">
    <cfRule type="containsText" dxfId="4945" priority="6121" operator="containsText" text="REVISION">
      <formula>NOT(ISERROR(SEARCH("REVISION",E267)))</formula>
    </cfRule>
  </conditionalFormatting>
  <conditionalFormatting sqref="E268:E284">
    <cfRule type="containsText" dxfId="4944" priority="8224" operator="containsText" text="ACTIVO">
      <formula>NOT(ISERROR(SEARCH("ACTIVO",E268)))</formula>
    </cfRule>
  </conditionalFormatting>
  <conditionalFormatting sqref="E284">
    <cfRule type="containsText" dxfId="4943" priority="8223" operator="containsText" text="INACTIVO">
      <formula>NOT(ISERROR(SEARCH("INACTIVO",E284)))</formula>
    </cfRule>
    <cfRule type="containsText" dxfId="4942" priority="8222" operator="containsText" text="BAJA">
      <formula>NOT(ISERROR(SEARCH("BAJA",E284)))</formula>
    </cfRule>
    <cfRule type="containsText" dxfId="4941" priority="8221" operator="containsText" text="REVISION">
      <formula>NOT(ISERROR(SEARCH("REVISION",E284)))</formula>
    </cfRule>
    <cfRule type="containsText" dxfId="4940" priority="8220" operator="containsText" text="ACTIVO ">
      <formula>NOT(ISERROR(SEARCH("ACTIVO ",E284)))</formula>
    </cfRule>
  </conditionalFormatting>
  <conditionalFormatting sqref="E284:E286">
    <cfRule type="containsText" dxfId="4939" priority="6115" operator="containsText" text="ACTIVO">
      <formula>NOT(ISERROR(SEARCH("ACTIVO",E284)))</formula>
    </cfRule>
    <cfRule type="containsText" dxfId="4938" priority="6110" operator="containsText" text="REVISION">
      <formula>NOT(ISERROR(SEARCH("REVISION",E284)))</formula>
    </cfRule>
  </conditionalFormatting>
  <conditionalFormatting sqref="E285">
    <cfRule type="containsText" dxfId="4937" priority="6114" operator="containsText" text="INACTIVO">
      <formula>NOT(ISERROR(SEARCH("INACTIVO",E285)))</formula>
    </cfRule>
    <cfRule type="containsText" dxfId="4936" priority="6113" operator="containsText" text="BAJA">
      <formula>NOT(ISERROR(SEARCH("BAJA",E285)))</formula>
    </cfRule>
    <cfRule type="containsText" dxfId="4935" priority="6111" operator="containsText" text="ACTIVO ">
      <formula>NOT(ISERROR(SEARCH("ACTIVO ",E285)))</formula>
    </cfRule>
    <cfRule type="containsText" dxfId="4934" priority="6108" operator="containsText" text="ACTIVO">
      <formula>NOT(ISERROR(SEARCH("ACTIVO",E285)))</formula>
    </cfRule>
    <cfRule type="containsText" dxfId="4933" priority="6112" operator="containsText" text="REVISION">
      <formula>NOT(ISERROR(SEARCH("REVISION",E285)))</formula>
    </cfRule>
  </conditionalFormatting>
  <conditionalFormatting sqref="E286">
    <cfRule type="containsText" dxfId="4932" priority="8211" operator="containsText" text="INACTIVO">
      <formula>NOT(ISERROR(SEARCH("INACTIVO",E286)))</formula>
    </cfRule>
    <cfRule type="containsText" dxfId="4931" priority="8210" operator="containsText" text="BAJA">
      <formula>NOT(ISERROR(SEARCH("BAJA",E286)))</formula>
    </cfRule>
    <cfRule type="containsText" dxfId="4930" priority="8209" operator="containsText" text="REVISION">
      <formula>NOT(ISERROR(SEARCH("REVISION",E286)))</formula>
    </cfRule>
    <cfRule type="containsText" dxfId="4929" priority="8208" operator="containsText" text="ACTIVO ">
      <formula>NOT(ISERROR(SEARCH("ACTIVO ",E286)))</formula>
    </cfRule>
  </conditionalFormatting>
  <conditionalFormatting sqref="E286:E296">
    <cfRule type="containsText" dxfId="4928" priority="8212" operator="containsText" text="ACTIVO">
      <formula>NOT(ISERROR(SEARCH("ACTIVO",E286)))</formula>
    </cfRule>
    <cfRule type="containsText" dxfId="4927" priority="8207" operator="containsText" text="REVISION">
      <formula>NOT(ISERROR(SEARCH("REVISION",E286)))</formula>
    </cfRule>
  </conditionalFormatting>
  <conditionalFormatting sqref="E287:E292">
    <cfRule type="containsText" dxfId="4926" priority="10371" operator="containsText" text="INACTIVO">
      <formula>NOT(ISERROR(SEARCH("INACTIVO",E287)))</formula>
    </cfRule>
    <cfRule type="containsText" dxfId="4925" priority="10370" operator="containsText" text="BAJA">
      <formula>NOT(ISERROR(SEARCH("BAJA",E287)))</formula>
    </cfRule>
    <cfRule type="containsText" dxfId="4924" priority="10372" operator="containsText" text="ACTIVO">
      <formula>NOT(ISERROR(SEARCH("ACTIVO",E287)))</formula>
    </cfRule>
  </conditionalFormatting>
  <conditionalFormatting sqref="E287:E296">
    <cfRule type="containsText" dxfId="4923" priority="10369" operator="containsText" text="REVISION">
      <formula>NOT(ISERROR(SEARCH("REVISION",E287)))</formula>
    </cfRule>
  </conditionalFormatting>
  <conditionalFormatting sqref="E294:E296">
    <cfRule type="containsText" dxfId="4922" priority="10380" operator="containsText" text="BAJA">
      <formula>NOT(ISERROR(SEARCH("BAJA",E294)))</formula>
    </cfRule>
    <cfRule type="containsText" dxfId="4921" priority="10382" operator="containsText" text="ACTIVO">
      <formula>NOT(ISERROR(SEARCH("ACTIVO",E294)))</formula>
    </cfRule>
    <cfRule type="containsText" dxfId="4920" priority="10381" operator="containsText" text="INACTIVO">
      <formula>NOT(ISERROR(SEARCH("INACTIVO",E294)))</formula>
    </cfRule>
  </conditionalFormatting>
  <conditionalFormatting sqref="E297">
    <cfRule type="containsText" dxfId="4919" priority="6100" operator="containsText" text="ACTIVO">
      <formula>NOT(ISERROR(SEARCH("ACTIVO",E297)))</formula>
    </cfRule>
    <cfRule type="containsText" dxfId="4918" priority="6099" operator="containsText" text="INACTIVO">
      <formula>NOT(ISERROR(SEARCH("INACTIVO",E297)))</formula>
    </cfRule>
    <cfRule type="containsText" dxfId="4917" priority="6098" operator="containsText" text="BAJA">
      <formula>NOT(ISERROR(SEARCH("BAJA",E297)))</formula>
    </cfRule>
    <cfRule type="containsText" dxfId="4916" priority="6097" operator="containsText" text="REVISION">
      <formula>NOT(ISERROR(SEARCH("REVISION",E297)))</formula>
    </cfRule>
    <cfRule type="containsText" dxfId="4915" priority="6095" operator="containsText" text="REVISION">
      <formula>NOT(ISERROR(SEARCH("REVISION",E297)))</formula>
    </cfRule>
    <cfRule type="containsText" dxfId="4914" priority="6093" operator="containsText" text="ACTIVO">
      <formula>NOT(ISERROR(SEARCH("ACTIVO",E297)))</formula>
    </cfRule>
    <cfRule type="containsText" dxfId="4913" priority="6096" operator="containsText" text="ACTIVO ">
      <formula>NOT(ISERROR(SEARCH("ACTIVO ",E297)))</formula>
    </cfRule>
  </conditionalFormatting>
  <conditionalFormatting sqref="E298:E302">
    <cfRule type="containsText" dxfId="4912" priority="10362" operator="containsText" text="ACTIVO">
      <formula>NOT(ISERROR(SEARCH("ACTIVO",E298)))</formula>
    </cfRule>
    <cfRule type="containsText" dxfId="4911" priority="10361" operator="containsText" text="INACTIVO">
      <formula>NOT(ISERROR(SEARCH("INACTIVO",E298)))</formula>
    </cfRule>
  </conditionalFormatting>
  <conditionalFormatting sqref="E298:E305">
    <cfRule type="containsText" dxfId="4910" priority="10349" operator="containsText" text="REVISION">
      <formula>NOT(ISERROR(SEARCH("REVISION",E298)))</formula>
    </cfRule>
  </conditionalFormatting>
  <conditionalFormatting sqref="E298:E307">
    <cfRule type="containsText" dxfId="4909" priority="8191" operator="containsText" text="REVISION">
      <formula>NOT(ISERROR(SEARCH("REVISION",E298)))</formula>
    </cfRule>
    <cfRule type="containsText" dxfId="4908" priority="8196" operator="containsText" text="ACTIVO">
      <formula>NOT(ISERROR(SEARCH("ACTIVO",E298)))</formula>
    </cfRule>
  </conditionalFormatting>
  <conditionalFormatting sqref="E303:E305">
    <cfRule type="containsText" dxfId="4907" priority="10352" operator="containsText" text="ACTIVO">
      <formula>NOT(ISERROR(SEARCH("ACTIVO",E303)))</formula>
    </cfRule>
    <cfRule type="containsText" dxfId="4906" priority="10350" operator="containsText" text="BAJA">
      <formula>NOT(ISERROR(SEARCH("BAJA",E303)))</formula>
    </cfRule>
    <cfRule type="containsText" dxfId="4905" priority="10351" operator="containsText" text="INACTIVO">
      <formula>NOT(ISERROR(SEARCH("INACTIVO",E303)))</formula>
    </cfRule>
  </conditionalFormatting>
  <conditionalFormatting sqref="E306">
    <cfRule type="containsText" dxfId="4904" priority="8187" operator="containsText" text="REVISION">
      <formula>NOT(ISERROR(SEARCH("REVISION",E306)))</formula>
    </cfRule>
    <cfRule type="containsText" dxfId="4903" priority="8189" operator="containsText" text="ACTIVO">
      <formula>NOT(ISERROR(SEARCH("ACTIVO",E306)))</formula>
    </cfRule>
    <cfRule type="containsText" dxfId="4902" priority="8195" operator="containsText" text="INACTIVO">
      <formula>NOT(ISERROR(SEARCH("INACTIVO",E306)))</formula>
    </cfRule>
    <cfRule type="containsText" dxfId="4901" priority="8194" operator="containsText" text="BAJA">
      <formula>NOT(ISERROR(SEARCH("BAJA",E306)))</formula>
    </cfRule>
    <cfRule type="containsText" dxfId="4900" priority="8193" operator="containsText" text="REVISION">
      <formula>NOT(ISERROR(SEARCH("REVISION",E306)))</formula>
    </cfRule>
    <cfRule type="containsText" dxfId="4899" priority="8192" operator="containsText" text="ACTIVO ">
      <formula>NOT(ISERROR(SEARCH("ACTIVO ",E306)))</formula>
    </cfRule>
  </conditionalFormatting>
  <conditionalFormatting sqref="E308">
    <cfRule type="containsText" dxfId="4898" priority="8163" operator="containsText" text="ACTIVO">
      <formula>NOT(ISERROR(SEARCH("ACTIVO",E308)))</formula>
    </cfRule>
    <cfRule type="containsText" dxfId="4897" priority="8162" operator="containsText" text="INACTIVO">
      <formula>NOT(ISERROR(SEARCH("INACTIVO",E308)))</formula>
    </cfRule>
    <cfRule type="containsText" dxfId="4896" priority="8161" operator="containsText" text="BAJA">
      <formula>NOT(ISERROR(SEARCH("BAJA",E308)))</formula>
    </cfRule>
    <cfRule type="containsText" dxfId="4895" priority="8160" operator="containsText" text="REVISION">
      <formula>NOT(ISERROR(SEARCH("REVISION",E308)))</formula>
    </cfRule>
    <cfRule type="containsText" dxfId="4894" priority="8159" operator="containsText" text="ACTIVO ">
      <formula>NOT(ISERROR(SEARCH("ACTIVO ",E308)))</formula>
    </cfRule>
    <cfRule type="containsText" dxfId="4893" priority="8158" operator="containsText" text="REVISION">
      <formula>NOT(ISERROR(SEARCH("REVISION",E308)))</formula>
    </cfRule>
  </conditionalFormatting>
  <conditionalFormatting sqref="E308:E315">
    <cfRule type="containsText" dxfId="4892" priority="8149" operator="containsText" text="ACTIVO">
      <formula>NOT(ISERROR(SEARCH("ACTIVO",E308)))</formula>
    </cfRule>
    <cfRule type="containsText" dxfId="4891" priority="8144" operator="containsText" text="REVISION">
      <formula>NOT(ISERROR(SEARCH("REVISION",E308)))</formula>
    </cfRule>
  </conditionalFormatting>
  <conditionalFormatting sqref="E309">
    <cfRule type="containsText" dxfId="4890" priority="8142" operator="containsText" text="ACTIVO">
      <formula>NOT(ISERROR(SEARCH("ACTIVO",E309)))</formula>
    </cfRule>
    <cfRule type="containsText" dxfId="4889" priority="8145" operator="containsText" text="ACTIVO ">
      <formula>NOT(ISERROR(SEARCH("ACTIVO ",E309)))</formula>
    </cfRule>
    <cfRule type="containsText" dxfId="4888" priority="8140" operator="containsText" text="REVISION">
      <formula>NOT(ISERROR(SEARCH("REVISION",E309)))</formula>
    </cfRule>
    <cfRule type="containsText" dxfId="4887" priority="8148" operator="containsText" text="INACTIVO">
      <formula>NOT(ISERROR(SEARCH("INACTIVO",E309)))</formula>
    </cfRule>
    <cfRule type="containsText" dxfId="4886" priority="8147" operator="containsText" text="BAJA">
      <formula>NOT(ISERROR(SEARCH("BAJA",E309)))</formula>
    </cfRule>
    <cfRule type="containsText" dxfId="4885" priority="8146" operator="containsText" text="REVISION">
      <formula>NOT(ISERROR(SEARCH("REVISION",E309)))</formula>
    </cfRule>
  </conditionalFormatting>
  <conditionalFormatting sqref="E316">
    <cfRule type="containsText" dxfId="4884" priority="8138" operator="containsText" text="INACTIVO">
      <formula>NOT(ISERROR(SEARCH("INACTIVO",E316)))</formula>
    </cfRule>
    <cfRule type="containsText" dxfId="4883" priority="8135" operator="containsText" text="ACTIVO ">
      <formula>NOT(ISERROR(SEARCH("ACTIVO ",E316)))</formula>
    </cfRule>
    <cfRule type="containsText" dxfId="4882" priority="8132" operator="containsText" text="ACTIVO">
      <formula>NOT(ISERROR(SEARCH("ACTIVO",E316)))</formula>
    </cfRule>
    <cfRule type="containsText" dxfId="4881" priority="8130" operator="containsText" text="REVISION">
      <formula>NOT(ISERROR(SEARCH("REVISION",E316)))</formula>
    </cfRule>
    <cfRule type="containsText" dxfId="4880" priority="8137" operator="containsText" text="BAJA">
      <formula>NOT(ISERROR(SEARCH("BAJA",E316)))</formula>
    </cfRule>
    <cfRule type="containsText" dxfId="4879" priority="8136" operator="containsText" text="REVISION">
      <formula>NOT(ISERROR(SEARCH("REVISION",E316)))</formula>
    </cfRule>
  </conditionalFormatting>
  <conditionalFormatting sqref="E316:E319">
    <cfRule type="containsText" dxfId="4878" priority="8139" operator="containsText" text="ACTIVO">
      <formula>NOT(ISERROR(SEARCH("ACTIVO",E316)))</formula>
    </cfRule>
    <cfRule type="containsText" dxfId="4877" priority="8134" operator="containsText" text="REVISION">
      <formula>NOT(ISERROR(SEARCH("REVISION",E316)))</formula>
    </cfRule>
  </conditionalFormatting>
  <conditionalFormatting sqref="E317">
    <cfRule type="containsText" dxfId="4876" priority="10341" operator="containsText" text="INACTIVO">
      <formula>NOT(ISERROR(SEARCH("INACTIVO",E317)))</formula>
    </cfRule>
    <cfRule type="containsText" dxfId="4875" priority="10342" operator="containsText" text="ACTIVO">
      <formula>NOT(ISERROR(SEARCH("ACTIVO",E317)))</formula>
    </cfRule>
  </conditionalFormatting>
  <conditionalFormatting sqref="E317:E319">
    <cfRule type="containsText" dxfId="4874" priority="10329" operator="containsText" text="REVISION">
      <formula>NOT(ISERROR(SEARCH("REVISION",E317)))</formula>
    </cfRule>
  </conditionalFormatting>
  <conditionalFormatting sqref="E318:E319">
    <cfRule type="containsText" dxfId="4873" priority="10332" operator="containsText" text="ACTIVO">
      <formula>NOT(ISERROR(SEARCH("ACTIVO",E318)))</formula>
    </cfRule>
    <cfRule type="containsText" dxfId="4872" priority="10331" operator="containsText" text="INACTIVO">
      <formula>NOT(ISERROR(SEARCH("INACTIVO",E318)))</formula>
    </cfRule>
    <cfRule type="containsText" dxfId="4871" priority="10330" operator="containsText" text="BAJA">
      <formula>NOT(ISERROR(SEARCH("BAJA",E318)))</formula>
    </cfRule>
  </conditionalFormatting>
  <conditionalFormatting sqref="E320">
    <cfRule type="containsText" dxfId="4870" priority="6084" operator="containsText" text="REVISION">
      <formula>NOT(ISERROR(SEARCH("REVISION",E320)))</formula>
    </cfRule>
    <cfRule type="containsText" dxfId="4869" priority="6086" operator="containsText" text="REVISION">
      <formula>NOT(ISERROR(SEARCH("REVISION",E320)))</formula>
    </cfRule>
    <cfRule type="containsText" dxfId="4868" priority="6085" operator="containsText" text="ACTIVO ">
      <formula>NOT(ISERROR(SEARCH("ACTIVO ",E320)))</formula>
    </cfRule>
    <cfRule type="containsText" dxfId="4867" priority="6082" operator="containsText" text="ACTIVO">
      <formula>NOT(ISERROR(SEARCH("ACTIVO",E320)))</formula>
    </cfRule>
    <cfRule type="containsText" dxfId="4866" priority="6088" operator="containsText" text="INACTIVO">
      <formula>NOT(ISERROR(SEARCH("INACTIVO",E320)))</formula>
    </cfRule>
    <cfRule type="containsText" dxfId="4865" priority="6087" operator="containsText" text="BAJA">
      <formula>NOT(ISERROR(SEARCH("BAJA",E320)))</formula>
    </cfRule>
    <cfRule type="containsText" dxfId="4864" priority="6089" operator="containsText" text="ACTIVO">
      <formula>NOT(ISERROR(SEARCH("ACTIVO",E320)))</formula>
    </cfRule>
  </conditionalFormatting>
  <conditionalFormatting sqref="E321:E324">
    <cfRule type="containsText" dxfId="4863" priority="10314" operator="containsText" text="REVISION">
      <formula>NOT(ISERROR(SEARCH("REVISION",E321)))</formula>
    </cfRule>
    <cfRule type="containsText" dxfId="4862" priority="10315" operator="containsText" text="BAJA">
      <formula>NOT(ISERROR(SEARCH("BAJA",E321)))</formula>
    </cfRule>
    <cfRule type="containsText" dxfId="4861" priority="10316" operator="containsText" text="INACTIVO">
      <formula>NOT(ISERROR(SEARCH("INACTIVO",E321)))</formula>
    </cfRule>
    <cfRule type="containsText" dxfId="4860" priority="10317" operator="containsText" text="ACTIVO">
      <formula>NOT(ISERROR(SEARCH("ACTIVO",E321)))</formula>
    </cfRule>
  </conditionalFormatting>
  <conditionalFormatting sqref="E321:E325">
    <cfRule type="containsText" dxfId="4859" priority="8113" operator="containsText" text="ACTIVO">
      <formula>NOT(ISERROR(SEARCH("ACTIVO",E321)))</formula>
    </cfRule>
    <cfRule type="containsText" dxfId="4858" priority="8108" operator="containsText" text="REVISION">
      <formula>NOT(ISERROR(SEARCH("REVISION",E321)))</formula>
    </cfRule>
  </conditionalFormatting>
  <conditionalFormatting sqref="E325">
    <cfRule type="containsText" dxfId="4857" priority="8110" operator="containsText" text="REVISION">
      <formula>NOT(ISERROR(SEARCH("REVISION",E325)))</formula>
    </cfRule>
    <cfRule type="containsText" dxfId="4856" priority="8109" operator="containsText" text="ACTIVO ">
      <formula>NOT(ISERROR(SEARCH("ACTIVO ",E325)))</formula>
    </cfRule>
    <cfRule type="containsText" dxfId="4855" priority="8112" operator="containsText" text="INACTIVO">
      <formula>NOT(ISERROR(SEARCH("INACTIVO",E325)))</formula>
    </cfRule>
    <cfRule type="containsText" dxfId="4854" priority="8111" operator="containsText" text="BAJA">
      <formula>NOT(ISERROR(SEARCH("BAJA",E325)))</formula>
    </cfRule>
  </conditionalFormatting>
  <conditionalFormatting sqref="E325:E326">
    <cfRule type="containsText" dxfId="4853" priority="8098" operator="containsText" text="REVISION">
      <formula>NOT(ISERROR(SEARCH("REVISION",E325)))</formula>
    </cfRule>
    <cfRule type="containsText" dxfId="4852" priority="8103" operator="containsText" text="ACTIVO">
      <formula>NOT(ISERROR(SEARCH("ACTIVO",E325)))</formula>
    </cfRule>
  </conditionalFormatting>
  <conditionalFormatting sqref="E326">
    <cfRule type="containsText" dxfId="4851" priority="8100" operator="containsText" text="REVISION">
      <formula>NOT(ISERROR(SEARCH("REVISION",E326)))</formula>
    </cfRule>
    <cfRule type="containsText" dxfId="4850" priority="8099" operator="containsText" text="ACTIVO ">
      <formula>NOT(ISERROR(SEARCH("ACTIVO ",E326)))</formula>
    </cfRule>
    <cfRule type="containsText" dxfId="4849" priority="8102" operator="containsText" text="INACTIVO">
      <formula>NOT(ISERROR(SEARCH("INACTIVO",E326)))</formula>
    </cfRule>
    <cfRule type="containsText" dxfId="4848" priority="8101" operator="containsText" text="BAJA">
      <formula>NOT(ISERROR(SEARCH("BAJA",E326)))</formula>
    </cfRule>
  </conditionalFormatting>
  <conditionalFormatting sqref="E326:E327">
    <cfRule type="containsText" dxfId="4847" priority="8091" operator="containsText" text="ACTIVO">
      <formula>NOT(ISERROR(SEARCH("ACTIVO",E326)))</formula>
    </cfRule>
    <cfRule type="containsText" dxfId="4846" priority="8086" operator="containsText" text="REVISION">
      <formula>NOT(ISERROR(SEARCH("REVISION",E326)))</formula>
    </cfRule>
  </conditionalFormatting>
  <conditionalFormatting sqref="E327">
    <cfRule type="containsText" dxfId="4845" priority="8089" operator="containsText" text="BAJA">
      <formula>NOT(ISERROR(SEARCH("BAJA",E327)))</formula>
    </cfRule>
    <cfRule type="containsText" dxfId="4844" priority="8088" operator="containsText" text="REVISION">
      <formula>NOT(ISERROR(SEARCH("REVISION",E327)))</formula>
    </cfRule>
    <cfRule type="containsText" dxfId="4843" priority="8090" operator="containsText" text="INACTIVO">
      <formula>NOT(ISERROR(SEARCH("INACTIVO",E327)))</formula>
    </cfRule>
    <cfRule type="containsText" dxfId="4842" priority="8087" operator="containsText" text="ACTIVO ">
      <formula>NOT(ISERROR(SEARCH("ACTIVO ",E327)))</formula>
    </cfRule>
  </conditionalFormatting>
  <conditionalFormatting sqref="E327:E330">
    <cfRule type="containsText" dxfId="4841" priority="8077" operator="containsText" text="ACTIVO">
      <formula>NOT(ISERROR(SEARCH("ACTIVO",E327)))</formula>
    </cfRule>
    <cfRule type="containsText" dxfId="4840" priority="8072" operator="containsText" text="REVISION">
      <formula>NOT(ISERROR(SEARCH("REVISION",E327)))</formula>
    </cfRule>
  </conditionalFormatting>
  <conditionalFormatting sqref="E328">
    <cfRule type="containsText" dxfId="4839" priority="8075" operator="containsText" text="BAJA">
      <formula>NOT(ISERROR(SEARCH("BAJA",E328)))</formula>
    </cfRule>
    <cfRule type="containsText" dxfId="4838" priority="8076" operator="containsText" text="INACTIVO">
      <formula>NOT(ISERROR(SEARCH("INACTIVO",E328)))</formula>
    </cfRule>
    <cfRule type="containsText" dxfId="4837" priority="8074" operator="containsText" text="REVISION">
      <formula>NOT(ISERROR(SEARCH("REVISION",E328)))</formula>
    </cfRule>
    <cfRule type="containsText" dxfId="4836" priority="8073" operator="containsText" text="ACTIVO ">
      <formula>NOT(ISERROR(SEARCH("ACTIVO ",E328)))</formula>
    </cfRule>
    <cfRule type="containsText" dxfId="4835" priority="8070" operator="containsText" text="ACTIVO">
      <formula>NOT(ISERROR(SEARCH("ACTIVO",E328)))</formula>
    </cfRule>
    <cfRule type="containsText" dxfId="4834" priority="8068" operator="containsText" text="REVISION">
      <formula>NOT(ISERROR(SEARCH("REVISION",E328)))</formula>
    </cfRule>
  </conditionalFormatting>
  <conditionalFormatting sqref="E331">
    <cfRule type="containsText" dxfId="4833" priority="8060" operator="containsText" text="ACTIVO">
      <formula>NOT(ISERROR(SEARCH("ACTIVO",E331)))</formula>
    </cfRule>
    <cfRule type="containsText" dxfId="4832" priority="8058" operator="containsText" text="REVISION">
      <formula>NOT(ISERROR(SEARCH("REVISION",E331)))</formula>
    </cfRule>
    <cfRule type="containsText" dxfId="4831" priority="8064" operator="containsText" text="REVISION">
      <formula>NOT(ISERROR(SEARCH("REVISION",E331)))</formula>
    </cfRule>
    <cfRule type="containsText" dxfId="4830" priority="8065" operator="containsText" text="BAJA">
      <formula>NOT(ISERROR(SEARCH("BAJA",E331)))</formula>
    </cfRule>
    <cfRule type="containsText" dxfId="4829" priority="8066" operator="containsText" text="INACTIVO">
      <formula>NOT(ISERROR(SEARCH("INACTIVO",E331)))</formula>
    </cfRule>
    <cfRule type="containsText" dxfId="4828" priority="8063" operator="containsText" text="ACTIVO ">
      <formula>NOT(ISERROR(SEARCH("ACTIVO ",E331)))</formula>
    </cfRule>
  </conditionalFormatting>
  <conditionalFormatting sqref="E331:E337">
    <cfRule type="containsText" dxfId="4827" priority="8062" operator="containsText" text="REVISION">
      <formula>NOT(ISERROR(SEARCH("REVISION",E331)))</formula>
    </cfRule>
    <cfRule type="containsText" dxfId="4826" priority="8067" operator="containsText" text="ACTIVO">
      <formula>NOT(ISERROR(SEARCH("ACTIVO",E331)))</formula>
    </cfRule>
  </conditionalFormatting>
  <conditionalFormatting sqref="E338">
    <cfRule type="containsText" dxfId="4825" priority="8052" operator="containsText" text="INACTIVO">
      <formula>NOT(ISERROR(SEARCH("INACTIVO",E338)))</formula>
    </cfRule>
    <cfRule type="containsText" dxfId="4824" priority="8050" operator="containsText" text="REVISION">
      <formula>NOT(ISERROR(SEARCH("REVISION",E338)))</formula>
    </cfRule>
    <cfRule type="containsText" dxfId="4823" priority="8051" operator="containsText" text="BAJA">
      <formula>NOT(ISERROR(SEARCH("BAJA",E338)))</formula>
    </cfRule>
    <cfRule type="containsText" dxfId="4822" priority="8049" operator="containsText" text="ACTIVO ">
      <formula>NOT(ISERROR(SEARCH("ACTIVO ",E338)))</formula>
    </cfRule>
    <cfRule type="containsText" dxfId="4821" priority="8046" operator="containsText" text="ACTIVO">
      <formula>NOT(ISERROR(SEARCH("ACTIVO",E338)))</formula>
    </cfRule>
    <cfRule type="containsText" dxfId="4820" priority="8044" operator="containsText" text="REVISION">
      <formula>NOT(ISERROR(SEARCH("REVISION",E338)))</formula>
    </cfRule>
  </conditionalFormatting>
  <conditionalFormatting sqref="E338:E342">
    <cfRule type="containsText" dxfId="4819" priority="8048" operator="containsText" text="REVISION">
      <formula>NOT(ISERROR(SEARCH("REVISION",E338)))</formula>
    </cfRule>
  </conditionalFormatting>
  <conditionalFormatting sqref="E338:E390">
    <cfRule type="containsText" dxfId="4818" priority="8053" operator="containsText" text="ACTIVO">
      <formula>NOT(ISERROR(SEARCH("ACTIVO",E338)))</formula>
    </cfRule>
  </conditionalFormatting>
  <conditionalFormatting sqref="E339:E342">
    <cfRule type="containsText" dxfId="4817" priority="10105" operator="containsText" text="ACTIVO">
      <formula>NOT(ISERROR(SEARCH("ACTIVO",E339)))</formula>
    </cfRule>
    <cfRule type="containsText" dxfId="4816" priority="10103" operator="containsText" text="BAJA">
      <formula>NOT(ISERROR(SEARCH("BAJA",E339)))</formula>
    </cfRule>
    <cfRule type="containsText" dxfId="4815" priority="10104" operator="containsText" text="INACTIVO">
      <formula>NOT(ISERROR(SEARCH("INACTIVO",E339)))</formula>
    </cfRule>
  </conditionalFormatting>
  <conditionalFormatting sqref="E339:E390">
    <cfRule type="containsText" dxfId="4814" priority="10102" operator="containsText" text="REVISION">
      <formula>NOT(ISERROR(SEARCH("REVISION",E339)))</formula>
    </cfRule>
  </conditionalFormatting>
  <conditionalFormatting sqref="E343:E389">
    <cfRule type="containsText" dxfId="4813" priority="10184" operator="containsText" text="INACTIVO">
      <formula>NOT(ISERROR(SEARCH("INACTIVO",E343)))</formula>
    </cfRule>
    <cfRule type="containsText" dxfId="4812" priority="10185" operator="containsText" text="ACTIVO">
      <formula>NOT(ISERROR(SEARCH("ACTIVO",E343)))</formula>
    </cfRule>
  </conditionalFormatting>
  <conditionalFormatting sqref="E391">
    <cfRule type="containsText" dxfId="4811" priority="6070" operator="containsText" text="REVISION">
      <formula>NOT(ISERROR(SEARCH("REVISION",E391)))</formula>
    </cfRule>
    <cfRule type="containsText" dxfId="4810" priority="6066" operator="containsText" text="ACTIVO">
      <formula>NOT(ISERROR(SEARCH("ACTIVO",E391)))</formula>
    </cfRule>
    <cfRule type="containsText" dxfId="4809" priority="6071" operator="containsText" text="BAJA">
      <formula>NOT(ISERROR(SEARCH("BAJA",E391)))</formula>
    </cfRule>
    <cfRule type="containsText" dxfId="4808" priority="6072" operator="containsText" text="INACTIVO">
      <formula>NOT(ISERROR(SEARCH("INACTIVO",E391)))</formula>
    </cfRule>
    <cfRule type="containsText" dxfId="4807" priority="6069" operator="containsText" text="ACTIVO ">
      <formula>NOT(ISERROR(SEARCH("ACTIVO ",E391)))</formula>
    </cfRule>
  </conditionalFormatting>
  <conditionalFormatting sqref="E391:E398">
    <cfRule type="containsText" dxfId="4806" priority="6068" operator="containsText" text="REVISION">
      <formula>NOT(ISERROR(SEARCH("REVISION",E391)))</formula>
    </cfRule>
    <cfRule type="containsText" dxfId="4805" priority="6073" operator="containsText" text="ACTIVO">
      <formula>NOT(ISERROR(SEARCH("ACTIVO",E391)))</formula>
    </cfRule>
  </conditionalFormatting>
  <conditionalFormatting sqref="E392">
    <cfRule type="containsText" dxfId="4804" priority="10162" operator="containsText" text="REVISION">
      <formula>NOT(ISERROR(SEARCH("REVISION",E392)))</formula>
    </cfRule>
    <cfRule type="containsText" dxfId="4803" priority="10163" operator="containsText" text="BAJA">
      <formula>NOT(ISERROR(SEARCH("BAJA",E392)))</formula>
    </cfRule>
    <cfRule type="containsText" dxfId="4802" priority="10164" operator="containsText" text="INACTIVO">
      <formula>NOT(ISERROR(SEARCH("INACTIVO",E392)))</formula>
    </cfRule>
    <cfRule type="containsText" dxfId="4801" priority="10165" operator="containsText" text="ACTIVO">
      <formula>NOT(ISERROR(SEARCH("ACTIVO",E392)))</formula>
    </cfRule>
  </conditionalFormatting>
  <conditionalFormatting sqref="E392:E398">
    <cfRule type="containsText" dxfId="4800" priority="8687" operator="containsText" text="ACTIVO">
      <formula>NOT(ISERROR(SEARCH("ACTIVO",E392)))</formula>
    </cfRule>
  </conditionalFormatting>
  <conditionalFormatting sqref="E393">
    <cfRule type="containsText" dxfId="4799" priority="8685" operator="containsText" text="BAJA">
      <formula>NOT(ISERROR(SEARCH("BAJA",E393)))</formula>
    </cfRule>
    <cfRule type="containsText" dxfId="4798" priority="8684" operator="containsText" text="REVISION">
      <formula>NOT(ISERROR(SEARCH("REVISION",E393)))</formula>
    </cfRule>
    <cfRule type="containsText" dxfId="4797" priority="8688" operator="containsText" text="ACTIVO ">
      <formula>NOT(ISERROR(SEARCH("ACTIVO ",E393)))</formula>
    </cfRule>
    <cfRule type="containsText" dxfId="4796" priority="8683" operator="containsText" text="REVISION">
      <formula>NOT(ISERROR(SEARCH("REVISION",E393)))</formula>
    </cfRule>
    <cfRule type="containsText" dxfId="4795" priority="8686" operator="containsText" text="INACTIVO">
      <formula>NOT(ISERROR(SEARCH("INACTIVO",E393)))</formula>
    </cfRule>
  </conditionalFormatting>
  <conditionalFormatting sqref="E394:E398 E400:E401">
    <cfRule type="containsText" dxfId="4794" priority="10174" operator="containsText" text="INACTIVO">
      <formula>NOT(ISERROR(SEARCH("INACTIVO",E394)))</formula>
    </cfRule>
    <cfRule type="containsText" dxfId="4793" priority="10175" operator="containsText" text="ACTIVO">
      <formula>NOT(ISERROR(SEARCH("ACTIVO",E394)))</formula>
    </cfRule>
    <cfRule type="containsText" dxfId="4792" priority="10173" operator="containsText" text="BAJA">
      <formula>NOT(ISERROR(SEARCH("BAJA",E394)))</formula>
    </cfRule>
  </conditionalFormatting>
  <conditionalFormatting sqref="E394:E398">
    <cfRule type="containsText" dxfId="4791" priority="10172" operator="containsText" text="REVISION">
      <formula>NOT(ISERROR(SEARCH("REVISION",E394)))</formula>
    </cfRule>
  </conditionalFormatting>
  <conditionalFormatting sqref="E399">
    <cfRule type="containsText" dxfId="4790" priority="6048" operator="containsText" text="BAJA">
      <formula>NOT(ISERROR(SEARCH("BAJA",E399)))</formula>
    </cfRule>
    <cfRule type="containsText" dxfId="4789" priority="6049" operator="containsText" text="INACTIVO">
      <formula>NOT(ISERROR(SEARCH("INACTIVO",E399)))</formula>
    </cfRule>
    <cfRule type="containsText" dxfId="4788" priority="6047" operator="containsText" text="REVISION">
      <formula>NOT(ISERROR(SEARCH("REVISION",E399)))</formula>
    </cfRule>
    <cfRule type="containsText" dxfId="4787" priority="6046" operator="containsText" text="ACTIVO ">
      <formula>NOT(ISERROR(SEARCH("ACTIVO ",E399)))</formula>
    </cfRule>
    <cfRule type="containsText" dxfId="4786" priority="6043" operator="containsText" text="ACTIVO">
      <formula>NOT(ISERROR(SEARCH("ACTIVO",E399)))</formula>
    </cfRule>
  </conditionalFormatting>
  <conditionalFormatting sqref="E399:E418">
    <cfRule type="containsText" dxfId="4785" priority="6045" operator="containsText" text="REVISION">
      <formula>NOT(ISERROR(SEARCH("REVISION",E399)))</formula>
    </cfRule>
    <cfRule type="containsText" dxfId="4784" priority="6050" operator="containsText" text="ACTIVO">
      <formula>NOT(ISERROR(SEARCH("ACTIVO",E399)))</formula>
    </cfRule>
  </conditionalFormatting>
  <conditionalFormatting sqref="E400:E408">
    <cfRule type="containsText" dxfId="4783" priority="10152" operator="containsText" text="REVISION">
      <formula>NOT(ISERROR(SEARCH("REVISION",E400)))</formula>
    </cfRule>
  </conditionalFormatting>
  <conditionalFormatting sqref="E405:E408">
    <cfRule type="containsText" dxfId="4782" priority="10155" operator="containsText" text="ACTIVO">
      <formula>NOT(ISERROR(SEARCH("ACTIVO",E405)))</formula>
    </cfRule>
    <cfRule type="containsText" dxfId="4781" priority="10154" operator="containsText" text="INACTIVO">
      <formula>NOT(ISERROR(SEARCH("INACTIVO",E405)))</formula>
    </cfRule>
    <cfRule type="containsText" dxfId="4780" priority="10153" operator="containsText" text="BAJA">
      <formula>NOT(ISERROR(SEARCH("BAJA",E405)))</formula>
    </cfRule>
  </conditionalFormatting>
  <conditionalFormatting sqref="E419">
    <cfRule type="containsText" dxfId="4779" priority="6031" operator="containsText" text="ACTIVO ">
      <formula>NOT(ISERROR(SEARCH("ACTIVO ",E419)))</formula>
    </cfRule>
    <cfRule type="containsText" dxfId="4778" priority="6028" operator="containsText" text="ACTIVO">
      <formula>NOT(ISERROR(SEARCH("ACTIVO",E419)))</formula>
    </cfRule>
    <cfRule type="containsText" dxfId="4777" priority="6032" operator="containsText" text="REVISION">
      <formula>NOT(ISERROR(SEARCH("REVISION",E419)))</formula>
    </cfRule>
    <cfRule type="containsText" dxfId="4776" priority="6033" operator="containsText" text="BAJA">
      <formula>NOT(ISERROR(SEARCH("BAJA",E419)))</formula>
    </cfRule>
    <cfRule type="containsText" dxfId="4775" priority="6034" operator="containsText" text="INACTIVO">
      <formula>NOT(ISERROR(SEARCH("INACTIVO",E419)))</formula>
    </cfRule>
  </conditionalFormatting>
  <conditionalFormatting sqref="E419:E423">
    <cfRule type="containsText" dxfId="4774" priority="6030" operator="containsText" text="REVISION">
      <formula>NOT(ISERROR(SEARCH("REVISION",E419)))</formula>
    </cfRule>
    <cfRule type="containsText" dxfId="4773" priority="6035" operator="containsText" text="ACTIVO">
      <formula>NOT(ISERROR(SEARCH("ACTIVO",E419)))</formula>
    </cfRule>
  </conditionalFormatting>
  <conditionalFormatting sqref="E420:E423">
    <cfRule type="containsText" dxfId="4772" priority="10133" operator="containsText" text="BAJA">
      <formula>NOT(ISERROR(SEARCH("BAJA",E420)))</formula>
    </cfRule>
    <cfRule type="containsText" dxfId="4771" priority="10132" operator="containsText" text="REVISION">
      <formula>NOT(ISERROR(SEARCH("REVISION",E420)))</formula>
    </cfRule>
    <cfRule type="containsText" dxfId="4770" priority="10135" operator="containsText" text="ACTIVO">
      <formula>NOT(ISERROR(SEARCH("ACTIVO",E420)))</formula>
    </cfRule>
    <cfRule type="containsText" dxfId="4769" priority="10134" operator="containsText" text="INACTIVO">
      <formula>NOT(ISERROR(SEARCH("INACTIVO",E420)))</formula>
    </cfRule>
  </conditionalFormatting>
  <conditionalFormatting sqref="E424">
    <cfRule type="containsText" dxfId="4768" priority="6003" operator="containsText" text="BAJA">
      <formula>NOT(ISERROR(SEARCH("BAJA",E424)))</formula>
    </cfRule>
    <cfRule type="containsText" dxfId="4767" priority="6002" operator="containsText" text="REVISION">
      <formula>NOT(ISERROR(SEARCH("REVISION",E424)))</formula>
    </cfRule>
    <cfRule type="containsText" dxfId="4766" priority="5998" operator="containsText" text="ACTIVO">
      <formula>NOT(ISERROR(SEARCH("ACTIVO",E424)))</formula>
    </cfRule>
    <cfRule type="containsText" dxfId="4765" priority="6001" operator="containsText" text="ACTIVO ">
      <formula>NOT(ISERROR(SEARCH("ACTIVO ",E424)))</formula>
    </cfRule>
    <cfRule type="containsText" dxfId="4764" priority="6004" operator="containsText" text="INACTIVO">
      <formula>NOT(ISERROR(SEARCH("INACTIVO",E424)))</formula>
    </cfRule>
  </conditionalFormatting>
  <conditionalFormatting sqref="E424:E432">
    <cfRule type="containsText" dxfId="4763" priority="6000" operator="containsText" text="REVISION">
      <formula>NOT(ISERROR(SEARCH("REVISION",E424)))</formula>
    </cfRule>
    <cfRule type="containsText" dxfId="4762" priority="6005" operator="containsText" text="ACTIVO">
      <formula>NOT(ISERROR(SEARCH("ACTIVO",E424)))</formula>
    </cfRule>
  </conditionalFormatting>
  <conditionalFormatting sqref="E425:E432">
    <cfRule type="containsText" dxfId="4761" priority="10112" operator="containsText" text="REVISION">
      <formula>NOT(ISERROR(SEARCH("REVISION",E425)))</formula>
    </cfRule>
  </conditionalFormatting>
  <conditionalFormatting sqref="E428">
    <cfRule type="containsText" dxfId="4760" priority="10125" operator="containsText" text="ACTIVO">
      <formula>NOT(ISERROR(SEARCH("ACTIVO",E428)))</formula>
    </cfRule>
    <cfRule type="containsText" dxfId="4759" priority="10124" operator="containsText" text="INACTIVO">
      <formula>NOT(ISERROR(SEARCH("INACTIVO",E428)))</formula>
    </cfRule>
  </conditionalFormatting>
  <conditionalFormatting sqref="E429:E432">
    <cfRule type="containsText" dxfId="4758" priority="10115" operator="containsText" text="ACTIVO">
      <formula>NOT(ISERROR(SEARCH("ACTIVO",E429)))</formula>
    </cfRule>
    <cfRule type="containsText" dxfId="4757" priority="10114" operator="containsText" text="INACTIVO">
      <formula>NOT(ISERROR(SEARCH("INACTIVO",E429)))</formula>
    </cfRule>
    <cfRule type="containsText" dxfId="4756" priority="10113" operator="containsText" text="BAJA">
      <formula>NOT(ISERROR(SEARCH("BAJA",E429)))</formula>
    </cfRule>
  </conditionalFormatting>
  <conditionalFormatting sqref="E433">
    <cfRule type="containsText" dxfId="4755" priority="5992" operator="containsText" text="BAJA">
      <formula>NOT(ISERROR(SEARCH("BAJA",E433)))</formula>
    </cfRule>
    <cfRule type="containsText" dxfId="4754" priority="5993" operator="containsText" text="INACTIVO">
      <formula>NOT(ISERROR(SEARCH("INACTIVO",E433)))</formula>
    </cfRule>
    <cfRule type="containsText" dxfId="4753" priority="5994" operator="containsText" text="ACTIVO">
      <formula>NOT(ISERROR(SEARCH("ACTIVO",E433)))</formula>
    </cfRule>
    <cfRule type="containsText" dxfId="4752" priority="5991" operator="containsText" text="REVISION">
      <formula>NOT(ISERROR(SEARCH("REVISION",E433)))</formula>
    </cfRule>
    <cfRule type="containsText" dxfId="4751" priority="5990" operator="containsText" text="ACTIVO ">
      <formula>NOT(ISERROR(SEARCH("ACTIVO ",E433)))</formula>
    </cfRule>
    <cfRule type="containsText" dxfId="4750" priority="5989" operator="containsText" text="REVISION">
      <formula>NOT(ISERROR(SEARCH("REVISION",E433)))</formula>
    </cfRule>
  </conditionalFormatting>
  <conditionalFormatting sqref="E433:E459">
    <cfRule type="containsText" dxfId="4749" priority="5978" operator="containsText" text="ACTIVO">
      <formula>NOT(ISERROR(SEARCH("ACTIVO",E433)))</formula>
    </cfRule>
  </conditionalFormatting>
  <conditionalFormatting sqref="E434">
    <cfRule type="containsText" dxfId="4748" priority="5977" operator="containsText" text="INACTIVO">
      <formula>NOT(ISERROR(SEARCH("INACTIVO",E434)))</formula>
    </cfRule>
    <cfRule type="containsText" dxfId="4747" priority="5975" operator="containsText" text="REVISION">
      <formula>NOT(ISERROR(SEARCH("REVISION",E434)))</formula>
    </cfRule>
    <cfRule type="containsText" dxfId="4746" priority="5974" operator="containsText" text="ACTIVO ">
      <formula>NOT(ISERROR(SEARCH("ACTIVO ",E434)))</formula>
    </cfRule>
    <cfRule type="containsText" dxfId="4745" priority="5971" operator="containsText" text="ACTIVO">
      <formula>NOT(ISERROR(SEARCH("ACTIVO",E434)))</formula>
    </cfRule>
    <cfRule type="containsText" dxfId="4744" priority="5976" operator="containsText" text="BAJA">
      <formula>NOT(ISERROR(SEARCH("BAJA",E434)))</formula>
    </cfRule>
  </conditionalFormatting>
  <conditionalFormatting sqref="E434:E459">
    <cfRule type="containsText" dxfId="4743" priority="5973" operator="containsText" text="REVISION">
      <formula>NOT(ISERROR(SEARCH("REVISION",E434)))</formula>
    </cfRule>
  </conditionalFormatting>
  <conditionalFormatting sqref="E435:E438">
    <cfRule type="containsText" dxfId="4742" priority="10079" operator="containsText" text="BAJA">
      <formula>NOT(ISERROR(SEARCH("BAJA",E435)))</formula>
    </cfRule>
    <cfRule type="containsText" dxfId="4741" priority="10081" operator="containsText" text="ACTIVO">
      <formula>NOT(ISERROR(SEARCH("ACTIVO",E435)))</formula>
    </cfRule>
    <cfRule type="containsText" dxfId="4740" priority="10080" operator="containsText" text="INACTIVO">
      <formula>NOT(ISERROR(SEARCH("INACTIVO",E435)))</formula>
    </cfRule>
    <cfRule type="containsText" dxfId="4739" priority="10078" operator="containsText" text="REVISION">
      <formula>NOT(ISERROR(SEARCH("REVISION",E435)))</formula>
    </cfRule>
  </conditionalFormatting>
  <conditionalFormatting sqref="E435:E457">
    <cfRule type="containsText" dxfId="4738" priority="8678" operator="containsText" text="ACTIVO">
      <formula>NOT(ISERROR(SEARCH("ACTIVO",E435)))</formula>
    </cfRule>
  </conditionalFormatting>
  <conditionalFormatting sqref="E439">
    <cfRule type="containsText" dxfId="4737" priority="8675" operator="containsText" text="REVISION">
      <formula>NOT(ISERROR(SEARCH("REVISION",E439)))</formula>
    </cfRule>
    <cfRule type="containsText" dxfId="4736" priority="8679" operator="containsText" text="ACTIVO ">
      <formula>NOT(ISERROR(SEARCH("ACTIVO ",E439)))</formula>
    </cfRule>
    <cfRule type="containsText" dxfId="4735" priority="8676" operator="containsText" text="BAJA">
      <formula>NOT(ISERROR(SEARCH("BAJA",E439)))</formula>
    </cfRule>
    <cfRule type="containsText" dxfId="4734" priority="8674" operator="containsText" text="REVISION">
      <formula>NOT(ISERROR(SEARCH("REVISION",E439)))</formula>
    </cfRule>
    <cfRule type="containsText" dxfId="4733" priority="8677" operator="containsText" text="INACTIVO">
      <formula>NOT(ISERROR(SEARCH("INACTIVO",E439)))</formula>
    </cfRule>
  </conditionalFormatting>
  <conditionalFormatting sqref="E440:E457">
    <cfRule type="containsText" dxfId="4732" priority="10063" operator="containsText" text="REVISION">
      <formula>NOT(ISERROR(SEARCH("REVISION",E440)))</formula>
    </cfRule>
    <cfRule type="containsText" dxfId="4731" priority="10064" operator="containsText" text="BAJA">
      <formula>NOT(ISERROR(SEARCH("BAJA",E440)))</formula>
    </cfRule>
    <cfRule type="containsText" dxfId="4730" priority="10065" operator="containsText" text="INACTIVO">
      <formula>NOT(ISERROR(SEARCH("INACTIVO",E440)))</formula>
    </cfRule>
    <cfRule type="containsText" dxfId="4729" priority="10066" operator="containsText" text="ACTIVO">
      <formula>NOT(ISERROR(SEARCH("ACTIVO",E440)))</formula>
    </cfRule>
  </conditionalFormatting>
  <conditionalFormatting sqref="E458">
    <cfRule type="containsText" dxfId="4728" priority="8663" operator="containsText" text="INACTIVO">
      <formula>NOT(ISERROR(SEARCH("INACTIVO",E458)))</formula>
    </cfRule>
    <cfRule type="containsText" dxfId="4727" priority="8665" operator="containsText" text="ACTIVO ">
      <formula>NOT(ISERROR(SEARCH("ACTIVO ",E458)))</formula>
    </cfRule>
    <cfRule type="containsText" dxfId="4726" priority="8662" operator="containsText" text="BAJA">
      <formula>NOT(ISERROR(SEARCH("BAJA",E458)))</formula>
    </cfRule>
    <cfRule type="containsText" dxfId="4725" priority="8660" operator="containsText" text="REVISION">
      <formula>NOT(ISERROR(SEARCH("REVISION",E458)))</formula>
    </cfRule>
    <cfRule type="containsText" dxfId="4724" priority="8661" operator="containsText" text="REVISION">
      <formula>NOT(ISERROR(SEARCH("REVISION",E458)))</formula>
    </cfRule>
  </conditionalFormatting>
  <conditionalFormatting sqref="E458:E459">
    <cfRule type="containsText" dxfId="4723" priority="8664" operator="containsText" text="ACTIVO">
      <formula>NOT(ISERROR(SEARCH("ACTIVO",E458)))</formula>
    </cfRule>
  </conditionalFormatting>
  <conditionalFormatting sqref="E460">
    <cfRule type="containsText" dxfId="4722" priority="5958" operator="containsText" text="ACTIVO ">
      <formula>NOT(ISERROR(SEARCH("ACTIVO ",E460)))</formula>
    </cfRule>
    <cfRule type="containsText" dxfId="4721" priority="5960" operator="containsText" text="BAJA">
      <formula>NOT(ISERROR(SEARCH("BAJA",E460)))</formula>
    </cfRule>
    <cfRule type="containsText" dxfId="4720" priority="5959" operator="containsText" text="REVISION">
      <formula>NOT(ISERROR(SEARCH("REVISION",E460)))</formula>
    </cfRule>
    <cfRule type="containsText" dxfId="4719" priority="5961" operator="containsText" text="INACTIVO">
      <formula>NOT(ISERROR(SEARCH("INACTIVO",E460)))</formula>
    </cfRule>
    <cfRule type="containsText" dxfId="4718" priority="5955" operator="containsText" text="ACTIVO">
      <formula>NOT(ISERROR(SEARCH("ACTIVO",E460)))</formula>
    </cfRule>
  </conditionalFormatting>
  <conditionalFormatting sqref="E460:E461">
    <cfRule type="containsText" dxfId="4717" priority="5957" operator="containsText" text="REVISION">
      <formula>NOT(ISERROR(SEARCH("REVISION",E460)))</formula>
    </cfRule>
    <cfRule type="containsText" dxfId="4716" priority="5962" operator="containsText" text="ACTIVO">
      <formula>NOT(ISERROR(SEARCH("ACTIVO",E460)))</formula>
    </cfRule>
  </conditionalFormatting>
  <conditionalFormatting sqref="E461">
    <cfRule type="containsText" dxfId="4715" priority="10053" operator="containsText" text="REVISION">
      <formula>NOT(ISERROR(SEARCH("REVISION",E461)))</formula>
    </cfRule>
    <cfRule type="containsText" dxfId="4714" priority="10054" operator="containsText" text="BAJA">
      <formula>NOT(ISERROR(SEARCH("BAJA",E461)))</formula>
    </cfRule>
    <cfRule type="containsText" dxfId="4713" priority="10055" operator="containsText" text="INACTIVO">
      <formula>NOT(ISERROR(SEARCH("INACTIVO",E461)))</formula>
    </cfRule>
    <cfRule type="containsText" dxfId="4712" priority="10056" operator="containsText" text="ACTIVO">
      <formula>NOT(ISERROR(SEARCH("ACTIVO",E461)))</formula>
    </cfRule>
  </conditionalFormatting>
  <conditionalFormatting sqref="E462">
    <cfRule type="containsText" dxfId="4711" priority="5944" operator="containsText" text="ACTIVO">
      <formula>NOT(ISERROR(SEARCH("ACTIVO",E462)))</formula>
    </cfRule>
    <cfRule type="containsText" dxfId="4710" priority="5947" operator="containsText" text="ACTIVO ">
      <formula>NOT(ISERROR(SEARCH("ACTIVO ",E462)))</formula>
    </cfRule>
    <cfRule type="containsText" dxfId="4709" priority="5948" operator="containsText" text="REVISION">
      <formula>NOT(ISERROR(SEARCH("REVISION",E462)))</formula>
    </cfRule>
    <cfRule type="containsText" dxfId="4708" priority="5950" operator="containsText" text="INACTIVO">
      <formula>NOT(ISERROR(SEARCH("INACTIVO",E462)))</formula>
    </cfRule>
    <cfRule type="containsText" dxfId="4707" priority="5949" operator="containsText" text="BAJA">
      <formula>NOT(ISERROR(SEARCH("BAJA",E462)))</formula>
    </cfRule>
  </conditionalFormatting>
  <conditionalFormatting sqref="E462:E469">
    <cfRule type="containsText" dxfId="4706" priority="5946" operator="containsText" text="REVISION">
      <formula>NOT(ISERROR(SEARCH("REVISION",E462)))</formula>
    </cfRule>
    <cfRule type="containsText" dxfId="4705" priority="5951" operator="containsText" text="ACTIVO">
      <formula>NOT(ISERROR(SEARCH("ACTIVO",E462)))</formula>
    </cfRule>
  </conditionalFormatting>
  <conditionalFormatting sqref="E463:E469">
    <cfRule type="containsText" dxfId="4704" priority="10043" operator="containsText" text="REVISION">
      <formula>NOT(ISERROR(SEARCH("REVISION",E463)))</formula>
    </cfRule>
    <cfRule type="containsText" dxfId="4703" priority="10044" operator="containsText" text="BAJA">
      <formula>NOT(ISERROR(SEARCH("BAJA",E463)))</formula>
    </cfRule>
    <cfRule type="containsText" dxfId="4702" priority="10045" operator="containsText" text="INACTIVO">
      <formula>NOT(ISERROR(SEARCH("INACTIVO",E463)))</formula>
    </cfRule>
    <cfRule type="containsText" dxfId="4701" priority="10046" operator="containsText" text="ACTIVO">
      <formula>NOT(ISERROR(SEARCH("ACTIVO",E463)))</formula>
    </cfRule>
  </conditionalFormatting>
  <conditionalFormatting sqref="E464">
    <cfRule type="containsText" dxfId="4700" priority="9767" operator="containsText" text="ACTIVO">
      <formula>NOT(ISERROR(SEARCH("ACTIVO",E464)))</formula>
    </cfRule>
    <cfRule type="containsText" dxfId="4699" priority="9765" operator="containsText" text="BAJA">
      <formula>NOT(ISERROR(SEARCH("BAJA",E464)))</formula>
    </cfRule>
    <cfRule type="containsText" dxfId="4698" priority="9766" operator="containsText" text="INACTIVO">
      <formula>NOT(ISERROR(SEARCH("INACTIVO",E464)))</formula>
    </cfRule>
    <cfRule type="containsText" dxfId="4697" priority="9764" operator="containsText" text="REVISION">
      <formula>NOT(ISERROR(SEARCH("REVISION",E464)))</formula>
    </cfRule>
  </conditionalFormatting>
  <conditionalFormatting sqref="E470">
    <cfRule type="containsText" dxfId="4696" priority="5914" operator="containsText" text="REVISION">
      <formula>NOT(ISERROR(SEARCH("REVISION",E470)))</formula>
    </cfRule>
    <cfRule type="containsText" dxfId="4695" priority="5915" operator="containsText" text="BAJA">
      <formula>NOT(ISERROR(SEARCH("BAJA",E470)))</formula>
    </cfRule>
    <cfRule type="containsText" dxfId="4694" priority="5916" operator="containsText" text="INACTIVO">
      <formula>NOT(ISERROR(SEARCH("INACTIVO",E470)))</formula>
    </cfRule>
    <cfRule type="containsText" dxfId="4693" priority="5913" operator="containsText" text="ACTIVO ">
      <formula>NOT(ISERROR(SEARCH("ACTIVO ",E470)))</formula>
    </cfRule>
    <cfRule type="containsText" dxfId="4692" priority="5910" operator="containsText" text="ACTIVO">
      <formula>NOT(ISERROR(SEARCH("ACTIVO",E470)))</formula>
    </cfRule>
  </conditionalFormatting>
  <conditionalFormatting sqref="E470:E480">
    <cfRule type="containsText" dxfId="4691" priority="5912" operator="containsText" text="REVISION">
      <formula>NOT(ISERROR(SEARCH("REVISION",E470)))</formula>
    </cfRule>
  </conditionalFormatting>
  <conditionalFormatting sqref="E470:E486">
    <cfRule type="containsText" dxfId="4690" priority="5917" operator="containsText" text="ACTIVO">
      <formula>NOT(ISERROR(SEARCH("ACTIVO",E470)))</formula>
    </cfRule>
  </conditionalFormatting>
  <conditionalFormatting sqref="E472:E479">
    <cfRule type="containsText" dxfId="4689" priority="10000" operator="containsText" text="BAJA">
      <formula>NOT(ISERROR(SEARCH("BAJA",E472)))</formula>
    </cfRule>
    <cfRule type="containsText" dxfId="4688" priority="10001" operator="containsText" text="INACTIVO">
      <formula>NOT(ISERROR(SEARCH("INACTIVO",E472)))</formula>
    </cfRule>
    <cfRule type="containsText" dxfId="4687" priority="10002" operator="containsText" text="ACTIVO">
      <formula>NOT(ISERROR(SEARCH("ACTIVO",E472)))</formula>
    </cfRule>
  </conditionalFormatting>
  <conditionalFormatting sqref="E472:E486">
    <cfRule type="containsText" dxfId="4686" priority="9995" operator="containsText" text="REVISION">
      <formula>NOT(ISERROR(SEARCH("REVISION",E472)))</formula>
    </cfRule>
  </conditionalFormatting>
  <conditionalFormatting sqref="E482:E513">
    <cfRule type="containsText" dxfId="4685" priority="5901" operator="containsText" text="REVISION">
      <formula>NOT(ISERROR(SEARCH("REVISION",E482)))</formula>
    </cfRule>
  </conditionalFormatting>
  <conditionalFormatting sqref="E486">
    <cfRule type="containsText" dxfId="4684" priority="9998" operator="containsText" text="ACTIVO">
      <formula>NOT(ISERROR(SEARCH("ACTIVO",E486)))</formula>
    </cfRule>
    <cfRule type="containsText" dxfId="4683" priority="9997" operator="containsText" text="INACTIVO">
      <formula>NOT(ISERROR(SEARCH("INACTIVO",E486)))</formula>
    </cfRule>
    <cfRule type="containsText" dxfId="4682" priority="9996" operator="containsText" text="BAJA">
      <formula>NOT(ISERROR(SEARCH("BAJA",E486)))</formula>
    </cfRule>
  </conditionalFormatting>
  <conditionalFormatting sqref="E487">
    <cfRule type="containsText" dxfId="4681" priority="5899" operator="containsText" text="ACTIVO">
      <formula>NOT(ISERROR(SEARCH("ACTIVO",E487)))</formula>
    </cfRule>
    <cfRule type="containsText" dxfId="4680" priority="5902" operator="containsText" text="ACTIVO ">
      <formula>NOT(ISERROR(SEARCH("ACTIVO ",E487)))</formula>
    </cfRule>
    <cfRule type="containsText" dxfId="4679" priority="5903" operator="containsText" text="REVISION">
      <formula>NOT(ISERROR(SEARCH("REVISION",E487)))</formula>
    </cfRule>
    <cfRule type="containsText" dxfId="4678" priority="5904" operator="containsText" text="BAJA">
      <formula>NOT(ISERROR(SEARCH("BAJA",E487)))</formula>
    </cfRule>
    <cfRule type="containsText" dxfId="4677" priority="5905" operator="containsText" text="INACTIVO">
      <formula>NOT(ISERROR(SEARCH("INACTIVO",E487)))</formula>
    </cfRule>
  </conditionalFormatting>
  <conditionalFormatting sqref="E487:E513">
    <cfRule type="containsText" dxfId="4676" priority="5906" operator="containsText" text="ACTIVO">
      <formula>NOT(ISERROR(SEARCH("ACTIVO",E487)))</formula>
    </cfRule>
  </conditionalFormatting>
  <conditionalFormatting sqref="E488:E492">
    <cfRule type="containsText" dxfId="4675" priority="9976" operator="containsText" text="BAJA">
      <formula>NOT(ISERROR(SEARCH("BAJA",E488)))</formula>
    </cfRule>
  </conditionalFormatting>
  <conditionalFormatting sqref="E488:E493">
    <cfRule type="containsText" dxfId="4674" priority="9977" operator="containsText" text="INACTIVO">
      <formula>NOT(ISERROR(SEARCH("INACTIVO",E488)))</formula>
    </cfRule>
    <cfRule type="containsText" dxfId="4673" priority="9978" operator="containsText" text="ACTIVO">
      <formula>NOT(ISERROR(SEARCH("ACTIVO",E488)))</formula>
    </cfRule>
  </conditionalFormatting>
  <conditionalFormatting sqref="E488:E513">
    <cfRule type="containsText" dxfId="4672" priority="9920" operator="containsText" text="REVISION">
      <formula>NOT(ISERROR(SEARCH("REVISION",E488)))</formula>
    </cfRule>
  </conditionalFormatting>
  <conditionalFormatting sqref="E494:E511">
    <cfRule type="containsText" dxfId="4671" priority="9937" operator="containsText" text="INACTIVO">
      <formula>NOT(ISERROR(SEARCH("INACTIVO",E494)))</formula>
    </cfRule>
    <cfRule type="containsText" dxfId="4670" priority="9938" operator="containsText" text="ACTIVO">
      <formula>NOT(ISERROR(SEARCH("ACTIVO",E494)))</formula>
    </cfRule>
  </conditionalFormatting>
  <conditionalFormatting sqref="E512:E513">
    <cfRule type="containsText" dxfId="4669" priority="9921" operator="containsText" text="BAJA">
      <formula>NOT(ISERROR(SEARCH("BAJA",E512)))</formula>
    </cfRule>
    <cfRule type="containsText" dxfId="4668" priority="9922" operator="containsText" text="INACTIVO">
      <formula>NOT(ISERROR(SEARCH("INACTIVO",E512)))</formula>
    </cfRule>
    <cfRule type="containsText" dxfId="4667" priority="9923" operator="containsText" text="ACTIVO">
      <formula>NOT(ISERROR(SEARCH("ACTIVO",E512)))</formula>
    </cfRule>
  </conditionalFormatting>
  <conditionalFormatting sqref="E514">
    <cfRule type="containsText" dxfId="4666" priority="5891" operator="containsText" text="ACTIVO ">
      <formula>NOT(ISERROR(SEARCH("ACTIVO ",E514)))</formula>
    </cfRule>
    <cfRule type="containsText" dxfId="4665" priority="5892" operator="containsText" text="REVISION">
      <formula>NOT(ISERROR(SEARCH("REVISION",E514)))</formula>
    </cfRule>
    <cfRule type="containsText" dxfId="4664" priority="5893" operator="containsText" text="BAJA">
      <formula>NOT(ISERROR(SEARCH("BAJA",E514)))</formula>
    </cfRule>
    <cfRule type="containsText" dxfId="4663" priority="5894" operator="containsText" text="INACTIVO">
      <formula>NOT(ISERROR(SEARCH("INACTIVO",E514)))</formula>
    </cfRule>
    <cfRule type="containsText" dxfId="4662" priority="5888" operator="containsText" text="ACTIVO">
      <formula>NOT(ISERROR(SEARCH("ACTIVO",E514)))</formula>
    </cfRule>
  </conditionalFormatting>
  <conditionalFormatting sqref="E514:E549">
    <cfRule type="containsText" dxfId="4661" priority="5890" operator="containsText" text="REVISION">
      <formula>NOT(ISERROR(SEARCH("REVISION",E514)))</formula>
    </cfRule>
    <cfRule type="containsText" dxfId="4660" priority="5895" operator="containsText" text="ACTIVO">
      <formula>NOT(ISERROR(SEARCH("ACTIVO",E514)))</formula>
    </cfRule>
  </conditionalFormatting>
  <conditionalFormatting sqref="E515:E528">
    <cfRule type="containsText" dxfId="4659" priority="9888" operator="containsText" text="BAJA">
      <formula>NOT(ISERROR(SEARCH("BAJA",E515)))</formula>
    </cfRule>
    <cfRule type="containsText" dxfId="4658" priority="9889" operator="containsText" text="INACTIVO">
      <formula>NOT(ISERROR(SEARCH("INACTIVO",E515)))</formula>
    </cfRule>
    <cfRule type="containsText" dxfId="4657" priority="9890" operator="containsText" text="ACTIVO">
      <formula>NOT(ISERROR(SEARCH("ACTIVO",E515)))</formula>
    </cfRule>
  </conditionalFormatting>
  <conditionalFormatting sqref="E515:E549 E551:E554">
    <cfRule type="containsText" dxfId="4656" priority="9858" operator="containsText" text="REVISION">
      <formula>NOT(ISERROR(SEARCH("REVISION",E515)))</formula>
    </cfRule>
  </conditionalFormatting>
  <conditionalFormatting sqref="E529">
    <cfRule type="containsText" dxfId="4655" priority="9885" operator="containsText" text="INACTIVO">
      <formula>NOT(ISERROR(SEARCH("INACTIVO",E529)))</formula>
    </cfRule>
    <cfRule type="containsText" dxfId="4654" priority="9886" operator="containsText" text="ACTIVO">
      <formula>NOT(ISERROR(SEARCH("ACTIVO",E529)))</formula>
    </cfRule>
  </conditionalFormatting>
  <conditionalFormatting sqref="E530:E549 E551:E554">
    <cfRule type="containsText" dxfId="4653" priority="9860" operator="containsText" text="INACTIVO">
      <formula>NOT(ISERROR(SEARCH("INACTIVO",E530)))</formula>
    </cfRule>
    <cfRule type="containsText" dxfId="4652" priority="9859" operator="containsText" text="BAJA">
      <formula>NOT(ISERROR(SEARCH("BAJA",E530)))</formula>
    </cfRule>
    <cfRule type="containsText" dxfId="4651" priority="9861" operator="containsText" text="ACTIVO">
      <formula>NOT(ISERROR(SEARCH("ACTIVO",E530)))</formula>
    </cfRule>
  </conditionalFormatting>
  <conditionalFormatting sqref="E550">
    <cfRule type="containsText" dxfId="4650" priority="4528" operator="containsText" text="INACTIVO">
      <formula>NOT(ISERROR(SEARCH("INACTIVO",E550)))</formula>
    </cfRule>
    <cfRule type="containsText" dxfId="4649" priority="4522" operator="containsText" text="ACTIVO">
      <formula>NOT(ISERROR(SEARCH("ACTIVO",E550)))</formula>
    </cfRule>
    <cfRule type="containsText" dxfId="4648" priority="4524" operator="containsText" text="REVISION">
      <formula>NOT(ISERROR(SEARCH("REVISION",E550)))</formula>
    </cfRule>
    <cfRule type="containsText" dxfId="4647" priority="4525" operator="containsText" text="ACTIVO ">
      <formula>NOT(ISERROR(SEARCH("ACTIVO ",E550)))</formula>
    </cfRule>
    <cfRule type="containsText" dxfId="4646" priority="4526" operator="containsText" text="REVISION">
      <formula>NOT(ISERROR(SEARCH("REVISION",E550)))</formula>
    </cfRule>
    <cfRule type="containsText" dxfId="4645" priority="4527" operator="containsText" text="BAJA">
      <formula>NOT(ISERROR(SEARCH("BAJA",E550)))</formula>
    </cfRule>
    <cfRule type="containsText" dxfId="4644" priority="4529" operator="containsText" text="ACTIVO">
      <formula>NOT(ISERROR(SEARCH("ACTIVO",E550)))</formula>
    </cfRule>
  </conditionalFormatting>
  <conditionalFormatting sqref="E551:E584">
    <cfRule type="containsText" dxfId="4643" priority="8654" operator="containsText" text="ACTIVO">
      <formula>NOT(ISERROR(SEARCH("ACTIVO",E551)))</formula>
    </cfRule>
  </conditionalFormatting>
  <conditionalFormatting sqref="E551:E610">
    <cfRule type="containsText" dxfId="4642" priority="5884" operator="containsText" text="ACTIVO">
      <formula>NOT(ISERROR(SEARCH("ACTIVO",E551)))</formula>
    </cfRule>
  </conditionalFormatting>
  <conditionalFormatting sqref="E551:E700">
    <cfRule type="containsText" dxfId="4641" priority="5879" operator="containsText" text="REVISION">
      <formula>NOT(ISERROR(SEARCH("REVISION",E551)))</formula>
    </cfRule>
  </conditionalFormatting>
  <conditionalFormatting sqref="E559">
    <cfRule type="containsText" dxfId="4640" priority="8653" operator="containsText" text="INACTIVO">
      <formula>NOT(ISERROR(SEARCH("INACTIVO",E559)))</formula>
    </cfRule>
    <cfRule type="containsText" dxfId="4639" priority="8652" operator="containsText" text="BAJA">
      <formula>NOT(ISERROR(SEARCH("BAJA",E559)))</formula>
    </cfRule>
    <cfRule type="containsText" dxfId="4638" priority="8650" operator="containsText" text="REVISION">
      <formula>NOT(ISERROR(SEARCH("REVISION",E559)))</formula>
    </cfRule>
    <cfRule type="containsText" dxfId="4637" priority="8655" operator="containsText" text="ACTIVO ">
      <formula>NOT(ISERROR(SEARCH("ACTIVO ",E559)))</formula>
    </cfRule>
    <cfRule type="containsText" dxfId="4636" priority="8651" operator="containsText" text="REVISION">
      <formula>NOT(ISERROR(SEARCH("REVISION",E559)))</formula>
    </cfRule>
  </conditionalFormatting>
  <conditionalFormatting sqref="E560:E576 E234:E236 E47 E463:E469 E1:E3 E5 E7:E8 E10:E14 E16:E39 E41 E44:E45 E49 E51:E60 E63 E65 E67:E73 E75:E76 E80 E87:E88 E90:E91 E94:E97 E100 E102:E109 E112 E115:E118 E120:E121 E123:E125 E128:E151 E153:E155 E157:E159 E161:E162 E164 E166:E177 E179:E202 E204:E213 E215 E217:E218 E220:E228 E230:E231 E238:E257 E259:E266 E268 E270:E283 E287:E296 E298:E305 E307 E310:E315 E317:E319 E321:E324 E329:E330 E332:E337 E339:E390 E392 E394:E398 E400:E408 E411:E415 E417 E420:E423 E425:E432 E435:E438 E440:E457 E459 E461 E472:E486 E488:E513 E515:E549 E551:E558 E808:E812 E908:E910 E1158 E1292:E1293">
    <cfRule type="containsText" dxfId="4635" priority="9844" operator="containsText" text="ACTIVO ">
      <formula>NOT(ISERROR(SEARCH("ACTIVO ",E1)))</formula>
    </cfRule>
  </conditionalFormatting>
  <conditionalFormatting sqref="E565">
    <cfRule type="containsText" dxfId="4634" priority="9837" operator="containsText" text="ACTIVO">
      <formula>NOT(ISERROR(SEARCH("ACTIVO",E565)))</formula>
    </cfRule>
    <cfRule type="containsText" dxfId="4633" priority="9836" operator="containsText" text="INACTIVO">
      <formula>NOT(ISERROR(SEARCH("INACTIVO",E565)))</formula>
    </cfRule>
    <cfRule type="containsText" dxfId="4632" priority="9834" operator="containsText" text="REVISION">
      <formula>NOT(ISERROR(SEARCH("REVISION",E565)))</formula>
    </cfRule>
    <cfRule type="containsText" dxfId="4631" priority="9835" operator="containsText" text="BAJA">
      <formula>NOT(ISERROR(SEARCH("BAJA",E565)))</formula>
    </cfRule>
  </conditionalFormatting>
  <conditionalFormatting sqref="E577:E584">
    <cfRule type="containsText" dxfId="4630" priority="9782" operator="containsText" text="ACTIVO ">
      <formula>NOT(ISERROR(SEARCH("ACTIVO ",E577)))</formula>
    </cfRule>
  </conditionalFormatting>
  <conditionalFormatting sqref="E584">
    <cfRule type="containsText" dxfId="4629" priority="9780" operator="containsText" text="INACTIVO">
      <formula>NOT(ISERROR(SEARCH("INACTIVO",E584)))</formula>
    </cfRule>
    <cfRule type="containsText" dxfId="4628" priority="9779" operator="containsText" text="BAJA">
      <formula>NOT(ISERROR(SEARCH("BAJA",E584)))</formula>
    </cfRule>
    <cfRule type="containsText" dxfId="4627" priority="9778" operator="containsText" text="REVISION">
      <formula>NOT(ISERROR(SEARCH("REVISION",E584)))</formula>
    </cfRule>
    <cfRule type="containsText" dxfId="4626" priority="9781" operator="containsText" text="ACTIVO">
      <formula>NOT(ISERROR(SEARCH("ACTIVO",E584)))</formula>
    </cfRule>
  </conditionalFormatting>
  <conditionalFormatting sqref="E585">
    <cfRule type="containsText" dxfId="4625" priority="8642" operator="containsText" text="REVISION">
      <formula>NOT(ISERROR(SEARCH("REVISION",E585)))</formula>
    </cfRule>
    <cfRule type="containsText" dxfId="4624" priority="8641" operator="containsText" text="REVISION">
      <formula>NOT(ISERROR(SEARCH("REVISION",E585)))</formula>
    </cfRule>
    <cfRule type="containsText" dxfId="4623" priority="8646" operator="containsText" text="ACTIVO ">
      <formula>NOT(ISERROR(SEARCH("ACTIVO ",E585)))</formula>
    </cfRule>
    <cfRule type="containsText" dxfId="4622" priority="8644" operator="containsText" text="INACTIVO">
      <formula>NOT(ISERROR(SEARCH("INACTIVO",E585)))</formula>
    </cfRule>
    <cfRule type="containsText" dxfId="4621" priority="8643" operator="containsText" text="BAJA">
      <formula>NOT(ISERROR(SEARCH("BAJA",E585)))</formula>
    </cfRule>
  </conditionalFormatting>
  <conditionalFormatting sqref="E585:E609">
    <cfRule type="containsText" dxfId="4620" priority="8645" operator="containsText" text="ACTIVO">
      <formula>NOT(ISERROR(SEARCH("ACTIVO",E585)))</formula>
    </cfRule>
  </conditionalFormatting>
  <conditionalFormatting sqref="E586:E602 E604:E609 E703 E750">
    <cfRule type="containsText" dxfId="4619" priority="9751" operator="containsText" text="ACTIVO ">
      <formula>NOT(ISERROR(SEARCH("ACTIVO ",E586)))</formula>
    </cfRule>
    <cfRule type="containsText" dxfId="4618" priority="9747" operator="containsText" text="ACTIVO">
      <formula>NOT(ISERROR(SEARCH("ACTIVO",E586)))</formula>
    </cfRule>
    <cfRule type="containsText" dxfId="4617" priority="9746" operator="containsText" text="INACTIVO">
      <formula>NOT(ISERROR(SEARCH("INACTIVO",E586)))</formula>
    </cfRule>
    <cfRule type="containsText" dxfId="4616" priority="9745" operator="containsText" text="BAJA">
      <formula>NOT(ISERROR(SEARCH("BAJA",E586)))</formula>
    </cfRule>
    <cfRule type="containsText" dxfId="4615" priority="9744" operator="containsText" text="REVISION">
      <formula>NOT(ISERROR(SEARCH("REVISION",E586)))</formula>
    </cfRule>
  </conditionalFormatting>
  <conditionalFormatting sqref="E603">
    <cfRule type="containsText" dxfId="4614" priority="9732" operator="containsText" text="ACTIVO ">
      <formula>NOT(ISERROR(SEARCH("ACTIVO ",E603)))</formula>
    </cfRule>
  </conditionalFormatting>
  <conditionalFormatting sqref="E608">
    <cfRule type="containsText" dxfId="4613" priority="679" operator="containsText" text="ACTIVO">
      <formula>NOT(ISERROR(SEARCH("ACTIVO",E608)))</formula>
    </cfRule>
    <cfRule type="containsText" dxfId="4612" priority="680" operator="containsText" text="REVISION">
      <formula>NOT(ISERROR(SEARCH("REVISION",E608)))</formula>
    </cfRule>
    <cfRule type="containsText" dxfId="4611" priority="681" operator="containsText" text="ACTIVO ">
      <formula>NOT(ISERROR(SEARCH("ACTIVO ",E608)))</formula>
    </cfRule>
    <cfRule type="containsText" dxfId="4610" priority="684" operator="containsText" text="INACTIVO">
      <formula>NOT(ISERROR(SEARCH("INACTIVO",E608)))</formula>
    </cfRule>
    <cfRule type="containsText" dxfId="4609" priority="683" operator="containsText" text="BAJA">
      <formula>NOT(ISERROR(SEARCH("BAJA",E608)))</formula>
    </cfRule>
    <cfRule type="containsText" dxfId="4608" priority="682" operator="containsText" text="REVISION">
      <formula>NOT(ISERROR(SEARCH("REVISION",E608)))</formula>
    </cfRule>
  </conditionalFormatting>
  <conditionalFormatting sqref="E610">
    <cfRule type="containsText" dxfId="4607" priority="5877" operator="containsText" text="ACTIVO">
      <formula>NOT(ISERROR(SEARCH("ACTIVO",E610)))</formula>
    </cfRule>
    <cfRule type="containsText" dxfId="4606" priority="5880" operator="containsText" text="ACTIVO ">
      <formula>NOT(ISERROR(SEARCH("ACTIVO ",E610)))</formula>
    </cfRule>
    <cfRule type="containsText" dxfId="4605" priority="5881" operator="containsText" text="REVISION">
      <formula>NOT(ISERROR(SEARCH("REVISION",E610)))</formula>
    </cfRule>
    <cfRule type="containsText" dxfId="4604" priority="5882" operator="containsText" text="BAJA">
      <formula>NOT(ISERROR(SEARCH("BAJA",E610)))</formula>
    </cfRule>
    <cfRule type="containsText" dxfId="4603" priority="5883" operator="containsText" text="INACTIVO">
      <formula>NOT(ISERROR(SEARCH("INACTIVO",E610)))</formula>
    </cfRule>
  </conditionalFormatting>
  <conditionalFormatting sqref="E611:E613">
    <cfRule type="containsText" dxfId="4602" priority="9714" operator="containsText" text="ACTIVO ">
      <formula>NOT(ISERROR(SEARCH("ACTIVO ",E611)))</formula>
    </cfRule>
    <cfRule type="containsText" dxfId="4601" priority="9709" operator="containsText" text="INACTIVO">
      <formula>NOT(ISERROR(SEARCH("INACTIVO",E611)))</formula>
    </cfRule>
    <cfRule type="containsText" dxfId="4600" priority="9710" operator="containsText" text="ACTIVO">
      <formula>NOT(ISERROR(SEARCH("ACTIVO",E611)))</formula>
    </cfRule>
  </conditionalFormatting>
  <conditionalFormatting sqref="E611:E630">
    <cfRule type="containsText" dxfId="4599" priority="9567" operator="containsText" text="REVISION">
      <formula>NOT(ISERROR(SEARCH("REVISION",E611)))</formula>
    </cfRule>
    <cfRule type="containsText" dxfId="4598" priority="9565" operator="containsText" text="REVISION">
      <formula>NOT(ISERROR(SEARCH("REVISION",E611)))</formula>
    </cfRule>
  </conditionalFormatting>
  <conditionalFormatting sqref="E611:E660">
    <cfRule type="containsText" dxfId="4597" priority="8833" operator="containsText" text="ACTIVO">
      <formula>NOT(ISERROR(SEARCH("ACTIVO",E611)))</formula>
    </cfRule>
  </conditionalFormatting>
  <conditionalFormatting sqref="E611:E669">
    <cfRule type="containsText" dxfId="4596" priority="8592" operator="containsText" text="ACTIVO">
      <formula>NOT(ISERROR(SEARCH("ACTIVO",E611)))</formula>
    </cfRule>
    <cfRule type="containsText" dxfId="4595" priority="8591" operator="containsText" text="BAJA">
      <formula>NOT(ISERROR(SEARCH("BAJA",E611)))</formula>
    </cfRule>
  </conditionalFormatting>
  <conditionalFormatting sqref="E614">
    <cfRule type="containsText" dxfId="4594" priority="9674" operator="containsText" text="INACTIVO">
      <formula>NOT(ISERROR(SEARCH("INACTIVO",E614)))</formula>
    </cfRule>
    <cfRule type="containsText" dxfId="4593" priority="9675" operator="containsText" text="ACTIVO">
      <formula>NOT(ISERROR(SEARCH("ACTIVO",E614)))</formula>
    </cfRule>
  </conditionalFormatting>
  <conditionalFormatting sqref="E614:E626">
    <cfRule type="containsText" dxfId="4592" priority="9566" operator="containsText" text="ACTIVO ">
      <formula>NOT(ISERROR(SEARCH("ACTIVO ",E614)))</formula>
    </cfRule>
  </conditionalFormatting>
  <conditionalFormatting sqref="E618:E630">
    <cfRule type="containsText" dxfId="4591" priority="9570" operator="containsText" text="ACTIVO">
      <formula>NOT(ISERROR(SEARCH("ACTIVO",E618)))</formula>
    </cfRule>
    <cfRule type="containsText" dxfId="4590" priority="9569" operator="containsText" text="INACTIVO">
      <formula>NOT(ISERROR(SEARCH("INACTIVO",E618)))</formula>
    </cfRule>
    <cfRule type="containsText" dxfId="4589" priority="9568" operator="containsText" text="BAJA">
      <formula>NOT(ISERROR(SEARCH("BAJA",E618)))</formula>
    </cfRule>
  </conditionalFormatting>
  <conditionalFormatting sqref="E627:E630">
    <cfRule type="containsText" dxfId="4588" priority="9580" operator="containsText" text="ACTIVO ">
      <formula>NOT(ISERROR(SEARCH("ACTIVO ",E627)))</formula>
    </cfRule>
  </conditionalFormatting>
  <conditionalFormatting sqref="E631:E633">
    <cfRule type="containsText" dxfId="4587" priority="8831" operator="containsText" text="BAJA">
      <formula>NOT(ISERROR(SEARCH("BAJA",E631)))</formula>
    </cfRule>
    <cfRule type="containsText" dxfId="4586" priority="8834" operator="containsText" text="ACTIVO ">
      <formula>NOT(ISERROR(SEARCH("ACTIVO ",E631)))</formula>
    </cfRule>
    <cfRule type="containsText" dxfId="4585" priority="8832" operator="containsText" text="INACTIVO">
      <formula>NOT(ISERROR(SEARCH("INACTIVO",E631)))</formula>
    </cfRule>
    <cfRule type="containsText" dxfId="4584" priority="8830" operator="containsText" text="REVISION">
      <formula>NOT(ISERROR(SEARCH("REVISION",E631)))</formula>
    </cfRule>
    <cfRule type="containsText" dxfId="4583" priority="8829" operator="containsText" text="REVISION">
      <formula>NOT(ISERROR(SEARCH("REVISION",E631)))</formula>
    </cfRule>
  </conditionalFormatting>
  <conditionalFormatting sqref="E634:E660">
    <cfRule type="containsText" dxfId="4582" priority="8903" operator="containsText" text="BAJA">
      <formula>NOT(ISERROR(SEARCH("BAJA",E634)))</formula>
    </cfRule>
    <cfRule type="containsText" dxfId="4581" priority="8906" operator="containsText" text="ACTIVO ">
      <formula>NOT(ISERROR(SEARCH("ACTIVO ",E634)))</formula>
    </cfRule>
    <cfRule type="containsText" dxfId="4580" priority="8905" operator="containsText" text="ACTIVO">
      <formula>NOT(ISERROR(SEARCH("ACTIVO",E634)))</formula>
    </cfRule>
    <cfRule type="containsText" dxfId="4579" priority="8904" operator="containsText" text="INACTIVO">
      <formula>NOT(ISERROR(SEARCH("INACTIVO",E634)))</formula>
    </cfRule>
    <cfRule type="containsText" dxfId="4578" priority="8902" operator="containsText" text="REVISION">
      <formula>NOT(ISERROR(SEARCH("REVISION",E634)))</formula>
    </cfRule>
    <cfRule type="containsText" dxfId="4577" priority="8901" operator="containsText" text="REVISION">
      <formula>NOT(ISERROR(SEARCH("REVISION",E634)))</formula>
    </cfRule>
  </conditionalFormatting>
  <conditionalFormatting sqref="E635">
    <cfRule type="containsText" dxfId="4576" priority="8574" operator="containsText" text="BAJA">
      <formula>NOT(ISERROR(SEARCH("BAJA",E635)))</formula>
    </cfRule>
    <cfRule type="containsText" dxfId="4575" priority="8577" operator="containsText" text="ACTIVO ">
      <formula>NOT(ISERROR(SEARCH("ACTIVO ",E635)))</formula>
    </cfRule>
    <cfRule type="containsText" dxfId="4574" priority="8576" operator="containsText" text="ACTIVO">
      <formula>NOT(ISERROR(SEARCH("ACTIVO",E635)))</formula>
    </cfRule>
    <cfRule type="containsText" dxfId="4573" priority="8575" operator="containsText" text="INACTIVO">
      <formula>NOT(ISERROR(SEARCH("INACTIVO",E635)))</formula>
    </cfRule>
    <cfRule type="containsText" dxfId="4572" priority="8571" operator="containsText" text="ACTIVO">
      <formula>NOT(ISERROR(SEARCH("ACTIVO",E635)))</formula>
    </cfRule>
    <cfRule type="containsText" dxfId="4571" priority="8572" operator="containsText" text="REVISION">
      <formula>NOT(ISERROR(SEARCH("REVISION",E635)))</formula>
    </cfRule>
    <cfRule type="containsText" dxfId="4570" priority="8573" operator="containsText" text="REVISION">
      <formula>NOT(ISERROR(SEARCH("REVISION",E635)))</formula>
    </cfRule>
  </conditionalFormatting>
  <conditionalFormatting sqref="E670:E689">
    <cfRule type="containsText" dxfId="4569" priority="8532" operator="containsText" text="ACTIVO">
      <formula>NOT(ISERROR(SEARCH("ACTIVO",E670)))</formula>
    </cfRule>
  </conditionalFormatting>
  <conditionalFormatting sqref="E670:E1048576 E178:E610">
    <cfRule type="containsText" dxfId="4568" priority="4453" operator="containsText" text="BAJA">
      <formula>NOT(ISERROR(SEARCH("BAJA",E178)))</formula>
    </cfRule>
  </conditionalFormatting>
  <conditionalFormatting sqref="E681">
    <cfRule type="containsText" dxfId="4567" priority="8530" operator="containsText" text="BAJA">
      <formula>NOT(ISERROR(SEARCH("BAJA",E681)))</formula>
    </cfRule>
    <cfRule type="containsText" dxfId="4566" priority="8526" operator="containsText" text="ACTIVO">
      <formula>NOT(ISERROR(SEARCH("ACTIVO",E681)))</formula>
    </cfRule>
    <cfRule type="containsText" dxfId="4565" priority="8528" operator="containsText" text="REVISION">
      <formula>NOT(ISERROR(SEARCH("REVISION",E681)))</formula>
    </cfRule>
    <cfRule type="containsText" dxfId="4564" priority="8529" operator="containsText" text="REVISION">
      <formula>NOT(ISERROR(SEARCH("REVISION",E681)))</formula>
    </cfRule>
    <cfRule type="containsText" dxfId="4563" priority="8531" operator="containsText" text="INACTIVO">
      <formula>NOT(ISERROR(SEARCH("INACTIVO",E681)))</formula>
    </cfRule>
    <cfRule type="containsText" dxfId="4562" priority="8533" operator="containsText" text="ACTIVO ">
      <formula>NOT(ISERROR(SEARCH("ACTIVO ",E681)))</formula>
    </cfRule>
  </conditionalFormatting>
  <conditionalFormatting sqref="E690">
    <cfRule type="containsText" dxfId="4561" priority="8490" operator="containsText" text="INACTIVO">
      <formula>NOT(ISERROR(SEARCH("INACTIVO",E690)))</formula>
    </cfRule>
    <cfRule type="containsText" dxfId="4560" priority="8489" operator="containsText" text="BAJA">
      <formula>NOT(ISERROR(SEARCH("BAJA",E690)))</formula>
    </cfRule>
    <cfRule type="containsText" dxfId="4559" priority="8492" operator="containsText" text="ACTIVO ">
      <formula>NOT(ISERROR(SEARCH("ACTIVO ",E690)))</formula>
    </cfRule>
    <cfRule type="containsText" dxfId="4558" priority="8485" operator="containsText" text="ACTIVO">
      <formula>NOT(ISERROR(SEARCH("ACTIVO",E690)))</formula>
    </cfRule>
    <cfRule type="containsText" dxfId="4557" priority="8487" operator="containsText" text="REVISION">
      <formula>NOT(ISERROR(SEARCH("REVISION",E690)))</formula>
    </cfRule>
    <cfRule type="containsText" dxfId="4556" priority="8488" operator="containsText" text="REVISION">
      <formula>NOT(ISERROR(SEARCH("REVISION",E690)))</formula>
    </cfRule>
  </conditionalFormatting>
  <conditionalFormatting sqref="E690:E691">
    <cfRule type="containsText" dxfId="4555" priority="8491" operator="containsText" text="ACTIVO">
      <formula>NOT(ISERROR(SEARCH("ACTIVO",E690)))</formula>
    </cfRule>
  </conditionalFormatting>
  <conditionalFormatting sqref="E692:E705 E707">
    <cfRule type="containsText" dxfId="4554" priority="8402" operator="containsText" text="ACTIVO">
      <formula>NOT(ISERROR(SEARCH("ACTIVO",E692)))</formula>
    </cfRule>
  </conditionalFormatting>
  <conditionalFormatting sqref="E703:E705 E707">
    <cfRule type="containsText" dxfId="4553" priority="8398" operator="containsText" text="REVISION">
      <formula>NOT(ISERROR(SEARCH("REVISION",E703)))</formula>
    </cfRule>
  </conditionalFormatting>
  <conditionalFormatting sqref="E704:E705 E707">
    <cfRule type="containsText" dxfId="4552" priority="8399" operator="containsText" text="REVISION">
      <formula>NOT(ISERROR(SEARCH("REVISION",E704)))</formula>
    </cfRule>
    <cfRule type="containsText" dxfId="4551" priority="8406" operator="containsText" text="ACTIVO ">
      <formula>NOT(ISERROR(SEARCH("ACTIVO ",E704)))</formula>
    </cfRule>
    <cfRule type="containsText" dxfId="4550" priority="8401" operator="containsText" text="INACTIVO">
      <formula>NOT(ISERROR(SEARCH("INACTIVO",E704)))</formula>
    </cfRule>
    <cfRule type="containsText" dxfId="4549" priority="8400" operator="containsText" text="BAJA">
      <formula>NOT(ISERROR(SEARCH("BAJA",E704)))</formula>
    </cfRule>
  </conditionalFormatting>
  <conditionalFormatting sqref="E704:E707">
    <cfRule type="containsText" dxfId="4548" priority="8370" operator="containsText" text="REVISION">
      <formula>NOT(ISERROR(SEARCH("REVISION",E704)))</formula>
    </cfRule>
    <cfRule type="containsText" dxfId="4547" priority="8374" operator="containsText" text="ACTIVO">
      <formula>NOT(ISERROR(SEARCH("ACTIVO",E704)))</formula>
    </cfRule>
  </conditionalFormatting>
  <conditionalFormatting sqref="E706">
    <cfRule type="containsText" dxfId="4546" priority="8366" operator="containsText" text="REVISION">
      <formula>NOT(ISERROR(SEARCH("REVISION",E706)))</formula>
    </cfRule>
    <cfRule type="containsText" dxfId="4545" priority="8372" operator="containsText" text="BAJA">
      <formula>NOT(ISERROR(SEARCH("BAJA",E706)))</formula>
    </cfRule>
    <cfRule type="containsText" dxfId="4544" priority="8371" operator="containsText" text="REVISION">
      <formula>NOT(ISERROR(SEARCH("REVISION",E706)))</formula>
    </cfRule>
    <cfRule type="containsText" dxfId="4543" priority="8368" operator="containsText" text="ACTIVO">
      <formula>NOT(ISERROR(SEARCH("ACTIVO",E706)))</formula>
    </cfRule>
    <cfRule type="containsText" dxfId="4542" priority="8373" operator="containsText" text="INACTIVO">
      <formula>NOT(ISERROR(SEARCH("INACTIVO",E706)))</formula>
    </cfRule>
    <cfRule type="containsText" dxfId="4541" priority="8378" operator="containsText" text="ACTIVO ">
      <formula>NOT(ISERROR(SEARCH("ACTIVO ",E706)))</formula>
    </cfRule>
  </conditionalFormatting>
  <conditionalFormatting sqref="E708">
    <cfRule type="containsText" dxfId="4540" priority="8259" operator="containsText" text="REVISION">
      <formula>NOT(ISERROR(SEARCH("REVISION",E708)))</formula>
    </cfRule>
    <cfRule type="containsText" dxfId="4539" priority="8258" operator="containsText" text="ACTIVO ">
      <formula>NOT(ISERROR(SEARCH("ACTIVO ",E708)))</formula>
    </cfRule>
    <cfRule type="containsText" dxfId="4538" priority="8253" operator="containsText" text="REVISION">
      <formula>NOT(ISERROR(SEARCH("REVISION",E708)))</formula>
    </cfRule>
    <cfRule type="containsText" dxfId="4537" priority="8260" operator="containsText" text="BAJA">
      <formula>NOT(ISERROR(SEARCH("BAJA",E708)))</formula>
    </cfRule>
    <cfRule type="containsText" dxfId="4536" priority="8255" operator="containsText" text="ACTIVO">
      <formula>NOT(ISERROR(SEARCH("ACTIVO",E708)))</formula>
    </cfRule>
    <cfRule type="containsText" dxfId="4535" priority="8262" operator="containsText" text="ACTIVO">
      <formula>NOT(ISERROR(SEARCH("ACTIVO",E708)))</formula>
    </cfRule>
    <cfRule type="containsText" dxfId="4534" priority="8261" operator="containsText" text="INACTIVO">
      <formula>NOT(ISERROR(SEARCH("INACTIVO",E708)))</formula>
    </cfRule>
  </conditionalFormatting>
  <conditionalFormatting sqref="E708:E710">
    <cfRule type="containsText" dxfId="4533" priority="8257" operator="containsText" text="REVISION">
      <formula>NOT(ISERROR(SEARCH("REVISION",E708)))</formula>
    </cfRule>
  </conditionalFormatting>
  <conditionalFormatting sqref="E709">
    <cfRule type="containsText" dxfId="4532" priority="8355" operator="containsText" text="INACTIVO">
      <formula>NOT(ISERROR(SEARCH("INACTIVO",E709)))</formula>
    </cfRule>
    <cfRule type="containsText" dxfId="4531" priority="8354" operator="containsText" text="BAJA">
      <formula>NOT(ISERROR(SEARCH("BAJA",E709)))</formula>
    </cfRule>
    <cfRule type="containsText" dxfId="4530" priority="8353" operator="containsText" text="REVISION">
      <formula>NOT(ISERROR(SEARCH("REVISION",E709)))</formula>
    </cfRule>
    <cfRule type="containsText" dxfId="4529" priority="8340" operator="containsText" text="REVISION">
      <formula>NOT(ISERROR(SEARCH("REVISION",E709)))</formula>
    </cfRule>
    <cfRule type="containsText" dxfId="4528" priority="8344" operator="containsText" text="ACTIVO ">
      <formula>NOT(ISERROR(SEARCH("ACTIVO ",E709)))</formula>
    </cfRule>
    <cfRule type="containsText" dxfId="4527" priority="8356" operator="containsText" text="ACTIVO">
      <formula>NOT(ISERROR(SEARCH("ACTIVO",E709)))</formula>
    </cfRule>
  </conditionalFormatting>
  <conditionalFormatting sqref="E709:E710 E712:E719 E729:E730">
    <cfRule type="containsText" dxfId="4526" priority="8321" operator="containsText" text="ACTIVO">
      <formula>NOT(ISERROR(SEARCH("ACTIVO",E709)))</formula>
    </cfRule>
  </conditionalFormatting>
  <conditionalFormatting sqref="E710 E712:E719 E729:E730">
    <cfRule type="containsText" dxfId="4525" priority="8318" operator="containsText" text="REVISION">
      <formula>NOT(ISERROR(SEARCH("REVISION",E710)))</formula>
    </cfRule>
    <cfRule type="containsText" dxfId="4524" priority="8319" operator="containsText" text="BAJA">
      <formula>NOT(ISERROR(SEARCH("BAJA",E710)))</formula>
    </cfRule>
    <cfRule type="containsText" dxfId="4523" priority="8320" operator="containsText" text="INACTIVO">
      <formula>NOT(ISERROR(SEARCH("INACTIVO",E710)))</formula>
    </cfRule>
  </conditionalFormatting>
  <conditionalFormatting sqref="E710:E719">
    <cfRule type="containsText" dxfId="4522" priority="8245" operator="containsText" text="REVISION">
      <formula>NOT(ISERROR(SEARCH("REVISION",E710)))</formula>
    </cfRule>
    <cfRule type="containsText" dxfId="4521" priority="8250" operator="containsText" text="ACTIVO">
      <formula>NOT(ISERROR(SEARCH("ACTIVO",E710)))</formula>
    </cfRule>
  </conditionalFormatting>
  <conditionalFormatting sqref="E711">
    <cfRule type="containsText" dxfId="4520" priority="8248" operator="containsText" text="BAJA">
      <formula>NOT(ISERROR(SEARCH("BAJA",E711)))</formula>
    </cfRule>
    <cfRule type="containsText" dxfId="4519" priority="8249" operator="containsText" text="INACTIVO">
      <formula>NOT(ISERROR(SEARCH("INACTIVO",E711)))</formula>
    </cfRule>
    <cfRule type="containsText" dxfId="4518" priority="8241" operator="containsText" text="REVISION">
      <formula>NOT(ISERROR(SEARCH("REVISION",E711)))</formula>
    </cfRule>
    <cfRule type="containsText" dxfId="4517" priority="8243" operator="containsText" text="ACTIVO">
      <formula>NOT(ISERROR(SEARCH("ACTIVO",E711)))</formula>
    </cfRule>
    <cfRule type="containsText" dxfId="4516" priority="8246" operator="containsText" text="ACTIVO ">
      <formula>NOT(ISERROR(SEARCH("ACTIVO ",E711)))</formula>
    </cfRule>
    <cfRule type="containsText" dxfId="4515" priority="8247" operator="containsText" text="REVISION">
      <formula>NOT(ISERROR(SEARCH("REVISION",E711)))</formula>
    </cfRule>
  </conditionalFormatting>
  <conditionalFormatting sqref="E712:E719 E729:E730 E710">
    <cfRule type="containsText" dxfId="4514" priority="8317" operator="containsText" text="ACTIVO ">
      <formula>NOT(ISERROR(SEARCH("ACTIVO ",E710)))</formula>
    </cfRule>
  </conditionalFormatting>
  <conditionalFormatting sqref="E712:E719 E729:E730">
    <cfRule type="containsText" dxfId="4513" priority="8316" operator="containsText" text="REVISION">
      <formula>NOT(ISERROR(SEARCH("REVISION",E712)))</formula>
    </cfRule>
  </conditionalFormatting>
  <conditionalFormatting sqref="E720:E721 E723:E728">
    <cfRule type="containsText" dxfId="4512" priority="8183" operator="containsText" text="REVISION">
      <formula>NOT(ISERROR(SEARCH("REVISION",E720)))</formula>
    </cfRule>
    <cfRule type="containsText" dxfId="4511" priority="8185" operator="containsText" text="INACTIVO">
      <formula>NOT(ISERROR(SEARCH("INACTIVO",E720)))</formula>
    </cfRule>
    <cfRule type="containsText" dxfId="4510" priority="8184" operator="containsText" text="BAJA">
      <formula>NOT(ISERROR(SEARCH("BAJA",E720)))</formula>
    </cfRule>
    <cfRule type="containsText" dxfId="4509" priority="8182" operator="containsText" text="ACTIVO ">
      <formula>NOT(ISERROR(SEARCH("ACTIVO ",E720)))</formula>
    </cfRule>
  </conditionalFormatting>
  <conditionalFormatting sqref="E720:E721 E723:E730">
    <cfRule type="containsText" dxfId="4508" priority="8186" operator="containsText" text="ACTIVO">
      <formula>NOT(ISERROR(SEARCH("ACTIVO",E720)))</formula>
    </cfRule>
    <cfRule type="containsText" dxfId="4507" priority="8181" operator="containsText" text="REVISION">
      <formula>NOT(ISERROR(SEARCH("REVISION",E720)))</formula>
    </cfRule>
  </conditionalFormatting>
  <conditionalFormatting sqref="E720:E728">
    <cfRule type="containsText" dxfId="4506" priority="8122" operator="containsText" text="REVISION">
      <formula>NOT(ISERROR(SEARCH("REVISION",E720)))</formula>
    </cfRule>
    <cfRule type="containsText" dxfId="4505" priority="8127" operator="containsText" text="ACTIVO">
      <formula>NOT(ISERROR(SEARCH("ACTIVO",E720)))</formula>
    </cfRule>
  </conditionalFormatting>
  <conditionalFormatting sqref="E722">
    <cfRule type="containsText" dxfId="4504" priority="8126" operator="containsText" text="INACTIVO">
      <formula>NOT(ISERROR(SEARCH("INACTIVO",E722)))</formula>
    </cfRule>
    <cfRule type="containsText" dxfId="4503" priority="8120" operator="containsText" text="ACTIVO">
      <formula>NOT(ISERROR(SEARCH("ACTIVO",E722)))</formula>
    </cfRule>
    <cfRule type="containsText" dxfId="4502" priority="8125" operator="containsText" text="BAJA">
      <formula>NOT(ISERROR(SEARCH("BAJA",E722)))</formula>
    </cfRule>
    <cfRule type="containsText" dxfId="4501" priority="8118" operator="containsText" text="REVISION">
      <formula>NOT(ISERROR(SEARCH("REVISION",E722)))</formula>
    </cfRule>
    <cfRule type="containsText" dxfId="4500" priority="8124" operator="containsText" text="REVISION">
      <formula>NOT(ISERROR(SEARCH("REVISION",E722)))</formula>
    </cfRule>
    <cfRule type="containsText" dxfId="4499" priority="8123" operator="containsText" text="ACTIVO ">
      <formula>NOT(ISERROR(SEARCH("ACTIVO ",E722)))</formula>
    </cfRule>
  </conditionalFormatting>
  <conditionalFormatting sqref="E731:E733">
    <cfRule type="containsText" dxfId="4498" priority="8026" operator="containsText" text="ACTIVO ">
      <formula>NOT(ISERROR(SEARCH("ACTIVO ",E731)))</formula>
    </cfRule>
    <cfRule type="containsText" dxfId="4497" priority="8029" operator="containsText" text="INACTIVO">
      <formula>NOT(ISERROR(SEARCH("INACTIVO",E731)))</formula>
    </cfRule>
    <cfRule type="containsText" dxfId="4496" priority="8028" operator="containsText" text="BAJA">
      <formula>NOT(ISERROR(SEARCH("BAJA",E731)))</formula>
    </cfRule>
    <cfRule type="containsText" dxfId="4495" priority="8027" operator="containsText" text="REVISION">
      <formula>NOT(ISERROR(SEARCH("REVISION",E731)))</formula>
    </cfRule>
    <cfRule type="containsText" dxfId="4494" priority="8025" operator="containsText" text="REVISION">
      <formula>NOT(ISERROR(SEARCH("REVISION",E731)))</formula>
    </cfRule>
    <cfRule type="containsText" dxfId="4493" priority="8030" operator="containsText" text="ACTIVO">
      <formula>NOT(ISERROR(SEARCH("ACTIVO",E731)))</formula>
    </cfRule>
  </conditionalFormatting>
  <conditionalFormatting sqref="E731:E734">
    <cfRule type="containsText" dxfId="4492" priority="7998" operator="containsText" text="REVISION">
      <formula>NOT(ISERROR(SEARCH("REVISION",E731)))</formula>
    </cfRule>
    <cfRule type="containsText" dxfId="4491" priority="8003" operator="containsText" text="ACTIVO">
      <formula>NOT(ISERROR(SEARCH("ACTIVO",E731)))</formula>
    </cfRule>
  </conditionalFormatting>
  <conditionalFormatting sqref="E734">
    <cfRule type="containsText" dxfId="4490" priority="8002" operator="containsText" text="INACTIVO">
      <formula>NOT(ISERROR(SEARCH("INACTIVO",E734)))</formula>
    </cfRule>
    <cfRule type="containsText" dxfId="4489" priority="8000" operator="containsText" text="REVISION">
      <formula>NOT(ISERROR(SEARCH("REVISION",E734)))</formula>
    </cfRule>
    <cfRule type="containsText" dxfId="4488" priority="7999" operator="containsText" text="ACTIVO ">
      <formula>NOT(ISERROR(SEARCH("ACTIVO ",E734)))</formula>
    </cfRule>
    <cfRule type="containsText" dxfId="4487" priority="8001" operator="containsText" text="BAJA">
      <formula>NOT(ISERROR(SEARCH("BAJA",E734)))</formula>
    </cfRule>
  </conditionalFormatting>
  <conditionalFormatting sqref="E734:E735">
    <cfRule type="containsText" dxfId="4486" priority="5873" operator="containsText" text="ACTIVO">
      <formula>NOT(ISERROR(SEARCH("ACTIVO",E734)))</formula>
    </cfRule>
    <cfRule type="containsText" dxfId="4485" priority="5868" operator="containsText" text="REVISION">
      <formula>NOT(ISERROR(SEARCH("REVISION",E734)))</formula>
    </cfRule>
  </conditionalFormatting>
  <conditionalFormatting sqref="E735">
    <cfRule type="containsText" dxfId="4484" priority="5866" operator="containsText" text="ACTIVO">
      <formula>NOT(ISERROR(SEARCH("ACTIVO",E735)))</formula>
    </cfRule>
    <cfRule type="containsText" dxfId="4483" priority="5869" operator="containsText" text="ACTIVO ">
      <formula>NOT(ISERROR(SEARCH("ACTIVO ",E735)))</formula>
    </cfRule>
    <cfRule type="containsText" dxfId="4482" priority="5870" operator="containsText" text="REVISION">
      <formula>NOT(ISERROR(SEARCH("REVISION",E735)))</formula>
    </cfRule>
    <cfRule type="containsText" dxfId="4481" priority="5872" operator="containsText" text="INACTIVO">
      <formula>NOT(ISERROR(SEARCH("INACTIVO",E735)))</formula>
    </cfRule>
    <cfRule type="containsText" dxfId="4480" priority="5871" operator="containsText" text="BAJA">
      <formula>NOT(ISERROR(SEARCH("BAJA",E735)))</formula>
    </cfRule>
  </conditionalFormatting>
  <conditionalFormatting sqref="E736:E737">
    <cfRule type="containsText" dxfId="4479" priority="7976" operator="containsText" text="REVISION">
      <formula>NOT(ISERROR(SEARCH("REVISION",E736)))</formula>
    </cfRule>
    <cfRule type="containsText" dxfId="4478" priority="7979" operator="containsText" text="ACTIVO">
      <formula>NOT(ISERROR(SEARCH("ACTIVO",E736)))</formula>
    </cfRule>
    <cfRule type="containsText" dxfId="4477" priority="7978" operator="containsText" text="INACTIVO">
      <formula>NOT(ISERROR(SEARCH("INACTIVO",E736)))</formula>
    </cfRule>
    <cfRule type="containsText" dxfId="4476" priority="7975" operator="containsText" text="REVISION">
      <formula>NOT(ISERROR(SEARCH("REVISION",E736)))</formula>
    </cfRule>
    <cfRule type="containsText" dxfId="4475" priority="7977" operator="containsText" text="BAJA">
      <formula>NOT(ISERROR(SEARCH("BAJA",E736)))</formula>
    </cfRule>
    <cfRule type="containsText" dxfId="4474" priority="7983" operator="containsText" text="ACTIVO ">
      <formula>NOT(ISERROR(SEARCH("ACTIVO ",E736)))</formula>
    </cfRule>
  </conditionalFormatting>
  <conditionalFormatting sqref="E736:E740">
    <cfRule type="containsText" dxfId="4473" priority="7952" operator="containsText" text="REVISION">
      <formula>NOT(ISERROR(SEARCH("REVISION",E736)))</formula>
    </cfRule>
    <cfRule type="containsText" dxfId="4472" priority="7956" operator="containsText" text="ACTIVO">
      <formula>NOT(ISERROR(SEARCH("ACTIVO",E736)))</formula>
    </cfRule>
  </conditionalFormatting>
  <conditionalFormatting sqref="E738:E740">
    <cfRule type="containsText" dxfId="4471" priority="7955" operator="containsText" text="INACTIVO">
      <formula>NOT(ISERROR(SEARCH("INACTIVO",E738)))</formula>
    </cfRule>
    <cfRule type="containsText" dxfId="4470" priority="7954" operator="containsText" text="BAJA">
      <formula>NOT(ISERROR(SEARCH("BAJA",E738)))</formula>
    </cfRule>
    <cfRule type="containsText" dxfId="4469" priority="7953" operator="containsText" text="REVISION">
      <formula>NOT(ISERROR(SEARCH("REVISION",E738)))</formula>
    </cfRule>
    <cfRule type="containsText" dxfId="4468" priority="7960" operator="containsText" text="ACTIVO ">
      <formula>NOT(ISERROR(SEARCH("ACTIVO ",E738)))</formula>
    </cfRule>
  </conditionalFormatting>
  <conditionalFormatting sqref="E738:E744">
    <cfRule type="containsText" dxfId="4467" priority="7927" operator="containsText" text="REVISION">
      <formula>NOT(ISERROR(SEARCH("REVISION",E738)))</formula>
    </cfRule>
    <cfRule type="containsText" dxfId="4466" priority="7931" operator="containsText" text="ACTIVO">
      <formula>NOT(ISERROR(SEARCH("ACTIVO",E738)))</formula>
    </cfRule>
  </conditionalFormatting>
  <conditionalFormatting sqref="E741:E744">
    <cfRule type="containsText" dxfId="4465" priority="7935" operator="containsText" text="ACTIVO ">
      <formula>NOT(ISERROR(SEARCH("ACTIVO ",E741)))</formula>
    </cfRule>
    <cfRule type="containsText" dxfId="4464" priority="7930" operator="containsText" text="INACTIVO">
      <formula>NOT(ISERROR(SEARCH("INACTIVO",E741)))</formula>
    </cfRule>
    <cfRule type="containsText" dxfId="4463" priority="7928" operator="containsText" text="REVISION">
      <formula>NOT(ISERROR(SEARCH("REVISION",E741)))</formula>
    </cfRule>
    <cfRule type="containsText" dxfId="4462" priority="7929" operator="containsText" text="BAJA">
      <formula>NOT(ISERROR(SEARCH("BAJA",E741)))</formula>
    </cfRule>
  </conditionalFormatting>
  <conditionalFormatting sqref="E741:E746">
    <cfRule type="containsText" dxfId="4461" priority="7901" operator="containsText" text="ACTIVO">
      <formula>NOT(ISERROR(SEARCH("ACTIVO",E741)))</formula>
    </cfRule>
    <cfRule type="containsText" dxfId="4460" priority="7897" operator="containsText" text="REVISION">
      <formula>NOT(ISERROR(SEARCH("REVISION",E741)))</formula>
    </cfRule>
  </conditionalFormatting>
  <conditionalFormatting sqref="E745:E746">
    <cfRule type="containsText" dxfId="4459" priority="7899" operator="containsText" text="BAJA">
      <formula>NOT(ISERROR(SEARCH("BAJA",E745)))</formula>
    </cfRule>
    <cfRule type="containsText" dxfId="4458" priority="7900" operator="containsText" text="INACTIVO">
      <formula>NOT(ISERROR(SEARCH("INACTIVO",E745)))</formula>
    </cfRule>
    <cfRule type="containsText" dxfId="4457" priority="7905" operator="containsText" text="ACTIVO ">
      <formula>NOT(ISERROR(SEARCH("ACTIVO ",E745)))</formula>
    </cfRule>
    <cfRule type="containsText" dxfId="4456" priority="7898" operator="containsText" text="REVISION">
      <formula>NOT(ISERROR(SEARCH("REVISION",E745)))</formula>
    </cfRule>
  </conditionalFormatting>
  <conditionalFormatting sqref="E745:E750">
    <cfRule type="containsText" dxfId="4455" priority="7873" operator="containsText" text="REVISION">
      <formula>NOT(ISERROR(SEARCH("REVISION",E745)))</formula>
    </cfRule>
    <cfRule type="containsText" dxfId="4454" priority="7877" operator="containsText" text="ACTIVO">
      <formula>NOT(ISERROR(SEARCH("ACTIVO",E745)))</formula>
    </cfRule>
  </conditionalFormatting>
  <conditionalFormatting sqref="E747:E749">
    <cfRule type="containsText" dxfId="4453" priority="7881" operator="containsText" text="ACTIVO ">
      <formula>NOT(ISERROR(SEARCH("ACTIVO ",E747)))</formula>
    </cfRule>
    <cfRule type="containsText" dxfId="4452" priority="7874" operator="containsText" text="REVISION">
      <formula>NOT(ISERROR(SEARCH("REVISION",E747)))</formula>
    </cfRule>
    <cfRule type="containsText" dxfId="4451" priority="7869" operator="containsText" text="REVISION">
      <formula>NOT(ISERROR(SEARCH("REVISION",E747)))</formula>
    </cfRule>
    <cfRule type="containsText" dxfId="4450" priority="7875" operator="containsText" text="BAJA">
      <formula>NOT(ISERROR(SEARCH("BAJA",E747)))</formula>
    </cfRule>
    <cfRule type="containsText" dxfId="4449" priority="7876" operator="containsText" text="INACTIVO">
      <formula>NOT(ISERROR(SEARCH("INACTIVO",E747)))</formula>
    </cfRule>
    <cfRule type="containsText" dxfId="4448" priority="7871" operator="containsText" text="ACTIVO">
      <formula>NOT(ISERROR(SEARCH("ACTIVO",E747)))</formula>
    </cfRule>
  </conditionalFormatting>
  <conditionalFormatting sqref="E751:E753">
    <cfRule type="containsText" dxfId="4447" priority="7849" operator="containsText" text="ACTIVO ">
      <formula>NOT(ISERROR(SEARCH("ACTIVO ",E751)))</formula>
    </cfRule>
    <cfRule type="containsText" dxfId="4446" priority="7848" operator="containsText" text="ACTIVO">
      <formula>NOT(ISERROR(SEARCH("ACTIVO",E751)))</formula>
    </cfRule>
    <cfRule type="containsText" dxfId="4445" priority="7847" operator="containsText" text="INACTIVO">
      <formula>NOT(ISERROR(SEARCH("INACTIVO",E751)))</formula>
    </cfRule>
    <cfRule type="containsText" dxfId="4444" priority="7846" operator="containsText" text="BAJA">
      <formula>NOT(ISERROR(SEARCH("BAJA",E751)))</formula>
    </cfRule>
    <cfRule type="containsText" dxfId="4443" priority="7845" operator="containsText" text="REVISION">
      <formula>NOT(ISERROR(SEARCH("REVISION",E751)))</formula>
    </cfRule>
    <cfRule type="containsText" dxfId="4442" priority="7844" operator="containsText" text="REVISION">
      <formula>NOT(ISERROR(SEARCH("REVISION",E751)))</formula>
    </cfRule>
  </conditionalFormatting>
  <conditionalFormatting sqref="E751:E754">
    <cfRule type="containsText" dxfId="4441" priority="7798" operator="containsText" text="ACTIVO">
      <formula>NOT(ISERROR(SEARCH("ACTIVO",E751)))</formula>
    </cfRule>
    <cfRule type="containsText" dxfId="4440" priority="7794" operator="containsText" text="REVISION">
      <formula>NOT(ISERROR(SEARCH("REVISION",E751)))</formula>
    </cfRule>
  </conditionalFormatting>
  <conditionalFormatting sqref="E754">
    <cfRule type="containsText" dxfId="4439" priority="7799" operator="containsText" text="ACTIVO ">
      <formula>NOT(ISERROR(SEARCH("ACTIVO ",E754)))</formula>
    </cfRule>
    <cfRule type="containsText" dxfId="4438" priority="7797" operator="containsText" text="INACTIVO">
      <formula>NOT(ISERROR(SEARCH("INACTIVO",E754)))</formula>
    </cfRule>
    <cfRule type="containsText" dxfId="4437" priority="7796" operator="containsText" text="BAJA">
      <formula>NOT(ISERROR(SEARCH("BAJA",E754)))</formula>
    </cfRule>
    <cfRule type="containsText" dxfId="4436" priority="7795" operator="containsText" text="REVISION">
      <formula>NOT(ISERROR(SEARCH("REVISION",E754)))</formula>
    </cfRule>
  </conditionalFormatting>
  <conditionalFormatting sqref="E754:E755 E757:E763 E765">
    <cfRule type="containsText" dxfId="4435" priority="7774" operator="containsText" text="ACTIVO">
      <formula>NOT(ISERROR(SEARCH("ACTIVO",E754)))</formula>
    </cfRule>
    <cfRule type="containsText" dxfId="4434" priority="7770" operator="containsText" text="REVISION">
      <formula>NOT(ISERROR(SEARCH("REVISION",E754)))</formula>
    </cfRule>
  </conditionalFormatting>
  <conditionalFormatting sqref="E755 E757:E763 E765">
    <cfRule type="containsText" dxfId="4433" priority="7773" operator="containsText" text="INACTIVO">
      <formula>NOT(ISERROR(SEARCH("INACTIVO",E755)))</formula>
    </cfRule>
    <cfRule type="containsText" dxfId="4432" priority="7772" operator="containsText" text="BAJA">
      <formula>NOT(ISERROR(SEARCH("BAJA",E755)))</formula>
    </cfRule>
    <cfRule type="containsText" dxfId="4431" priority="7771" operator="containsText" text="REVISION">
      <formula>NOT(ISERROR(SEARCH("REVISION",E755)))</formula>
    </cfRule>
    <cfRule type="containsText" dxfId="4430" priority="7775" operator="containsText" text="ACTIVO ">
      <formula>NOT(ISERROR(SEARCH("ACTIVO ",E755)))</formula>
    </cfRule>
  </conditionalFormatting>
  <conditionalFormatting sqref="E755:E765">
    <cfRule type="containsText" dxfId="4429" priority="7723" operator="containsText" text="ACTIVO">
      <formula>NOT(ISERROR(SEARCH("ACTIVO",E755)))</formula>
    </cfRule>
    <cfRule type="containsText" dxfId="4428" priority="7719" operator="containsText" text="REVISION">
      <formula>NOT(ISERROR(SEARCH("REVISION",E755)))</formula>
    </cfRule>
  </conditionalFormatting>
  <conditionalFormatting sqref="E764">
    <cfRule type="containsText" dxfId="4427" priority="7724" operator="containsText" text="ACTIVO ">
      <formula>NOT(ISERROR(SEARCH("ACTIVO ",E764)))</formula>
    </cfRule>
    <cfRule type="containsText" dxfId="4426" priority="7722" operator="containsText" text="INACTIVO">
      <formula>NOT(ISERROR(SEARCH("INACTIVO",E764)))</formula>
    </cfRule>
    <cfRule type="containsText" dxfId="4425" priority="7721" operator="containsText" text="BAJA">
      <formula>NOT(ISERROR(SEARCH("BAJA",E764)))</formula>
    </cfRule>
    <cfRule type="containsText" dxfId="4424" priority="7720" operator="containsText" text="REVISION">
      <formula>NOT(ISERROR(SEARCH("REVISION",E764)))</formula>
    </cfRule>
    <cfRule type="containsText" dxfId="4423" priority="7717" operator="containsText" text="ACTIVO">
      <formula>NOT(ISERROR(SEARCH("ACTIVO",E764)))</formula>
    </cfRule>
    <cfRule type="containsText" dxfId="4422" priority="7715" operator="containsText" text="REVISION">
      <formula>NOT(ISERROR(SEARCH("REVISION",E764)))</formula>
    </cfRule>
  </conditionalFormatting>
  <conditionalFormatting sqref="E766:E769">
    <cfRule type="containsText" dxfId="4421" priority="7697" operator="containsText" text="BAJA">
      <formula>NOT(ISERROR(SEARCH("BAJA",E766)))</formula>
    </cfRule>
    <cfRule type="containsText" dxfId="4420" priority="7699" operator="containsText" text="ACTIVO">
      <formula>NOT(ISERROR(SEARCH("ACTIVO",E766)))</formula>
    </cfRule>
    <cfRule type="containsText" dxfId="4419" priority="7698" operator="containsText" text="INACTIVO">
      <formula>NOT(ISERROR(SEARCH("INACTIVO",E766)))</formula>
    </cfRule>
    <cfRule type="containsText" dxfId="4418" priority="7700" operator="containsText" text="ACTIVO ">
      <formula>NOT(ISERROR(SEARCH("ACTIVO ",E766)))</formula>
    </cfRule>
    <cfRule type="containsText" dxfId="4417" priority="7695" operator="containsText" text="REVISION">
      <formula>NOT(ISERROR(SEARCH("REVISION",E766)))</formula>
    </cfRule>
    <cfRule type="containsText" dxfId="4416" priority="7696" operator="containsText" text="REVISION">
      <formula>NOT(ISERROR(SEARCH("REVISION",E766)))</formula>
    </cfRule>
  </conditionalFormatting>
  <conditionalFormatting sqref="E766:E775">
    <cfRule type="containsText" dxfId="4415" priority="7667" operator="containsText" text="REVISION">
      <formula>NOT(ISERROR(SEARCH("REVISION",E766)))</formula>
    </cfRule>
    <cfRule type="containsText" dxfId="4414" priority="7671" operator="containsText" text="ACTIVO">
      <formula>NOT(ISERROR(SEARCH("ACTIVO",E766)))</formula>
    </cfRule>
  </conditionalFormatting>
  <conditionalFormatting sqref="E770:E775">
    <cfRule type="containsText" dxfId="4413" priority="7668" operator="containsText" text="REVISION">
      <formula>NOT(ISERROR(SEARCH("REVISION",E770)))</formula>
    </cfRule>
    <cfRule type="containsText" dxfId="4412" priority="7669" operator="containsText" text="BAJA">
      <formula>NOT(ISERROR(SEARCH("BAJA",E770)))</formula>
    </cfRule>
    <cfRule type="containsText" dxfId="4411" priority="7670" operator="containsText" text="INACTIVO">
      <formula>NOT(ISERROR(SEARCH("INACTIVO",E770)))</formula>
    </cfRule>
    <cfRule type="containsText" dxfId="4410" priority="7672" operator="containsText" text="ACTIVO ">
      <formula>NOT(ISERROR(SEARCH("ACTIVO ",E770)))</formula>
    </cfRule>
  </conditionalFormatting>
  <conditionalFormatting sqref="E770:E780 E782">
    <cfRule type="containsText" dxfId="4409" priority="7634" operator="containsText" text="ACTIVO">
      <formula>NOT(ISERROR(SEARCH("ACTIVO",E770)))</formula>
    </cfRule>
    <cfRule type="containsText" dxfId="4408" priority="7630" operator="containsText" text="REVISION">
      <formula>NOT(ISERROR(SEARCH("REVISION",E770)))</formula>
    </cfRule>
  </conditionalFormatting>
  <conditionalFormatting sqref="E776:E780 E782">
    <cfRule type="containsText" dxfId="4407" priority="7631" operator="containsText" text="REVISION">
      <formula>NOT(ISERROR(SEARCH("REVISION",E776)))</formula>
    </cfRule>
    <cfRule type="containsText" dxfId="4406" priority="7632" operator="containsText" text="BAJA">
      <formula>NOT(ISERROR(SEARCH("BAJA",E776)))</formula>
    </cfRule>
    <cfRule type="containsText" dxfId="4405" priority="7633" operator="containsText" text="INACTIVO">
      <formula>NOT(ISERROR(SEARCH("INACTIVO",E776)))</formula>
    </cfRule>
    <cfRule type="containsText" dxfId="4404" priority="7635" operator="containsText" text="ACTIVO ">
      <formula>NOT(ISERROR(SEARCH("ACTIVO ",E776)))</formula>
    </cfRule>
  </conditionalFormatting>
  <conditionalFormatting sqref="E776:E782">
    <cfRule type="containsText" dxfId="4403" priority="7594" operator="containsText" text="ACTIVO">
      <formula>NOT(ISERROR(SEARCH("ACTIVO",E776)))</formula>
    </cfRule>
    <cfRule type="containsText" dxfId="4402" priority="7590" operator="containsText" text="REVISION">
      <formula>NOT(ISERROR(SEARCH("REVISION",E776)))</formula>
    </cfRule>
  </conditionalFormatting>
  <conditionalFormatting sqref="E781">
    <cfRule type="containsText" dxfId="4401" priority="7588" operator="containsText" text="ACTIVO">
      <formula>NOT(ISERROR(SEARCH("ACTIVO",E781)))</formula>
    </cfRule>
    <cfRule type="containsText" dxfId="4400" priority="7586" operator="containsText" text="REVISION">
      <formula>NOT(ISERROR(SEARCH("REVISION",E781)))</formula>
    </cfRule>
    <cfRule type="containsText" dxfId="4399" priority="7595" operator="containsText" text="ACTIVO ">
      <formula>NOT(ISERROR(SEARCH("ACTIVO ",E781)))</formula>
    </cfRule>
    <cfRule type="containsText" dxfId="4398" priority="7591" operator="containsText" text="REVISION">
      <formula>NOT(ISERROR(SEARCH("REVISION",E781)))</formula>
    </cfRule>
    <cfRule type="containsText" dxfId="4397" priority="7593" operator="containsText" text="INACTIVO">
      <formula>NOT(ISERROR(SEARCH("INACTIVO",E781)))</formula>
    </cfRule>
    <cfRule type="containsText" dxfId="4396" priority="7592" operator="containsText" text="BAJA">
      <formula>NOT(ISERROR(SEARCH("BAJA",E781)))</formula>
    </cfRule>
  </conditionalFormatting>
  <conditionalFormatting sqref="E783:E784">
    <cfRule type="containsText" dxfId="4395" priority="7568" operator="containsText" text="BAJA">
      <formula>NOT(ISERROR(SEARCH("BAJA",E783)))</formula>
    </cfRule>
    <cfRule type="containsText" dxfId="4394" priority="7569" operator="containsText" text="INACTIVO">
      <formula>NOT(ISERROR(SEARCH("INACTIVO",E783)))</formula>
    </cfRule>
    <cfRule type="containsText" dxfId="4393" priority="7571" operator="containsText" text="ACTIVO ">
      <formula>NOT(ISERROR(SEARCH("ACTIVO ",E783)))</formula>
    </cfRule>
    <cfRule type="containsText" dxfId="4392" priority="7566" operator="containsText" text="REVISION">
      <formula>NOT(ISERROR(SEARCH("REVISION",E783)))</formula>
    </cfRule>
    <cfRule type="containsText" dxfId="4391" priority="7570" operator="containsText" text="ACTIVO">
      <formula>NOT(ISERROR(SEARCH("ACTIVO",E783)))</formula>
    </cfRule>
    <cfRule type="containsText" dxfId="4390" priority="7567" operator="containsText" text="REVISION">
      <formula>NOT(ISERROR(SEARCH("REVISION",E783)))</formula>
    </cfRule>
  </conditionalFormatting>
  <conditionalFormatting sqref="E783:E786">
    <cfRule type="containsText" dxfId="4389" priority="7546" operator="containsText" text="ACTIVO">
      <formula>NOT(ISERROR(SEARCH("ACTIVO",E783)))</formula>
    </cfRule>
    <cfRule type="containsText" dxfId="4388" priority="7542" operator="containsText" text="REVISION">
      <formula>NOT(ISERROR(SEARCH("REVISION",E783)))</formula>
    </cfRule>
  </conditionalFormatting>
  <conditionalFormatting sqref="E785:E786">
    <cfRule type="containsText" dxfId="4387" priority="7547" operator="containsText" text="ACTIVO ">
      <formula>NOT(ISERROR(SEARCH("ACTIVO ",E785)))</formula>
    </cfRule>
    <cfRule type="containsText" dxfId="4386" priority="7543" operator="containsText" text="REVISION">
      <formula>NOT(ISERROR(SEARCH("REVISION",E785)))</formula>
    </cfRule>
    <cfRule type="containsText" dxfId="4385" priority="7544" operator="containsText" text="BAJA">
      <formula>NOT(ISERROR(SEARCH("BAJA",E785)))</formula>
    </cfRule>
    <cfRule type="containsText" dxfId="4384" priority="7545" operator="containsText" text="INACTIVO">
      <formula>NOT(ISERROR(SEARCH("INACTIVO",E785)))</formula>
    </cfRule>
  </conditionalFormatting>
  <conditionalFormatting sqref="E785:E789">
    <cfRule type="containsText" dxfId="4383" priority="7522" operator="containsText" text="ACTIVO">
      <formula>NOT(ISERROR(SEARCH("ACTIVO",E785)))</formula>
    </cfRule>
    <cfRule type="containsText" dxfId="4382" priority="7518" operator="containsText" text="REVISION">
      <formula>NOT(ISERROR(SEARCH("REVISION",E785)))</formula>
    </cfRule>
  </conditionalFormatting>
  <conditionalFormatting sqref="E787:E789">
    <cfRule type="containsText" dxfId="4381" priority="7519" operator="containsText" text="REVISION">
      <formula>NOT(ISERROR(SEARCH("REVISION",E787)))</formula>
    </cfRule>
    <cfRule type="containsText" dxfId="4380" priority="7520" operator="containsText" text="BAJA">
      <formula>NOT(ISERROR(SEARCH("BAJA",E787)))</formula>
    </cfRule>
    <cfRule type="containsText" dxfId="4379" priority="7521" operator="containsText" text="INACTIVO">
      <formula>NOT(ISERROR(SEARCH("INACTIVO",E787)))</formula>
    </cfRule>
    <cfRule type="containsText" dxfId="4378" priority="7523" operator="containsText" text="ACTIVO ">
      <formula>NOT(ISERROR(SEARCH("ACTIVO ",E787)))</formula>
    </cfRule>
  </conditionalFormatting>
  <conditionalFormatting sqref="E787:E801">
    <cfRule type="containsText" dxfId="4377" priority="7492" operator="containsText" text="ACTIVO">
      <formula>NOT(ISERROR(SEARCH("ACTIVO",E787)))</formula>
    </cfRule>
    <cfRule type="containsText" dxfId="4376" priority="7488" operator="containsText" text="REVISION">
      <formula>NOT(ISERROR(SEARCH("REVISION",E787)))</formula>
    </cfRule>
  </conditionalFormatting>
  <conditionalFormatting sqref="E790:E801">
    <cfRule type="containsText" dxfId="4375" priority="7493" operator="containsText" text="ACTIVO ">
      <formula>NOT(ISERROR(SEARCH("ACTIVO ",E790)))</formula>
    </cfRule>
    <cfRule type="containsText" dxfId="4374" priority="7491" operator="containsText" text="INACTIVO">
      <formula>NOT(ISERROR(SEARCH("INACTIVO",E790)))</formula>
    </cfRule>
    <cfRule type="containsText" dxfId="4373" priority="7490" operator="containsText" text="BAJA">
      <formula>NOT(ISERROR(SEARCH("BAJA",E790)))</formula>
    </cfRule>
    <cfRule type="containsText" dxfId="4372" priority="7489" operator="containsText" text="REVISION">
      <formula>NOT(ISERROR(SEARCH("REVISION",E790)))</formula>
    </cfRule>
  </conditionalFormatting>
  <conditionalFormatting sqref="E790:E804">
    <cfRule type="containsText" dxfId="4371" priority="7452" operator="containsText" text="ACTIVO">
      <formula>NOT(ISERROR(SEARCH("ACTIVO",E790)))</formula>
    </cfRule>
    <cfRule type="containsText" dxfId="4370" priority="7448" operator="containsText" text="REVISION">
      <formula>NOT(ISERROR(SEARCH("REVISION",E790)))</formula>
    </cfRule>
  </conditionalFormatting>
  <conditionalFormatting sqref="E802:E804">
    <cfRule type="containsText" dxfId="4369" priority="7453" operator="containsText" text="ACTIVO ">
      <formula>NOT(ISERROR(SEARCH("ACTIVO ",E802)))</formula>
    </cfRule>
    <cfRule type="containsText" dxfId="4368" priority="7451" operator="containsText" text="INACTIVO">
      <formula>NOT(ISERROR(SEARCH("INACTIVO",E802)))</formula>
    </cfRule>
    <cfRule type="containsText" dxfId="4367" priority="7450" operator="containsText" text="BAJA">
      <formula>NOT(ISERROR(SEARCH("BAJA",E802)))</formula>
    </cfRule>
    <cfRule type="containsText" dxfId="4366" priority="7449" operator="containsText" text="REVISION">
      <formula>NOT(ISERROR(SEARCH("REVISION",E802)))</formula>
    </cfRule>
  </conditionalFormatting>
  <conditionalFormatting sqref="E802:E807">
    <cfRule type="containsText" dxfId="4365" priority="7420" operator="containsText" text="REVISION">
      <formula>NOT(ISERROR(SEARCH("REVISION",E802)))</formula>
    </cfRule>
  </conditionalFormatting>
  <conditionalFormatting sqref="E802:E812">
    <cfRule type="containsText" dxfId="4364" priority="7424" operator="containsText" text="ACTIVO">
      <formula>NOT(ISERROR(SEARCH("ACTIVO",E802)))</formula>
    </cfRule>
  </conditionalFormatting>
  <conditionalFormatting sqref="E805:E807">
    <cfRule type="containsText" dxfId="4363" priority="7421" operator="containsText" text="REVISION">
      <formula>NOT(ISERROR(SEARCH("REVISION",E805)))</formula>
    </cfRule>
    <cfRule type="containsText" dxfId="4362" priority="7422" operator="containsText" text="BAJA">
      <formula>NOT(ISERROR(SEARCH("BAJA",E805)))</formula>
    </cfRule>
    <cfRule type="containsText" dxfId="4361" priority="7416" operator="containsText" text="REVISION">
      <formula>NOT(ISERROR(SEARCH("REVISION",E805)))</formula>
    </cfRule>
    <cfRule type="containsText" dxfId="4360" priority="7418" operator="containsText" text="ACTIVO">
      <formula>NOT(ISERROR(SEARCH("ACTIVO",E805)))</formula>
    </cfRule>
    <cfRule type="containsText" dxfId="4359" priority="7425" operator="containsText" text="ACTIVO ">
      <formula>NOT(ISERROR(SEARCH("ACTIVO ",E805)))</formula>
    </cfRule>
    <cfRule type="containsText" dxfId="4358" priority="7423" operator="containsText" text="INACTIVO">
      <formula>NOT(ISERROR(SEARCH("INACTIVO",E805)))</formula>
    </cfRule>
  </conditionalFormatting>
  <conditionalFormatting sqref="E813">
    <cfRule type="containsText" dxfId="4357" priority="7355" operator="containsText" text="ACTIVO ">
      <formula>NOT(ISERROR(SEARCH("ACTIVO ",E813)))</formula>
    </cfRule>
    <cfRule type="containsText" dxfId="4356" priority="7351" operator="containsText" text="REVISION">
      <formula>NOT(ISERROR(SEARCH("REVISION",E813)))</formula>
    </cfRule>
    <cfRule type="containsText" dxfId="4355" priority="7365" operator="containsText" text="BAJA">
      <formula>NOT(ISERROR(SEARCH("BAJA",E813)))</formula>
    </cfRule>
    <cfRule type="containsText" dxfId="4354" priority="7366" operator="containsText" text="INACTIVO">
      <formula>NOT(ISERROR(SEARCH("INACTIVO",E813)))</formula>
    </cfRule>
    <cfRule type="containsText" dxfId="4353" priority="7364" operator="containsText" text="REVISION">
      <formula>NOT(ISERROR(SEARCH("REVISION",E813)))</formula>
    </cfRule>
    <cfRule type="containsText" dxfId="4352" priority="7367" operator="containsText" text="ACTIVO">
      <formula>NOT(ISERROR(SEARCH("ACTIVO",E813)))</formula>
    </cfRule>
  </conditionalFormatting>
  <conditionalFormatting sqref="E813:E814 E820:E831">
    <cfRule type="containsText" dxfId="4351" priority="7346" operator="containsText" text="ACTIVO">
      <formula>NOT(ISERROR(SEARCH("ACTIVO",E813)))</formula>
    </cfRule>
  </conditionalFormatting>
  <conditionalFormatting sqref="E814 E820:E831">
    <cfRule type="containsText" dxfId="4350" priority="7345" operator="containsText" text="INACTIVO">
      <formula>NOT(ISERROR(SEARCH("INACTIVO",E814)))</formula>
    </cfRule>
    <cfRule type="containsText" dxfId="4349" priority="7344" operator="containsText" text="BAJA">
      <formula>NOT(ISERROR(SEARCH("BAJA",E814)))</formula>
    </cfRule>
    <cfRule type="containsText" dxfId="4348" priority="7343" operator="containsText" text="REVISION">
      <formula>NOT(ISERROR(SEARCH("REVISION",E814)))</formula>
    </cfRule>
    <cfRule type="containsText" dxfId="4347" priority="7330" operator="containsText" text="REVISION">
      <formula>NOT(ISERROR(SEARCH("REVISION",E814)))</formula>
    </cfRule>
    <cfRule type="containsText" dxfId="4346" priority="7334" operator="containsText" text="ACTIVO ">
      <formula>NOT(ISERROR(SEARCH("ACTIVO ",E814)))</formula>
    </cfRule>
  </conditionalFormatting>
  <conditionalFormatting sqref="E814:E815">
    <cfRule type="containsText" dxfId="4345" priority="7323" operator="containsText" text="ACTIVO">
      <formula>NOT(ISERROR(SEARCH("ACTIVO",E814)))</formula>
    </cfRule>
  </conditionalFormatting>
  <conditionalFormatting sqref="E815">
    <cfRule type="containsText" dxfId="4344" priority="7307" operator="containsText" text="REVISION">
      <formula>NOT(ISERROR(SEARCH("REVISION",E815)))</formula>
    </cfRule>
    <cfRule type="containsText" dxfId="4343" priority="7311" operator="containsText" text="ACTIVO ">
      <formula>NOT(ISERROR(SEARCH("ACTIVO ",E815)))</formula>
    </cfRule>
    <cfRule type="containsText" dxfId="4342" priority="7320" operator="containsText" text="REVISION">
      <formula>NOT(ISERROR(SEARCH("REVISION",E815)))</formula>
    </cfRule>
    <cfRule type="containsText" dxfId="4341" priority="7322" operator="containsText" text="INACTIVO">
      <formula>NOT(ISERROR(SEARCH("INACTIVO",E815)))</formula>
    </cfRule>
    <cfRule type="containsText" dxfId="4340" priority="7321" operator="containsText" text="BAJA">
      <formula>NOT(ISERROR(SEARCH("BAJA",E815)))</formula>
    </cfRule>
  </conditionalFormatting>
  <conditionalFormatting sqref="E815:E816">
    <cfRule type="containsText" dxfId="4339" priority="7300" operator="containsText" text="ACTIVO">
      <formula>NOT(ISERROR(SEARCH("ACTIVO",E815)))</formula>
    </cfRule>
  </conditionalFormatting>
  <conditionalFormatting sqref="E816">
    <cfRule type="containsText" dxfId="4338" priority="7298" operator="containsText" text="BAJA">
      <formula>NOT(ISERROR(SEARCH("BAJA",E816)))</formula>
    </cfRule>
    <cfRule type="containsText" dxfId="4337" priority="7299" operator="containsText" text="INACTIVO">
      <formula>NOT(ISERROR(SEARCH("INACTIVO",E816)))</formula>
    </cfRule>
    <cfRule type="containsText" dxfId="4336" priority="7288" operator="containsText" text="ACTIVO ">
      <formula>NOT(ISERROR(SEARCH("ACTIVO ",E816)))</formula>
    </cfRule>
    <cfRule type="containsText" dxfId="4335" priority="7297" operator="containsText" text="REVISION">
      <formula>NOT(ISERROR(SEARCH("REVISION",E816)))</formula>
    </cfRule>
    <cfRule type="containsText" dxfId="4334" priority="7284" operator="containsText" text="REVISION">
      <formula>NOT(ISERROR(SEARCH("REVISION",E816)))</formula>
    </cfRule>
  </conditionalFormatting>
  <conditionalFormatting sqref="E816:E817">
    <cfRule type="containsText" dxfId="4333" priority="7277" operator="containsText" text="ACTIVO">
      <formula>NOT(ISERROR(SEARCH("ACTIVO",E816)))</formula>
    </cfRule>
  </conditionalFormatting>
  <conditionalFormatting sqref="E817">
    <cfRule type="containsText" dxfId="4332" priority="7276" operator="containsText" text="INACTIVO">
      <formula>NOT(ISERROR(SEARCH("INACTIVO",E817)))</formula>
    </cfRule>
    <cfRule type="containsText" dxfId="4331" priority="7265" operator="containsText" text="ACTIVO ">
      <formula>NOT(ISERROR(SEARCH("ACTIVO ",E817)))</formula>
    </cfRule>
    <cfRule type="containsText" dxfId="4330" priority="7261" operator="containsText" text="REVISION">
      <formula>NOT(ISERROR(SEARCH("REVISION",E817)))</formula>
    </cfRule>
    <cfRule type="containsText" dxfId="4329" priority="7274" operator="containsText" text="REVISION">
      <formula>NOT(ISERROR(SEARCH("REVISION",E817)))</formula>
    </cfRule>
    <cfRule type="containsText" dxfId="4328" priority="7275" operator="containsText" text="BAJA">
      <formula>NOT(ISERROR(SEARCH("BAJA",E817)))</formula>
    </cfRule>
  </conditionalFormatting>
  <conditionalFormatting sqref="E817:E818">
    <cfRule type="containsText" dxfId="4327" priority="7244" operator="containsText" text="ACTIVO">
      <formula>NOT(ISERROR(SEARCH("ACTIVO",E817)))</formula>
    </cfRule>
  </conditionalFormatting>
  <conditionalFormatting sqref="E818">
    <cfRule type="containsText" dxfId="4326" priority="7243" operator="containsText" text="INACTIVO">
      <formula>NOT(ISERROR(SEARCH("INACTIVO",E818)))</formula>
    </cfRule>
    <cfRule type="containsText" dxfId="4325" priority="7242" operator="containsText" text="BAJA">
      <formula>NOT(ISERROR(SEARCH("BAJA",E818)))</formula>
    </cfRule>
    <cfRule type="containsText" dxfId="4324" priority="7241" operator="containsText" text="REVISION">
      <formula>NOT(ISERROR(SEARCH("REVISION",E818)))</formula>
    </cfRule>
    <cfRule type="containsText" dxfId="4323" priority="7240" operator="containsText" text="ACTIVO ">
      <formula>NOT(ISERROR(SEARCH("ACTIVO ",E818)))</formula>
    </cfRule>
    <cfRule type="containsText" dxfId="4322" priority="7239" operator="containsText" text="REVISION">
      <formula>NOT(ISERROR(SEARCH("REVISION",E818)))</formula>
    </cfRule>
  </conditionalFormatting>
  <conditionalFormatting sqref="E818:E831">
    <cfRule type="containsText" dxfId="4321" priority="7231" operator="containsText" text="ACTIVO">
      <formula>NOT(ISERROR(SEARCH("ACTIVO",E818)))</formula>
    </cfRule>
  </conditionalFormatting>
  <conditionalFormatting sqref="E819">
    <cfRule type="containsText" dxfId="4320" priority="7230" operator="containsText" text="INACTIVO">
      <formula>NOT(ISERROR(SEARCH("INACTIVO",E819)))</formula>
    </cfRule>
    <cfRule type="containsText" dxfId="4319" priority="7229" operator="containsText" text="BAJA">
      <formula>NOT(ISERROR(SEARCH("BAJA",E819)))</formula>
    </cfRule>
    <cfRule type="containsText" dxfId="4318" priority="7228" operator="containsText" text="REVISION">
      <formula>NOT(ISERROR(SEARCH("REVISION",E819)))</formula>
    </cfRule>
    <cfRule type="containsText" dxfId="4317" priority="7219" operator="containsText" text="ACTIVO ">
      <formula>NOT(ISERROR(SEARCH("ACTIVO ",E819)))</formula>
    </cfRule>
    <cfRule type="containsText" dxfId="4316" priority="7213" operator="containsText" text="ACTIVO">
      <formula>NOT(ISERROR(SEARCH("ACTIVO",E819)))</formula>
    </cfRule>
    <cfRule type="containsText" dxfId="4315" priority="7215" operator="containsText" text="REVISION">
      <formula>NOT(ISERROR(SEARCH("REVISION",E819)))</formula>
    </cfRule>
  </conditionalFormatting>
  <conditionalFormatting sqref="E832">
    <cfRule type="containsText" dxfId="4314" priority="7172" operator="containsText" text="BAJA">
      <formula>NOT(ISERROR(SEARCH("BAJA",E832)))</formula>
    </cfRule>
    <cfRule type="containsText" dxfId="4313" priority="7173" operator="containsText" text="INACTIVO">
      <formula>NOT(ISERROR(SEARCH("INACTIVO",E832)))</formula>
    </cfRule>
    <cfRule type="containsText" dxfId="4312" priority="7174" operator="containsText" text="ACTIVO">
      <formula>NOT(ISERROR(SEARCH("ACTIVO",E832)))</formula>
    </cfRule>
    <cfRule type="containsText" dxfId="4311" priority="7158" operator="containsText" text="REVISION">
      <formula>NOT(ISERROR(SEARCH("REVISION",E832)))</formula>
    </cfRule>
    <cfRule type="containsText" dxfId="4310" priority="7162" operator="containsText" text="ACTIVO ">
      <formula>NOT(ISERROR(SEARCH("ACTIVO ",E832)))</formula>
    </cfRule>
    <cfRule type="containsText" dxfId="4309" priority="7171" operator="containsText" text="REVISION">
      <formula>NOT(ISERROR(SEARCH("REVISION",E832)))</formula>
    </cfRule>
  </conditionalFormatting>
  <conditionalFormatting sqref="E832:E835">
    <cfRule type="containsText" dxfId="4308" priority="7153" operator="containsText" text="ACTIVO">
      <formula>NOT(ISERROR(SEARCH("ACTIVO",E832)))</formula>
    </cfRule>
  </conditionalFormatting>
  <conditionalFormatting sqref="E833:E835">
    <cfRule type="containsText" dxfId="4307" priority="7148" operator="containsText" text="REVISION">
      <formula>NOT(ISERROR(SEARCH("REVISION",E833)))</formula>
    </cfRule>
    <cfRule type="containsText" dxfId="4306" priority="7149" operator="containsText" text="ACTIVO ">
      <formula>NOT(ISERROR(SEARCH("ACTIVO ",E833)))</formula>
    </cfRule>
    <cfRule type="containsText" dxfId="4305" priority="7150" operator="containsText" text="REVISION">
      <formula>NOT(ISERROR(SEARCH("REVISION",E833)))</formula>
    </cfRule>
    <cfRule type="containsText" dxfId="4304" priority="7151" operator="containsText" text="BAJA">
      <formula>NOT(ISERROR(SEARCH("BAJA",E833)))</formula>
    </cfRule>
    <cfRule type="containsText" dxfId="4303" priority="7152" operator="containsText" text="INACTIVO">
      <formula>NOT(ISERROR(SEARCH("INACTIVO",E833)))</formula>
    </cfRule>
  </conditionalFormatting>
  <conditionalFormatting sqref="E833:E839 E841:E842 E887:E890 E892 E894:E899 E901:E903 E926 E928:E933 E935:E939 E941:E942 E944:E945 E948 E1045 E1047:E1054 E1057:E1058 E1061:E1073 E1075:E1076 E1078:E1080 E1082:E1093 E1095:E1109 E1112 E1125:E1127 E1149:E1158 E1502:E1503">
    <cfRule type="containsText" dxfId="4302" priority="7128" operator="containsText" text="ACTIVO">
      <formula>NOT(ISERROR(SEARCH("ACTIVO",E833)))</formula>
    </cfRule>
  </conditionalFormatting>
  <conditionalFormatting sqref="E836:E839 E841:E842 E887:E890 E892 E894:E899 E901:E903 E926 E928:E933 E935:E939 E941:E942 E944:E945 E948 E1045 E1047:E1054 E1057:E1058 E1061:E1073 E1075:E1076 E1078:E1080 E1082:E1093 E1095:E1109 E1112 E1125:E1127 E1149:E1157 E1502:E1503 E1510:E1048576">
    <cfRule type="containsText" dxfId="4301" priority="7124" operator="containsText" text="ACTIVO ">
      <formula>NOT(ISERROR(SEARCH("ACTIVO ",E836)))</formula>
    </cfRule>
    <cfRule type="containsText" dxfId="4300" priority="7125" operator="containsText" text="REVISION">
      <formula>NOT(ISERROR(SEARCH("REVISION",E836)))</formula>
    </cfRule>
  </conditionalFormatting>
  <conditionalFormatting sqref="E836:E839 E841:E842 E887:E890 E892 E894:E899 E901:E903 E926 E928:E933 E935:E939 E941:E942 E944:E945 E948 E1045 E1047:E1054 E1057:E1058 E1061:E1073 E1075:E1076 E1078:E1080 E1082:E1093 E1095:E1109 E1112 E1125:E1127 E1149:E1157 E1502:E1503">
    <cfRule type="containsText" dxfId="4299" priority="7123" operator="containsText" text="REVISION">
      <formula>NOT(ISERROR(SEARCH("REVISION",E836)))</formula>
    </cfRule>
    <cfRule type="containsText" dxfId="4298" priority="7126" operator="containsText" text="BAJA">
      <formula>NOT(ISERROR(SEARCH("BAJA",E836)))</formula>
    </cfRule>
    <cfRule type="containsText" dxfId="4297" priority="7127" operator="containsText" text="INACTIVO">
      <formula>NOT(ISERROR(SEARCH("INACTIVO",E836)))</formula>
    </cfRule>
  </conditionalFormatting>
  <conditionalFormatting sqref="E836:E842">
    <cfRule type="containsText" dxfId="4296" priority="7085" operator="containsText" text="ACTIVO">
      <formula>NOT(ISERROR(SEARCH("ACTIVO",E836)))</formula>
    </cfRule>
  </conditionalFormatting>
  <conditionalFormatting sqref="E840">
    <cfRule type="containsText" dxfId="4295" priority="7081" operator="containsText" text="ACTIVO ">
      <formula>NOT(ISERROR(SEARCH("ACTIVO ",E840)))</formula>
    </cfRule>
    <cfRule type="containsText" dxfId="4294" priority="7080" operator="containsText" text="REVISION">
      <formula>NOT(ISERROR(SEARCH("REVISION",E840)))</formula>
    </cfRule>
    <cfRule type="containsText" dxfId="4293" priority="7078" operator="containsText" text="ACTIVO">
      <formula>NOT(ISERROR(SEARCH("ACTIVO",E840)))</formula>
    </cfRule>
    <cfRule type="containsText" dxfId="4292" priority="7084" operator="containsText" text="INACTIVO">
      <formula>NOT(ISERROR(SEARCH("INACTIVO",E840)))</formula>
    </cfRule>
    <cfRule type="containsText" dxfId="4291" priority="7083" operator="containsText" text="BAJA">
      <formula>NOT(ISERROR(SEARCH("BAJA",E840)))</formula>
    </cfRule>
    <cfRule type="containsText" dxfId="4290" priority="7082" operator="containsText" text="REVISION">
      <formula>NOT(ISERROR(SEARCH("REVISION",E840)))</formula>
    </cfRule>
  </conditionalFormatting>
  <conditionalFormatting sqref="E843">
    <cfRule type="containsText" dxfId="4289" priority="7027" operator="containsText" text="ACTIVO ">
      <formula>NOT(ISERROR(SEARCH("ACTIVO ",E843)))</formula>
    </cfRule>
    <cfRule type="containsText" dxfId="4288" priority="7026" operator="containsText" text="REVISION">
      <formula>NOT(ISERROR(SEARCH("REVISION",E843)))</formula>
    </cfRule>
    <cfRule type="containsText" dxfId="4287" priority="7031" operator="containsText" text="ACTIVO">
      <formula>NOT(ISERROR(SEARCH("ACTIVO",E843)))</formula>
    </cfRule>
    <cfRule type="containsText" dxfId="4286" priority="7030" operator="containsText" text="INACTIVO">
      <formula>NOT(ISERROR(SEARCH("INACTIVO",E843)))</formula>
    </cfRule>
    <cfRule type="containsText" dxfId="4285" priority="7029" operator="containsText" text="BAJA">
      <formula>NOT(ISERROR(SEARCH("BAJA",E843)))</formula>
    </cfRule>
    <cfRule type="containsText" dxfId="4284" priority="7028" operator="containsText" text="REVISION">
      <formula>NOT(ISERROR(SEARCH("REVISION",E843)))</formula>
    </cfRule>
  </conditionalFormatting>
  <conditionalFormatting sqref="E843:E844">
    <cfRule type="containsText" dxfId="4283" priority="7008" operator="containsText" text="ACTIVO">
      <formula>NOT(ISERROR(SEARCH("ACTIVO",E843)))</formula>
    </cfRule>
  </conditionalFormatting>
  <conditionalFormatting sqref="E844">
    <cfRule type="containsText" dxfId="4282" priority="7005" operator="containsText" text="REVISION">
      <formula>NOT(ISERROR(SEARCH("REVISION",E844)))</formula>
    </cfRule>
    <cfRule type="containsText" dxfId="4281" priority="7004" operator="containsText" text="ACTIVO ">
      <formula>NOT(ISERROR(SEARCH("ACTIVO ",E844)))</formula>
    </cfRule>
    <cfRule type="containsText" dxfId="4280" priority="7003" operator="containsText" text="REVISION">
      <formula>NOT(ISERROR(SEARCH("REVISION",E844)))</formula>
    </cfRule>
    <cfRule type="containsText" dxfId="4279" priority="7006" operator="containsText" text="BAJA">
      <formula>NOT(ISERROR(SEARCH("BAJA",E844)))</formula>
    </cfRule>
    <cfRule type="containsText" dxfId="4278" priority="7007" operator="containsText" text="INACTIVO">
      <formula>NOT(ISERROR(SEARCH("INACTIVO",E844)))</formula>
    </cfRule>
  </conditionalFormatting>
  <conditionalFormatting sqref="E844:E845">
    <cfRule type="containsText" dxfId="4277" priority="6956" operator="containsText" text="ACTIVO">
      <formula>NOT(ISERROR(SEARCH("ACTIVO",E844)))</formula>
    </cfRule>
  </conditionalFormatting>
  <conditionalFormatting sqref="E845">
    <cfRule type="containsText" dxfId="4276" priority="6955" operator="containsText" text="INACTIVO">
      <formula>NOT(ISERROR(SEARCH("INACTIVO",E845)))</formula>
    </cfRule>
    <cfRule type="containsText" dxfId="4275" priority="6952" operator="containsText" text="ACTIVO ">
      <formula>NOT(ISERROR(SEARCH("ACTIVO ",E845)))</formula>
    </cfRule>
    <cfRule type="containsText" dxfId="4274" priority="6954" operator="containsText" text="BAJA">
      <formula>NOT(ISERROR(SEARCH("BAJA",E845)))</formula>
    </cfRule>
    <cfRule type="containsText" dxfId="4273" priority="6953" operator="containsText" text="REVISION">
      <formula>NOT(ISERROR(SEARCH("REVISION",E845)))</formula>
    </cfRule>
    <cfRule type="containsText" dxfId="4272" priority="6951" operator="containsText" text="REVISION">
      <formula>NOT(ISERROR(SEARCH("REVISION",E845)))</formula>
    </cfRule>
  </conditionalFormatting>
  <conditionalFormatting sqref="E845:E846">
    <cfRule type="containsText" dxfId="4271" priority="6922" operator="containsText" text="ACTIVO">
      <formula>NOT(ISERROR(SEARCH("ACTIVO",E845)))</formula>
    </cfRule>
  </conditionalFormatting>
  <conditionalFormatting sqref="E846">
    <cfRule type="containsText" dxfId="4270" priority="6919" operator="containsText" text="REVISION">
      <formula>NOT(ISERROR(SEARCH("REVISION",E846)))</formula>
    </cfRule>
    <cfRule type="containsText" dxfId="4269" priority="6920" operator="containsText" text="BAJA">
      <formula>NOT(ISERROR(SEARCH("BAJA",E846)))</formula>
    </cfRule>
    <cfRule type="containsText" dxfId="4268" priority="6921" operator="containsText" text="INACTIVO">
      <formula>NOT(ISERROR(SEARCH("INACTIVO",E846)))</formula>
    </cfRule>
    <cfRule type="containsText" dxfId="4267" priority="6918" operator="containsText" text="ACTIVO ">
      <formula>NOT(ISERROR(SEARCH("ACTIVO ",E846)))</formula>
    </cfRule>
    <cfRule type="containsText" dxfId="4266" priority="6917" operator="containsText" text="REVISION">
      <formula>NOT(ISERROR(SEARCH("REVISION",E846)))</formula>
    </cfRule>
  </conditionalFormatting>
  <conditionalFormatting sqref="E846:E847">
    <cfRule type="containsText" dxfId="4265" priority="6888" operator="containsText" text="ACTIVO">
      <formula>NOT(ISERROR(SEARCH("ACTIVO",E846)))</formula>
    </cfRule>
  </conditionalFormatting>
  <conditionalFormatting sqref="E847">
    <cfRule type="containsText" dxfId="4264" priority="6887" operator="containsText" text="INACTIVO">
      <formula>NOT(ISERROR(SEARCH("INACTIVO",E847)))</formula>
    </cfRule>
    <cfRule type="containsText" dxfId="4263" priority="6886" operator="containsText" text="BAJA">
      <formula>NOT(ISERROR(SEARCH("BAJA",E847)))</formula>
    </cfRule>
    <cfRule type="containsText" dxfId="4262" priority="6885" operator="containsText" text="REVISION">
      <formula>NOT(ISERROR(SEARCH("REVISION",E847)))</formula>
    </cfRule>
    <cfRule type="containsText" dxfId="4261" priority="6884" operator="containsText" text="ACTIVO ">
      <formula>NOT(ISERROR(SEARCH("ACTIVO ",E847)))</formula>
    </cfRule>
    <cfRule type="containsText" dxfId="4260" priority="6883" operator="containsText" text="REVISION">
      <formula>NOT(ISERROR(SEARCH("REVISION",E847)))</formula>
    </cfRule>
  </conditionalFormatting>
  <conditionalFormatting sqref="E847:E848">
    <cfRule type="containsText" dxfId="4259" priority="6854" operator="containsText" text="ACTIVO">
      <formula>NOT(ISERROR(SEARCH("ACTIVO",E847)))</formula>
    </cfRule>
  </conditionalFormatting>
  <conditionalFormatting sqref="E848">
    <cfRule type="containsText" dxfId="4258" priority="6850" operator="containsText" text="ACTIVO ">
      <formula>NOT(ISERROR(SEARCH("ACTIVO ",E848)))</formula>
    </cfRule>
    <cfRule type="containsText" dxfId="4257" priority="6853" operator="containsText" text="INACTIVO">
      <formula>NOT(ISERROR(SEARCH("INACTIVO",E848)))</formula>
    </cfRule>
    <cfRule type="containsText" dxfId="4256" priority="6852" operator="containsText" text="BAJA">
      <formula>NOT(ISERROR(SEARCH("BAJA",E848)))</formula>
    </cfRule>
    <cfRule type="containsText" dxfId="4255" priority="6851" operator="containsText" text="REVISION">
      <formula>NOT(ISERROR(SEARCH("REVISION",E848)))</formula>
    </cfRule>
    <cfRule type="containsText" dxfId="4254" priority="6849" operator="containsText" text="REVISION">
      <formula>NOT(ISERROR(SEARCH("REVISION",E848)))</formula>
    </cfRule>
  </conditionalFormatting>
  <conditionalFormatting sqref="E848:E849">
    <cfRule type="containsText" dxfId="4253" priority="6820" operator="containsText" text="ACTIVO">
      <formula>NOT(ISERROR(SEARCH("ACTIVO",E848)))</formula>
    </cfRule>
  </conditionalFormatting>
  <conditionalFormatting sqref="E849">
    <cfRule type="containsText" dxfId="4252" priority="6819" operator="containsText" text="INACTIVO">
      <formula>NOT(ISERROR(SEARCH("INACTIVO",E849)))</formula>
    </cfRule>
    <cfRule type="containsText" dxfId="4251" priority="6815" operator="containsText" text="REVISION">
      <formula>NOT(ISERROR(SEARCH("REVISION",E849)))</formula>
    </cfRule>
    <cfRule type="containsText" dxfId="4250" priority="6816" operator="containsText" text="ACTIVO ">
      <formula>NOT(ISERROR(SEARCH("ACTIVO ",E849)))</formula>
    </cfRule>
    <cfRule type="containsText" dxfId="4249" priority="6817" operator="containsText" text="REVISION">
      <formula>NOT(ISERROR(SEARCH("REVISION",E849)))</formula>
    </cfRule>
    <cfRule type="containsText" dxfId="4248" priority="6818" operator="containsText" text="BAJA">
      <formula>NOT(ISERROR(SEARCH("BAJA",E849)))</formula>
    </cfRule>
  </conditionalFormatting>
  <conditionalFormatting sqref="E849:E850">
    <cfRule type="containsText" dxfId="4247" priority="6788" operator="containsText" text="ACTIVO">
      <formula>NOT(ISERROR(SEARCH("ACTIVO",E849)))</formula>
    </cfRule>
  </conditionalFormatting>
  <conditionalFormatting sqref="E850">
    <cfRule type="containsText" dxfId="4246" priority="6783" operator="containsText" text="REVISION">
      <formula>NOT(ISERROR(SEARCH("REVISION",E850)))</formula>
    </cfRule>
    <cfRule type="containsText" dxfId="4245" priority="6784" operator="containsText" text="ACTIVO ">
      <formula>NOT(ISERROR(SEARCH("ACTIVO ",E850)))</formula>
    </cfRule>
    <cfRule type="containsText" dxfId="4244" priority="6787" operator="containsText" text="INACTIVO">
      <formula>NOT(ISERROR(SEARCH("INACTIVO",E850)))</formula>
    </cfRule>
    <cfRule type="containsText" dxfId="4243" priority="6786" operator="containsText" text="BAJA">
      <formula>NOT(ISERROR(SEARCH("BAJA",E850)))</formula>
    </cfRule>
    <cfRule type="containsText" dxfId="4242" priority="6785" operator="containsText" text="REVISION">
      <formula>NOT(ISERROR(SEARCH("REVISION",E850)))</formula>
    </cfRule>
  </conditionalFormatting>
  <conditionalFormatting sqref="E850:E851">
    <cfRule type="containsText" dxfId="4241" priority="6754" operator="containsText" text="ACTIVO">
      <formula>NOT(ISERROR(SEARCH("ACTIVO",E850)))</formula>
    </cfRule>
  </conditionalFormatting>
  <conditionalFormatting sqref="E851">
    <cfRule type="containsText" dxfId="4240" priority="6749" operator="containsText" text="REVISION">
      <formula>NOT(ISERROR(SEARCH("REVISION",E851)))</formula>
    </cfRule>
    <cfRule type="containsText" dxfId="4239" priority="6750" operator="containsText" text="ACTIVO ">
      <formula>NOT(ISERROR(SEARCH("ACTIVO ",E851)))</formula>
    </cfRule>
    <cfRule type="containsText" dxfId="4238" priority="6751" operator="containsText" text="REVISION">
      <formula>NOT(ISERROR(SEARCH("REVISION",E851)))</formula>
    </cfRule>
    <cfRule type="containsText" dxfId="4237" priority="6752" operator="containsText" text="BAJA">
      <formula>NOT(ISERROR(SEARCH("BAJA",E851)))</formula>
    </cfRule>
    <cfRule type="containsText" dxfId="4236" priority="6753" operator="containsText" text="INACTIVO">
      <formula>NOT(ISERROR(SEARCH("INACTIVO",E851)))</formula>
    </cfRule>
  </conditionalFormatting>
  <conditionalFormatting sqref="E851:E852">
    <cfRule type="containsText" dxfId="4235" priority="6695" operator="containsText" text="ACTIVO">
      <formula>NOT(ISERROR(SEARCH("ACTIVO",E851)))</formula>
    </cfRule>
  </conditionalFormatting>
  <conditionalFormatting sqref="E852">
    <cfRule type="containsText" dxfId="4234" priority="6691" operator="containsText" text="ACTIVO ">
      <formula>NOT(ISERROR(SEARCH("ACTIVO ",E852)))</formula>
    </cfRule>
    <cfRule type="containsText" dxfId="4233" priority="6692" operator="containsText" text="REVISION">
      <formula>NOT(ISERROR(SEARCH("REVISION",E852)))</formula>
    </cfRule>
    <cfRule type="containsText" dxfId="4232" priority="6690" operator="containsText" text="REVISION">
      <formula>NOT(ISERROR(SEARCH("REVISION",E852)))</formula>
    </cfRule>
    <cfRule type="containsText" dxfId="4231" priority="6694" operator="containsText" text="INACTIVO">
      <formula>NOT(ISERROR(SEARCH("INACTIVO",E852)))</formula>
    </cfRule>
    <cfRule type="containsText" dxfId="4230" priority="6693" operator="containsText" text="BAJA">
      <formula>NOT(ISERROR(SEARCH("BAJA",E852)))</formula>
    </cfRule>
  </conditionalFormatting>
  <conditionalFormatting sqref="E852:E853">
    <cfRule type="containsText" dxfId="4229" priority="6673" operator="containsText" text="ACTIVO">
      <formula>NOT(ISERROR(SEARCH("ACTIVO",E852)))</formula>
    </cfRule>
  </conditionalFormatting>
  <conditionalFormatting sqref="E853">
    <cfRule type="containsText" dxfId="4228" priority="6671" operator="containsText" text="BAJA">
      <formula>NOT(ISERROR(SEARCH("BAJA",E853)))</formula>
    </cfRule>
    <cfRule type="containsText" dxfId="4227" priority="6668" operator="containsText" text="REVISION">
      <formula>NOT(ISERROR(SEARCH("REVISION",E853)))</formula>
    </cfRule>
    <cfRule type="containsText" dxfId="4226" priority="6670" operator="containsText" text="REVISION">
      <formula>NOT(ISERROR(SEARCH("REVISION",E853)))</formula>
    </cfRule>
    <cfRule type="containsText" dxfId="4225" priority="6672" operator="containsText" text="INACTIVO">
      <formula>NOT(ISERROR(SEARCH("INACTIVO",E853)))</formula>
    </cfRule>
    <cfRule type="containsText" dxfId="4224" priority="6669" operator="containsText" text="ACTIVO ">
      <formula>NOT(ISERROR(SEARCH("ACTIVO ",E853)))</formula>
    </cfRule>
  </conditionalFormatting>
  <conditionalFormatting sqref="E853:E854">
    <cfRule type="containsText" dxfId="4223" priority="5940" operator="containsText" text="ACTIVO">
      <formula>NOT(ISERROR(SEARCH("ACTIVO",E853)))</formula>
    </cfRule>
  </conditionalFormatting>
  <conditionalFormatting sqref="E854">
    <cfRule type="containsText" dxfId="4222" priority="5938" operator="containsText" text="BAJA">
      <formula>NOT(ISERROR(SEARCH("BAJA",E854)))</formula>
    </cfRule>
    <cfRule type="containsText" dxfId="4221" priority="5939" operator="containsText" text="INACTIVO">
      <formula>NOT(ISERROR(SEARCH("INACTIVO",E854)))</formula>
    </cfRule>
    <cfRule type="containsText" dxfId="4220" priority="5937" operator="containsText" text="REVISION">
      <formula>NOT(ISERROR(SEARCH("REVISION",E854)))</formula>
    </cfRule>
    <cfRule type="containsText" dxfId="4219" priority="5936" operator="containsText" text="ACTIVO ">
      <formula>NOT(ISERROR(SEARCH("ACTIVO ",E854)))</formula>
    </cfRule>
    <cfRule type="containsText" dxfId="4218" priority="5935" operator="containsText" text="REVISION">
      <formula>NOT(ISERROR(SEARCH("REVISION",E854)))</formula>
    </cfRule>
    <cfRule type="containsText" dxfId="4217" priority="5933" operator="containsText" text="ACTIVO">
      <formula>NOT(ISERROR(SEARCH("ACTIVO",E854)))</formula>
    </cfRule>
  </conditionalFormatting>
  <conditionalFormatting sqref="E855">
    <cfRule type="containsText" dxfId="4216" priority="6637" operator="containsText" text="ACTIVO ">
      <formula>NOT(ISERROR(SEARCH("ACTIVO ",E855)))</formula>
    </cfRule>
    <cfRule type="containsText" dxfId="4215" priority="6638" operator="containsText" text="REVISION">
      <formula>NOT(ISERROR(SEARCH("REVISION",E855)))</formula>
    </cfRule>
    <cfRule type="containsText" dxfId="4214" priority="6641" operator="containsText" text="ACTIVO">
      <formula>NOT(ISERROR(SEARCH("ACTIVO",E855)))</formula>
    </cfRule>
    <cfRule type="containsText" dxfId="4213" priority="6636" operator="containsText" text="REVISION">
      <formula>NOT(ISERROR(SEARCH("REVISION",E855)))</formula>
    </cfRule>
    <cfRule type="containsText" dxfId="4212" priority="6639" operator="containsText" text="BAJA">
      <formula>NOT(ISERROR(SEARCH("BAJA",E855)))</formula>
    </cfRule>
    <cfRule type="containsText" dxfId="4211" priority="6640" operator="containsText" text="INACTIVO">
      <formula>NOT(ISERROR(SEARCH("INACTIVO",E855)))</formula>
    </cfRule>
  </conditionalFormatting>
  <conditionalFormatting sqref="E855:E856">
    <cfRule type="containsText" dxfId="4210" priority="6609" operator="containsText" text="ACTIVO">
      <formula>NOT(ISERROR(SEARCH("ACTIVO",E855)))</formula>
    </cfRule>
  </conditionalFormatting>
  <conditionalFormatting sqref="E856">
    <cfRule type="containsText" dxfId="4209" priority="6606" operator="containsText" text="REVISION">
      <formula>NOT(ISERROR(SEARCH("REVISION",E856)))</formula>
    </cfRule>
    <cfRule type="containsText" dxfId="4208" priority="6607" operator="containsText" text="BAJA">
      <formula>NOT(ISERROR(SEARCH("BAJA",E856)))</formula>
    </cfRule>
    <cfRule type="containsText" dxfId="4207" priority="6608" operator="containsText" text="INACTIVO">
      <formula>NOT(ISERROR(SEARCH("INACTIVO",E856)))</formula>
    </cfRule>
    <cfRule type="containsText" dxfId="4206" priority="6604" operator="containsText" text="REVISION">
      <formula>NOT(ISERROR(SEARCH("REVISION",E856)))</formula>
    </cfRule>
    <cfRule type="containsText" dxfId="4205" priority="6605" operator="containsText" text="ACTIVO ">
      <formula>NOT(ISERROR(SEARCH("ACTIVO ",E856)))</formula>
    </cfRule>
  </conditionalFormatting>
  <conditionalFormatting sqref="E856:E857">
    <cfRule type="containsText" dxfId="4204" priority="6577" operator="containsText" text="ACTIVO">
      <formula>NOT(ISERROR(SEARCH("ACTIVO",E856)))</formula>
    </cfRule>
  </conditionalFormatting>
  <conditionalFormatting sqref="E857">
    <cfRule type="containsText" dxfId="4203" priority="6576" operator="containsText" text="INACTIVO">
      <formula>NOT(ISERROR(SEARCH("INACTIVO",E857)))</formula>
    </cfRule>
    <cfRule type="containsText" dxfId="4202" priority="6575" operator="containsText" text="BAJA">
      <formula>NOT(ISERROR(SEARCH("BAJA",E857)))</formula>
    </cfRule>
    <cfRule type="containsText" dxfId="4201" priority="6574" operator="containsText" text="REVISION">
      <formula>NOT(ISERROR(SEARCH("REVISION",E857)))</formula>
    </cfRule>
    <cfRule type="containsText" dxfId="4200" priority="6573" operator="containsText" text="ACTIVO ">
      <formula>NOT(ISERROR(SEARCH("ACTIVO ",E857)))</formula>
    </cfRule>
    <cfRule type="containsText" dxfId="4199" priority="6572" operator="containsText" text="REVISION">
      <formula>NOT(ISERROR(SEARCH("REVISION",E857)))</formula>
    </cfRule>
  </conditionalFormatting>
  <conditionalFormatting sqref="E857:E858">
    <cfRule type="containsText" dxfId="4198" priority="6556" operator="containsText" text="ACTIVO">
      <formula>NOT(ISERROR(SEARCH("ACTIVO",E857)))</formula>
    </cfRule>
  </conditionalFormatting>
  <conditionalFormatting sqref="E858">
    <cfRule type="containsText" dxfId="4197" priority="6554" operator="containsText" text="BAJA">
      <formula>NOT(ISERROR(SEARCH("BAJA",E858)))</formula>
    </cfRule>
    <cfRule type="containsText" dxfId="4196" priority="6553" operator="containsText" text="REVISION">
      <formula>NOT(ISERROR(SEARCH("REVISION",E858)))</formula>
    </cfRule>
    <cfRule type="containsText" dxfId="4195" priority="6552" operator="containsText" text="ACTIVO ">
      <formula>NOT(ISERROR(SEARCH("ACTIVO ",E858)))</formula>
    </cfRule>
    <cfRule type="containsText" dxfId="4194" priority="6551" operator="containsText" text="REVISION">
      <formula>NOT(ISERROR(SEARCH("REVISION",E858)))</formula>
    </cfRule>
    <cfRule type="containsText" dxfId="4193" priority="6555" operator="containsText" text="INACTIVO">
      <formula>NOT(ISERROR(SEARCH("INACTIVO",E858)))</formula>
    </cfRule>
  </conditionalFormatting>
  <conditionalFormatting sqref="E858:E859">
    <cfRule type="containsText" dxfId="4192" priority="6479" operator="containsText" text="ACTIVO">
      <formula>NOT(ISERROR(SEARCH("ACTIVO",E858)))</formula>
    </cfRule>
  </conditionalFormatting>
  <conditionalFormatting sqref="E859">
    <cfRule type="containsText" dxfId="4191" priority="6478" operator="containsText" text="INACTIVO">
      <formula>NOT(ISERROR(SEARCH("INACTIVO",E859)))</formula>
    </cfRule>
    <cfRule type="containsText" dxfId="4190" priority="6476" operator="containsText" text="REVISION">
      <formula>NOT(ISERROR(SEARCH("REVISION",E859)))</formula>
    </cfRule>
    <cfRule type="containsText" dxfId="4189" priority="6475" operator="containsText" text="ACTIVO ">
      <formula>NOT(ISERROR(SEARCH("ACTIVO ",E859)))</formula>
    </cfRule>
    <cfRule type="containsText" dxfId="4188" priority="6477" operator="containsText" text="BAJA">
      <formula>NOT(ISERROR(SEARCH("BAJA",E859)))</formula>
    </cfRule>
    <cfRule type="containsText" dxfId="4187" priority="6474" operator="containsText" text="REVISION">
      <formula>NOT(ISERROR(SEARCH("REVISION",E859)))</formula>
    </cfRule>
  </conditionalFormatting>
  <conditionalFormatting sqref="E859:E861">
    <cfRule type="containsText" dxfId="4186" priority="6456" operator="containsText" text="ACTIVO">
      <formula>NOT(ISERROR(SEARCH("ACTIVO",E859)))</formula>
    </cfRule>
  </conditionalFormatting>
  <conditionalFormatting sqref="E860">
    <cfRule type="containsText" dxfId="4185" priority="6453" operator="containsText" text="REVISION">
      <formula>NOT(ISERROR(SEARCH("REVISION",E860)))</formula>
    </cfRule>
    <cfRule type="containsText" dxfId="4184" priority="6454" operator="containsText" text="BAJA">
      <formula>NOT(ISERROR(SEARCH("BAJA",E860)))</formula>
    </cfRule>
    <cfRule type="containsText" dxfId="4183" priority="6449" operator="containsText" text="ACTIVO">
      <formula>NOT(ISERROR(SEARCH("ACTIVO",E860)))</formula>
    </cfRule>
    <cfRule type="containsText" dxfId="4182" priority="6451" operator="containsText" text="REVISION">
      <formula>NOT(ISERROR(SEARCH("REVISION",E860)))</formula>
    </cfRule>
    <cfRule type="containsText" dxfId="4181" priority="6452" operator="containsText" text="ACTIVO ">
      <formula>NOT(ISERROR(SEARCH("ACTIVO ",E860)))</formula>
    </cfRule>
    <cfRule type="containsText" dxfId="4180" priority="6455" operator="containsText" text="INACTIVO">
      <formula>NOT(ISERROR(SEARCH("INACTIVO",E860)))</formula>
    </cfRule>
  </conditionalFormatting>
  <conditionalFormatting sqref="E861">
    <cfRule type="containsText" dxfId="4179" priority="6534" operator="containsText" text="INACTIVO">
      <formula>NOT(ISERROR(SEARCH("INACTIVO",E861)))</formula>
    </cfRule>
    <cfRule type="containsText" dxfId="4178" priority="6535" operator="containsText" text="ACTIVO">
      <formula>NOT(ISERROR(SEARCH("ACTIVO",E861)))</formula>
    </cfRule>
    <cfRule type="containsText" dxfId="4177" priority="6530" operator="containsText" text="REVISION">
      <formula>NOT(ISERROR(SEARCH("REVISION",E861)))</formula>
    </cfRule>
    <cfRule type="containsText" dxfId="4176" priority="6531" operator="containsText" text="ACTIVO ">
      <formula>NOT(ISERROR(SEARCH("ACTIVO ",E861)))</formula>
    </cfRule>
    <cfRule type="containsText" dxfId="4175" priority="6532" operator="containsText" text="REVISION">
      <formula>NOT(ISERROR(SEARCH("REVISION",E861)))</formula>
    </cfRule>
    <cfRule type="containsText" dxfId="4174" priority="6533" operator="containsText" text="BAJA">
      <formula>NOT(ISERROR(SEARCH("BAJA",E861)))</formula>
    </cfRule>
  </conditionalFormatting>
  <conditionalFormatting sqref="E862">
    <cfRule type="containsText" dxfId="4173" priority="6289" operator="containsText" text="REVISION">
      <formula>NOT(ISERROR(SEARCH("REVISION",E862)))</formula>
    </cfRule>
    <cfRule type="containsText" dxfId="4172" priority="6298" operator="containsText" text="ACTIVO ">
      <formula>NOT(ISERROR(SEARCH("ACTIVO ",E862)))</formula>
    </cfRule>
    <cfRule type="containsText" dxfId="4171" priority="6294" operator="containsText" text="REVISION">
      <formula>NOT(ISERROR(SEARCH("REVISION",E862)))</formula>
    </cfRule>
    <cfRule type="containsText" dxfId="4170" priority="6295" operator="containsText" text="BAJA">
      <formula>NOT(ISERROR(SEARCH("BAJA",E862)))</formula>
    </cfRule>
    <cfRule type="containsText" dxfId="4169" priority="6296" operator="containsText" text="INACTIVO">
      <formula>NOT(ISERROR(SEARCH("INACTIVO",E862)))</formula>
    </cfRule>
    <cfRule type="containsText" dxfId="4168" priority="6297" operator="containsText" text="ACTIVO">
      <formula>NOT(ISERROR(SEARCH("ACTIVO",E862)))</formula>
    </cfRule>
    <cfRule type="containsText" dxfId="4167" priority="6291" operator="containsText" text="ACTIVO">
      <formula>NOT(ISERROR(SEARCH("ACTIVO",E862)))</formula>
    </cfRule>
    <cfRule type="containsText" dxfId="4166" priority="6293" operator="containsText" text="REVISION">
      <formula>NOT(ISERROR(SEARCH("REVISION",E862)))</formula>
    </cfRule>
  </conditionalFormatting>
  <conditionalFormatting sqref="E863">
    <cfRule type="containsText" dxfId="4165" priority="6400" operator="containsText" text="REVISION">
      <formula>NOT(ISERROR(SEARCH("REVISION",E863)))</formula>
    </cfRule>
    <cfRule type="containsText" dxfId="4164" priority="6403" operator="containsText" text="ACTIVO">
      <formula>NOT(ISERROR(SEARCH("ACTIVO",E863)))</formula>
    </cfRule>
    <cfRule type="containsText" dxfId="4163" priority="6402" operator="containsText" text="INACTIVO">
      <formula>NOT(ISERROR(SEARCH("INACTIVO",E863)))</formula>
    </cfRule>
    <cfRule type="containsText" dxfId="4162" priority="6401" operator="containsText" text="BAJA">
      <formula>NOT(ISERROR(SEARCH("BAJA",E863)))</formula>
    </cfRule>
    <cfRule type="containsText" dxfId="4161" priority="6399" operator="containsText" text="ACTIVO ">
      <formula>NOT(ISERROR(SEARCH("ACTIVO ",E863)))</formula>
    </cfRule>
    <cfRule type="containsText" dxfId="4160" priority="6398" operator="containsText" text="REVISION">
      <formula>NOT(ISERROR(SEARCH("REVISION",E863)))</formula>
    </cfRule>
  </conditionalFormatting>
  <conditionalFormatting sqref="E863:E864">
    <cfRule type="containsText" dxfId="4159" priority="6382" operator="containsText" text="ACTIVO">
      <formula>NOT(ISERROR(SEARCH("ACTIVO",E863)))</formula>
    </cfRule>
  </conditionalFormatting>
  <conditionalFormatting sqref="E864">
    <cfRule type="containsText" dxfId="4158" priority="6377" operator="containsText" text="REVISION">
      <formula>NOT(ISERROR(SEARCH("REVISION",E864)))</formula>
    </cfRule>
    <cfRule type="containsText" dxfId="4157" priority="6380" operator="containsText" text="BAJA">
      <formula>NOT(ISERROR(SEARCH("BAJA",E864)))</formula>
    </cfRule>
    <cfRule type="containsText" dxfId="4156" priority="6379" operator="containsText" text="REVISION">
      <formula>NOT(ISERROR(SEARCH("REVISION",E864)))</formula>
    </cfRule>
    <cfRule type="containsText" dxfId="4155" priority="6378" operator="containsText" text="ACTIVO ">
      <formula>NOT(ISERROR(SEARCH("ACTIVO ",E864)))</formula>
    </cfRule>
    <cfRule type="containsText" dxfId="4154" priority="6381" operator="containsText" text="INACTIVO">
      <formula>NOT(ISERROR(SEARCH("INACTIVO",E864)))</formula>
    </cfRule>
  </conditionalFormatting>
  <conditionalFormatting sqref="E864:E865">
    <cfRule type="containsText" dxfId="4153" priority="6361" operator="containsText" text="ACTIVO">
      <formula>NOT(ISERROR(SEARCH("ACTIVO",E864)))</formula>
    </cfRule>
  </conditionalFormatting>
  <conditionalFormatting sqref="E865">
    <cfRule type="containsText" dxfId="4152" priority="6360" operator="containsText" text="INACTIVO">
      <formula>NOT(ISERROR(SEARCH("INACTIVO",E865)))</formula>
    </cfRule>
    <cfRule type="containsText" dxfId="4151" priority="6357" operator="containsText" text="ACTIVO ">
      <formula>NOT(ISERROR(SEARCH("ACTIVO ",E865)))</formula>
    </cfRule>
    <cfRule type="containsText" dxfId="4150" priority="6359" operator="containsText" text="BAJA">
      <formula>NOT(ISERROR(SEARCH("BAJA",E865)))</formula>
    </cfRule>
    <cfRule type="containsText" dxfId="4149" priority="6358" operator="containsText" text="REVISION">
      <formula>NOT(ISERROR(SEARCH("REVISION",E865)))</formula>
    </cfRule>
    <cfRule type="containsText" dxfId="4148" priority="6356" operator="containsText" text="REVISION">
      <formula>NOT(ISERROR(SEARCH("REVISION",E865)))</formula>
    </cfRule>
  </conditionalFormatting>
  <conditionalFormatting sqref="E865:E866">
    <cfRule type="containsText" dxfId="4147" priority="6340" operator="containsText" text="ACTIVO">
      <formula>NOT(ISERROR(SEARCH("ACTIVO",E865)))</formula>
    </cfRule>
  </conditionalFormatting>
  <conditionalFormatting sqref="E866">
    <cfRule type="containsText" dxfId="4146" priority="6337" operator="containsText" text="REVISION">
      <formula>NOT(ISERROR(SEARCH("REVISION",E866)))</formula>
    </cfRule>
    <cfRule type="containsText" dxfId="4145" priority="6336" operator="containsText" text="ACTIVO ">
      <formula>NOT(ISERROR(SEARCH("ACTIVO ",E866)))</formula>
    </cfRule>
    <cfRule type="containsText" dxfId="4144" priority="6335" operator="containsText" text="REVISION">
      <formula>NOT(ISERROR(SEARCH("REVISION",E866)))</formula>
    </cfRule>
    <cfRule type="containsText" dxfId="4143" priority="6338" operator="containsText" text="BAJA">
      <formula>NOT(ISERROR(SEARCH("BAJA",E866)))</formula>
    </cfRule>
    <cfRule type="containsText" dxfId="4142" priority="6339" operator="containsText" text="INACTIVO">
      <formula>NOT(ISERROR(SEARCH("INACTIVO",E866)))</formula>
    </cfRule>
  </conditionalFormatting>
  <conditionalFormatting sqref="E866:E867">
    <cfRule type="containsText" dxfId="4141" priority="6319" operator="containsText" text="ACTIVO">
      <formula>NOT(ISERROR(SEARCH("ACTIVO",E866)))</formula>
    </cfRule>
  </conditionalFormatting>
  <conditionalFormatting sqref="E867">
    <cfRule type="containsText" dxfId="4140" priority="6318" operator="containsText" text="INACTIVO">
      <formula>NOT(ISERROR(SEARCH("INACTIVO",E867)))</formula>
    </cfRule>
    <cfRule type="containsText" dxfId="4139" priority="6317" operator="containsText" text="BAJA">
      <formula>NOT(ISERROR(SEARCH("BAJA",E867)))</formula>
    </cfRule>
    <cfRule type="containsText" dxfId="4138" priority="6316" operator="containsText" text="REVISION">
      <formula>NOT(ISERROR(SEARCH("REVISION",E867)))</formula>
    </cfRule>
    <cfRule type="containsText" dxfId="4137" priority="6315" operator="containsText" text="ACTIVO ">
      <formula>NOT(ISERROR(SEARCH("ACTIVO ",E867)))</formula>
    </cfRule>
    <cfRule type="containsText" dxfId="4136" priority="6314" operator="containsText" text="REVISION">
      <formula>NOT(ISERROR(SEARCH("REVISION",E867)))</formula>
    </cfRule>
  </conditionalFormatting>
  <conditionalFormatting sqref="E867:E868">
    <cfRule type="containsText" dxfId="4135" priority="6239" operator="containsText" text="ACTIVO">
      <formula>NOT(ISERROR(SEARCH("ACTIVO",E867)))</formula>
    </cfRule>
  </conditionalFormatting>
  <conditionalFormatting sqref="E868">
    <cfRule type="containsText" dxfId="4134" priority="6236" operator="containsText" text="REVISION">
      <formula>NOT(ISERROR(SEARCH("REVISION",E868)))</formula>
    </cfRule>
    <cfRule type="containsText" dxfId="4133" priority="6235" operator="containsText" text="ACTIVO ">
      <formula>NOT(ISERROR(SEARCH("ACTIVO ",E868)))</formula>
    </cfRule>
    <cfRule type="containsText" dxfId="4132" priority="6237" operator="containsText" text="BAJA">
      <formula>NOT(ISERROR(SEARCH("BAJA",E868)))</formula>
    </cfRule>
    <cfRule type="containsText" dxfId="4131" priority="6234" operator="containsText" text="REVISION">
      <formula>NOT(ISERROR(SEARCH("REVISION",E868)))</formula>
    </cfRule>
    <cfRule type="containsText" dxfId="4130" priority="6238" operator="containsText" text="INACTIVO">
      <formula>NOT(ISERROR(SEARCH("INACTIVO",E868)))</formula>
    </cfRule>
  </conditionalFormatting>
  <conditionalFormatting sqref="E868:E873 E875:E886">
    <cfRule type="containsText" dxfId="4129" priority="6174" operator="containsText" text="ACTIVO">
      <formula>NOT(ISERROR(SEARCH("ACTIVO",E868)))</formula>
    </cfRule>
  </conditionalFormatting>
  <conditionalFormatting sqref="E869:E873 E875:E886">
    <cfRule type="containsText" dxfId="4128" priority="6169" operator="containsText" text="REVISION">
      <formula>NOT(ISERROR(SEARCH("REVISION",E869)))</formula>
    </cfRule>
    <cfRule type="containsText" dxfId="4127" priority="6170" operator="containsText" text="ACTIVO ">
      <formula>NOT(ISERROR(SEARCH("ACTIVO ",E869)))</formula>
    </cfRule>
    <cfRule type="containsText" dxfId="4126" priority="6172" operator="containsText" text="BAJA">
      <formula>NOT(ISERROR(SEARCH("BAJA",E869)))</formula>
    </cfRule>
    <cfRule type="containsText" dxfId="4125" priority="6171" operator="containsText" text="REVISION">
      <formula>NOT(ISERROR(SEARCH("REVISION",E869)))</formula>
    </cfRule>
    <cfRule type="containsText" dxfId="4124" priority="6173" operator="containsText" text="INACTIVO">
      <formula>NOT(ISERROR(SEARCH("INACTIVO",E869)))</formula>
    </cfRule>
  </conditionalFormatting>
  <conditionalFormatting sqref="E869:E886">
    <cfRule type="containsText" dxfId="4123" priority="6061" operator="containsText" text="ACTIVO">
      <formula>NOT(ISERROR(SEARCH("ACTIVO",E869)))</formula>
    </cfRule>
  </conditionalFormatting>
  <conditionalFormatting sqref="E874">
    <cfRule type="containsText" dxfId="4122" priority="6058" operator="containsText" text="REVISION">
      <formula>NOT(ISERROR(SEARCH("REVISION",E874)))</formula>
    </cfRule>
    <cfRule type="containsText" dxfId="4121" priority="6053" operator="containsText" text="REVISION">
      <formula>NOT(ISERROR(SEARCH("REVISION",E874)))</formula>
    </cfRule>
    <cfRule type="containsText" dxfId="4120" priority="6055" operator="containsText" text="ACTIVO">
      <formula>NOT(ISERROR(SEARCH("ACTIVO",E874)))</formula>
    </cfRule>
    <cfRule type="containsText" dxfId="4119" priority="6062" operator="containsText" text="ACTIVO ">
      <formula>NOT(ISERROR(SEARCH("ACTIVO ",E874)))</formula>
    </cfRule>
    <cfRule type="containsText" dxfId="4118" priority="6060" operator="containsText" text="INACTIVO">
      <formula>NOT(ISERROR(SEARCH("INACTIVO",E874)))</formula>
    </cfRule>
    <cfRule type="containsText" dxfId="4117" priority="6059" operator="containsText" text="BAJA">
      <formula>NOT(ISERROR(SEARCH("BAJA",E874)))</formula>
    </cfRule>
    <cfRule type="containsText" dxfId="4116" priority="6057" operator="containsText" text="REVISION">
      <formula>NOT(ISERROR(SEARCH("REVISION",E874)))</formula>
    </cfRule>
  </conditionalFormatting>
  <conditionalFormatting sqref="E887:E892">
    <cfRule type="containsText" dxfId="4115" priority="7056" operator="containsText" text="ACTIVO">
      <formula>NOT(ISERROR(SEARCH("ACTIVO",E887)))</formula>
    </cfRule>
  </conditionalFormatting>
  <conditionalFormatting sqref="E891">
    <cfRule type="containsText" dxfId="4114" priority="7055" operator="containsText" text="INACTIVO">
      <formula>NOT(ISERROR(SEARCH("INACTIVO",E891)))</formula>
    </cfRule>
    <cfRule type="containsText" dxfId="4113" priority="7052" operator="containsText" text="ACTIVO ">
      <formula>NOT(ISERROR(SEARCH("ACTIVO ",E891)))</formula>
    </cfRule>
    <cfRule type="containsText" dxfId="4112" priority="7051" operator="containsText" text="REVISION">
      <formula>NOT(ISERROR(SEARCH("REVISION",E891)))</formula>
    </cfRule>
    <cfRule type="containsText" dxfId="4111" priority="7049" operator="containsText" text="ACTIVO">
      <formula>NOT(ISERROR(SEARCH("ACTIVO",E891)))</formula>
    </cfRule>
    <cfRule type="containsText" dxfId="4110" priority="7053" operator="containsText" text="REVISION">
      <formula>NOT(ISERROR(SEARCH("REVISION",E891)))</formula>
    </cfRule>
    <cfRule type="containsText" dxfId="4109" priority="7054" operator="containsText" text="BAJA">
      <formula>NOT(ISERROR(SEARCH("BAJA",E891)))</formula>
    </cfRule>
  </conditionalFormatting>
  <conditionalFormatting sqref="E893">
    <cfRule type="containsText" dxfId="4108" priority="6279" operator="containsText" text="ACTIVO">
      <formula>NOT(ISERROR(SEARCH("ACTIVO",E893)))</formula>
    </cfRule>
    <cfRule type="containsText" dxfId="4107" priority="6281" operator="containsText" text="REVISION">
      <formula>NOT(ISERROR(SEARCH("REVISION",E893)))</formula>
    </cfRule>
    <cfRule type="containsText" dxfId="4106" priority="6282" operator="containsText" text="ACTIVO ">
      <formula>NOT(ISERROR(SEARCH("ACTIVO ",E893)))</formula>
    </cfRule>
    <cfRule type="containsText" dxfId="4105" priority="6284" operator="containsText" text="BAJA">
      <formula>NOT(ISERROR(SEARCH("BAJA",E893)))</formula>
    </cfRule>
    <cfRule type="containsText" dxfId="4104" priority="6285" operator="containsText" text="INACTIVO">
      <formula>NOT(ISERROR(SEARCH("INACTIVO",E893)))</formula>
    </cfRule>
    <cfRule type="containsText" dxfId="4103" priority="6283" operator="containsText" text="REVISION">
      <formula>NOT(ISERROR(SEARCH("REVISION",E893)))</formula>
    </cfRule>
  </conditionalFormatting>
  <conditionalFormatting sqref="E893:E899">
    <cfRule type="containsText" dxfId="4102" priority="6286" operator="containsText" text="ACTIVO">
      <formula>NOT(ISERROR(SEARCH("ACTIVO",E893)))</formula>
    </cfRule>
  </conditionalFormatting>
  <conditionalFormatting sqref="E900">
    <cfRule type="containsText" dxfId="4101" priority="6142" operator="containsText" text="ACTIVO">
      <formula>NOT(ISERROR(SEARCH("ACTIVO",E900)))</formula>
    </cfRule>
    <cfRule type="containsText" dxfId="4100" priority="6145" operator="containsText" text="ACTIVO ">
      <formula>NOT(ISERROR(SEARCH("ACTIVO ",E900)))</formula>
    </cfRule>
    <cfRule type="containsText" dxfId="4099" priority="6146" operator="containsText" text="REVISION">
      <formula>NOT(ISERROR(SEARCH("REVISION",E900)))</formula>
    </cfRule>
    <cfRule type="containsText" dxfId="4098" priority="6147" operator="containsText" text="BAJA">
      <formula>NOT(ISERROR(SEARCH("BAJA",E900)))</formula>
    </cfRule>
    <cfRule type="containsText" dxfId="4097" priority="6148" operator="containsText" text="INACTIVO">
      <formula>NOT(ISERROR(SEARCH("INACTIVO",E900)))</formula>
    </cfRule>
    <cfRule type="containsText" dxfId="4096" priority="6144" operator="containsText" text="REVISION">
      <formula>NOT(ISERROR(SEARCH("REVISION",E900)))</formula>
    </cfRule>
  </conditionalFormatting>
  <conditionalFormatting sqref="E900:E903">
    <cfRule type="containsText" dxfId="4095" priority="6149" operator="containsText" text="ACTIVO">
      <formula>NOT(ISERROR(SEARCH("ACTIVO",E900)))</formula>
    </cfRule>
  </conditionalFormatting>
  <conditionalFormatting sqref="E904:E907">
    <cfRule type="containsText" dxfId="4094" priority="6024" operator="containsText" text="BAJA">
      <formula>NOT(ISERROR(SEARCH("BAJA",E904)))</formula>
    </cfRule>
    <cfRule type="containsText" dxfId="4093" priority="6023" operator="containsText" text="REVISION">
      <formula>NOT(ISERROR(SEARCH("REVISION",E904)))</formula>
    </cfRule>
    <cfRule type="containsText" dxfId="4092" priority="6025" operator="containsText" text="INACTIVO">
      <formula>NOT(ISERROR(SEARCH("INACTIVO",E904)))</formula>
    </cfRule>
    <cfRule type="containsText" dxfId="4091" priority="6022" operator="containsText" text="ACTIVO ">
      <formula>NOT(ISERROR(SEARCH("ACTIVO ",E904)))</formula>
    </cfRule>
    <cfRule type="containsText" dxfId="4090" priority="6019" operator="containsText" text="ACTIVO">
      <formula>NOT(ISERROR(SEARCH("ACTIVO",E904)))</formula>
    </cfRule>
    <cfRule type="containsText" dxfId="4089" priority="6021" operator="containsText" text="REVISION">
      <formula>NOT(ISERROR(SEARCH("REVISION",E904)))</formula>
    </cfRule>
  </conditionalFormatting>
  <conditionalFormatting sqref="E904:E910">
    <cfRule type="containsText" dxfId="4088" priority="6026" operator="containsText" text="ACTIVO">
      <formula>NOT(ISERROR(SEARCH("ACTIVO",E904)))</formula>
    </cfRule>
  </conditionalFormatting>
  <conditionalFormatting sqref="E911 E915">
    <cfRule type="containsText" dxfId="4087" priority="5856" operator="containsText" text="ACTIVO">
      <formula>NOT(ISERROR(SEARCH("ACTIVO",E911)))</formula>
    </cfRule>
    <cfRule type="containsText" dxfId="4086" priority="5854" operator="containsText" text="BAJA">
      <formula>NOT(ISERROR(SEARCH("BAJA",E911)))</formula>
    </cfRule>
    <cfRule type="containsText" dxfId="4085" priority="5853" operator="containsText" text="REVISION">
      <formula>NOT(ISERROR(SEARCH("REVISION",E911)))</formula>
    </cfRule>
    <cfRule type="containsText" dxfId="4084" priority="5852" operator="containsText" text="ACTIVO ">
      <formula>NOT(ISERROR(SEARCH("ACTIVO ",E911)))</formula>
    </cfRule>
    <cfRule type="containsText" dxfId="4083" priority="5851" operator="containsText" text="REVISION">
      <formula>NOT(ISERROR(SEARCH("REVISION",E911)))</formula>
    </cfRule>
    <cfRule type="containsText" dxfId="4082" priority="5855" operator="containsText" text="INACTIVO">
      <formula>NOT(ISERROR(SEARCH("INACTIVO",E911)))</formula>
    </cfRule>
  </conditionalFormatting>
  <conditionalFormatting sqref="E911:E912">
    <cfRule type="containsText" dxfId="4081" priority="5845" operator="containsText" text="ACTIVO">
      <formula>NOT(ISERROR(SEARCH("ACTIVO",E911)))</formula>
    </cfRule>
  </conditionalFormatting>
  <conditionalFormatting sqref="E912">
    <cfRule type="containsText" dxfId="4080" priority="5844" operator="containsText" text="INACTIVO">
      <formula>NOT(ISERROR(SEARCH("INACTIVO",E912)))</formula>
    </cfRule>
    <cfRule type="containsText" dxfId="4079" priority="5843" operator="containsText" text="BAJA">
      <formula>NOT(ISERROR(SEARCH("BAJA",E912)))</formula>
    </cfRule>
    <cfRule type="containsText" dxfId="4078" priority="5842" operator="containsText" text="REVISION">
      <formula>NOT(ISERROR(SEARCH("REVISION",E912)))</formula>
    </cfRule>
    <cfRule type="containsText" dxfId="4077" priority="5841" operator="containsText" text="ACTIVO ">
      <formula>NOT(ISERROR(SEARCH("ACTIVO ",E912)))</formula>
    </cfRule>
    <cfRule type="containsText" dxfId="4076" priority="5840" operator="containsText" text="REVISION">
      <formula>NOT(ISERROR(SEARCH("REVISION",E912)))</formula>
    </cfRule>
  </conditionalFormatting>
  <conditionalFormatting sqref="E912:E913">
    <cfRule type="containsText" dxfId="4075" priority="5822" operator="containsText" text="ACTIVO">
      <formula>NOT(ISERROR(SEARCH("ACTIVO",E912)))</formula>
    </cfRule>
  </conditionalFormatting>
  <conditionalFormatting sqref="E913">
    <cfRule type="containsText" dxfId="4074" priority="5817" operator="containsText" text="REVISION">
      <formula>NOT(ISERROR(SEARCH("REVISION",E913)))</formula>
    </cfRule>
    <cfRule type="containsText" dxfId="4073" priority="5820" operator="containsText" text="BAJA">
      <formula>NOT(ISERROR(SEARCH("BAJA",E913)))</formula>
    </cfRule>
    <cfRule type="containsText" dxfId="4072" priority="5821" operator="containsText" text="INACTIVO">
      <formula>NOT(ISERROR(SEARCH("INACTIVO",E913)))</formula>
    </cfRule>
    <cfRule type="containsText" dxfId="4071" priority="5819" operator="containsText" text="REVISION">
      <formula>NOT(ISERROR(SEARCH("REVISION",E913)))</formula>
    </cfRule>
    <cfRule type="containsText" dxfId="4070" priority="5818" operator="containsText" text="ACTIVO ">
      <formula>NOT(ISERROR(SEARCH("ACTIVO ",E913)))</formula>
    </cfRule>
  </conditionalFormatting>
  <conditionalFormatting sqref="E913:E915">
    <cfRule type="containsText" dxfId="4069" priority="5801" operator="containsText" text="ACTIVO">
      <formula>NOT(ISERROR(SEARCH("ACTIVO",E913)))</formula>
    </cfRule>
  </conditionalFormatting>
  <conditionalFormatting sqref="E914">
    <cfRule type="containsText" dxfId="4068" priority="5797" operator="containsText" text="ACTIVO ">
      <formula>NOT(ISERROR(SEARCH("ACTIVO ",E914)))</formula>
    </cfRule>
    <cfRule type="containsText" dxfId="4067" priority="5798" operator="containsText" text="REVISION">
      <formula>NOT(ISERROR(SEARCH("REVISION",E914)))</formula>
    </cfRule>
    <cfRule type="containsText" dxfId="4066" priority="5796" operator="containsText" text="REVISION">
      <formula>NOT(ISERROR(SEARCH("REVISION",E914)))</formula>
    </cfRule>
    <cfRule type="containsText" dxfId="4065" priority="5799" operator="containsText" text="BAJA">
      <formula>NOT(ISERROR(SEARCH("BAJA",E914)))</formula>
    </cfRule>
    <cfRule type="containsText" dxfId="4064" priority="5800" operator="containsText" text="INACTIVO">
      <formula>NOT(ISERROR(SEARCH("INACTIVO",E914)))</formula>
    </cfRule>
    <cfRule type="containsText" dxfId="4063" priority="5794" operator="containsText" text="ACTIVO">
      <formula>NOT(ISERROR(SEARCH("ACTIVO",E914)))</formula>
    </cfRule>
  </conditionalFormatting>
  <conditionalFormatting sqref="E916:E921 E924:E925">
    <cfRule type="containsText" dxfId="4062" priority="5791" operator="containsText" text="INACTIVO">
      <formula>NOT(ISERROR(SEARCH("INACTIVO",E916)))</formula>
    </cfRule>
    <cfRule type="containsText" dxfId="4061" priority="5790" operator="containsText" text="BAJA">
      <formula>NOT(ISERROR(SEARCH("BAJA",E916)))</formula>
    </cfRule>
    <cfRule type="containsText" dxfId="4060" priority="5788" operator="containsText" text="ACTIVO ">
      <formula>NOT(ISERROR(SEARCH("ACTIVO ",E916)))</formula>
    </cfRule>
    <cfRule type="containsText" dxfId="4059" priority="5787" operator="containsText" text="REVISION">
      <formula>NOT(ISERROR(SEARCH("REVISION",E916)))</formula>
    </cfRule>
    <cfRule type="containsText" dxfId="4058" priority="5789" operator="containsText" text="REVISION">
      <formula>NOT(ISERROR(SEARCH("REVISION",E916)))</formula>
    </cfRule>
  </conditionalFormatting>
  <conditionalFormatting sqref="E916:E921 E924:E926">
    <cfRule type="containsText" dxfId="4057" priority="5792" operator="containsText" text="ACTIVO">
      <formula>NOT(ISERROR(SEARCH("ACTIVO",E916)))</formula>
    </cfRule>
  </conditionalFormatting>
  <conditionalFormatting sqref="E916:E922">
    <cfRule type="containsText" dxfId="4056" priority="5761" operator="containsText" text="ACTIVO">
      <formula>NOT(ISERROR(SEARCH("ACTIVO",E916)))</formula>
    </cfRule>
  </conditionalFormatting>
  <conditionalFormatting sqref="E922">
    <cfRule type="containsText" dxfId="4055" priority="5757" operator="containsText" text="ACTIVO ">
      <formula>NOT(ISERROR(SEARCH("ACTIVO ",E922)))</formula>
    </cfRule>
    <cfRule type="containsText" dxfId="4054" priority="5756" operator="containsText" text="REVISION">
      <formula>NOT(ISERROR(SEARCH("REVISION",E922)))</formula>
    </cfRule>
    <cfRule type="containsText" dxfId="4053" priority="5760" operator="containsText" text="INACTIVO">
      <formula>NOT(ISERROR(SEARCH("INACTIVO",E922)))</formula>
    </cfRule>
    <cfRule type="containsText" dxfId="4052" priority="5759" operator="containsText" text="BAJA">
      <formula>NOT(ISERROR(SEARCH("BAJA",E922)))</formula>
    </cfRule>
    <cfRule type="containsText" dxfId="4051" priority="5758" operator="containsText" text="REVISION">
      <formula>NOT(ISERROR(SEARCH("REVISION",E922)))</formula>
    </cfRule>
  </conditionalFormatting>
  <conditionalFormatting sqref="E922:E925">
    <cfRule type="containsText" dxfId="4050" priority="5738" operator="containsText" text="ACTIVO">
      <formula>NOT(ISERROR(SEARCH("ACTIVO",E922)))</formula>
    </cfRule>
  </conditionalFormatting>
  <conditionalFormatting sqref="E923">
    <cfRule type="containsText" dxfId="4049" priority="5733" operator="containsText" text="REVISION">
      <formula>NOT(ISERROR(SEARCH("REVISION",E923)))</formula>
    </cfRule>
    <cfRule type="containsText" dxfId="4048" priority="5731" operator="containsText" text="ACTIVO">
      <formula>NOT(ISERROR(SEARCH("ACTIVO",E923)))</formula>
    </cfRule>
    <cfRule type="containsText" dxfId="4047" priority="5737" operator="containsText" text="INACTIVO">
      <formula>NOT(ISERROR(SEARCH("INACTIVO",E923)))</formula>
    </cfRule>
    <cfRule type="containsText" dxfId="4046" priority="5736" operator="containsText" text="BAJA">
      <formula>NOT(ISERROR(SEARCH("BAJA",E923)))</formula>
    </cfRule>
    <cfRule type="containsText" dxfId="4045" priority="5735" operator="containsText" text="REVISION">
      <formula>NOT(ISERROR(SEARCH("REVISION",E923)))</formula>
    </cfRule>
    <cfRule type="containsText" dxfId="4044" priority="5734" operator="containsText" text="ACTIVO ">
      <formula>NOT(ISERROR(SEARCH("ACTIVO ",E923)))</formula>
    </cfRule>
  </conditionalFormatting>
  <conditionalFormatting sqref="E927">
    <cfRule type="containsText" dxfId="4043" priority="5721" operator="containsText" text="BAJA">
      <formula>NOT(ISERROR(SEARCH("BAJA",E927)))</formula>
    </cfRule>
    <cfRule type="containsText" dxfId="4042" priority="5722" operator="containsText" text="INACTIVO">
      <formula>NOT(ISERROR(SEARCH("INACTIVO",E927)))</formula>
    </cfRule>
    <cfRule type="containsText" dxfId="4041" priority="5716" operator="containsText" text="ACTIVO">
      <formula>NOT(ISERROR(SEARCH("ACTIVO",E927)))</formula>
    </cfRule>
    <cfRule type="containsText" dxfId="4040" priority="5718" operator="containsText" text="REVISION">
      <formula>NOT(ISERROR(SEARCH("REVISION",E927)))</formula>
    </cfRule>
    <cfRule type="containsText" dxfId="4039" priority="5719" operator="containsText" text="ACTIVO ">
      <formula>NOT(ISERROR(SEARCH("ACTIVO ",E927)))</formula>
    </cfRule>
    <cfRule type="containsText" dxfId="4038" priority="5720" operator="containsText" text="REVISION">
      <formula>NOT(ISERROR(SEARCH("REVISION",E927)))</formula>
    </cfRule>
  </conditionalFormatting>
  <conditionalFormatting sqref="E927:E933">
    <cfRule type="containsText" dxfId="4037" priority="5723" operator="containsText" text="ACTIVO">
      <formula>NOT(ISERROR(SEARCH("ACTIVO",E927)))</formula>
    </cfRule>
  </conditionalFormatting>
  <conditionalFormatting sqref="E934">
    <cfRule type="containsText" dxfId="4036" priority="5664" operator="containsText" text="REVISION">
      <formula>NOT(ISERROR(SEARCH("REVISION",E934)))</formula>
    </cfRule>
    <cfRule type="containsText" dxfId="4035" priority="5663" operator="containsText" text="ACTIVO ">
      <formula>NOT(ISERROR(SEARCH("ACTIVO ",E934)))</formula>
    </cfRule>
    <cfRule type="containsText" dxfId="4034" priority="5662" operator="containsText" text="REVISION">
      <formula>NOT(ISERROR(SEARCH("REVISION",E934)))</formula>
    </cfRule>
    <cfRule type="containsText" dxfId="4033" priority="5666" operator="containsText" text="INACTIVO">
      <formula>NOT(ISERROR(SEARCH("INACTIVO",E934)))</formula>
    </cfRule>
    <cfRule type="containsText" dxfId="4032" priority="5665" operator="containsText" text="BAJA">
      <formula>NOT(ISERROR(SEARCH("BAJA",E934)))</formula>
    </cfRule>
    <cfRule type="containsText" dxfId="4031" priority="5660" operator="containsText" text="ACTIVO">
      <formula>NOT(ISERROR(SEARCH("ACTIVO",E934)))</formula>
    </cfRule>
  </conditionalFormatting>
  <conditionalFormatting sqref="E934:E939">
    <cfRule type="containsText" dxfId="4030" priority="5667" operator="containsText" text="ACTIVO">
      <formula>NOT(ISERROR(SEARCH("ACTIVO",E934)))</formula>
    </cfRule>
  </conditionalFormatting>
  <conditionalFormatting sqref="E940">
    <cfRule type="containsText" dxfId="4029" priority="5645" operator="containsText" text="INACTIVO">
      <formula>NOT(ISERROR(SEARCH("INACTIVO",E940)))</formula>
    </cfRule>
    <cfRule type="containsText" dxfId="4028" priority="5639" operator="containsText" text="ACTIVO">
      <formula>NOT(ISERROR(SEARCH("ACTIVO",E940)))</formula>
    </cfRule>
    <cfRule type="containsText" dxfId="4027" priority="5641" operator="containsText" text="REVISION">
      <formula>NOT(ISERROR(SEARCH("REVISION",E940)))</formula>
    </cfRule>
    <cfRule type="containsText" dxfId="4026" priority="5642" operator="containsText" text="ACTIVO ">
      <formula>NOT(ISERROR(SEARCH("ACTIVO ",E940)))</formula>
    </cfRule>
    <cfRule type="containsText" dxfId="4025" priority="5643" operator="containsText" text="REVISION">
      <formula>NOT(ISERROR(SEARCH("REVISION",E940)))</formula>
    </cfRule>
    <cfRule type="containsText" dxfId="4024" priority="5644" operator="containsText" text="BAJA">
      <formula>NOT(ISERROR(SEARCH("BAJA",E940)))</formula>
    </cfRule>
  </conditionalFormatting>
  <conditionalFormatting sqref="E940:E942">
    <cfRule type="containsText" dxfId="4023" priority="5646" operator="containsText" text="ACTIVO">
      <formula>NOT(ISERROR(SEARCH("ACTIVO",E940)))</formula>
    </cfRule>
  </conditionalFormatting>
  <conditionalFormatting sqref="E943">
    <cfRule type="containsText" dxfId="4022" priority="5618" operator="containsText" text="REVISION">
      <formula>NOT(ISERROR(SEARCH("REVISION",E943)))</formula>
    </cfRule>
    <cfRule type="containsText" dxfId="4021" priority="5617" operator="containsText" text="ACTIVO ">
      <formula>NOT(ISERROR(SEARCH("ACTIVO ",E943)))</formula>
    </cfRule>
    <cfRule type="containsText" dxfId="4020" priority="5620" operator="containsText" text="INACTIVO">
      <formula>NOT(ISERROR(SEARCH("INACTIVO",E943)))</formula>
    </cfRule>
    <cfRule type="containsText" dxfId="4019" priority="5616" operator="containsText" text="REVISION">
      <formula>NOT(ISERROR(SEARCH("REVISION",E943)))</formula>
    </cfRule>
    <cfRule type="containsText" dxfId="4018" priority="5619" operator="containsText" text="BAJA">
      <formula>NOT(ISERROR(SEARCH("BAJA",E943)))</formula>
    </cfRule>
    <cfRule type="containsText" dxfId="4017" priority="5614" operator="containsText" text="ACTIVO">
      <formula>NOT(ISERROR(SEARCH("ACTIVO",E943)))</formula>
    </cfRule>
  </conditionalFormatting>
  <conditionalFormatting sqref="E943:E945">
    <cfRule type="containsText" dxfId="4016" priority="5621" operator="containsText" text="ACTIVO">
      <formula>NOT(ISERROR(SEARCH("ACTIVO",E943)))</formula>
    </cfRule>
  </conditionalFormatting>
  <conditionalFormatting sqref="E946">
    <cfRule type="containsText" dxfId="4015" priority="5595" operator="containsText" text="INACTIVO">
      <formula>NOT(ISERROR(SEARCH("INACTIVO",E946)))</formula>
    </cfRule>
    <cfRule type="containsText" dxfId="4014" priority="5591" operator="containsText" text="REVISION">
      <formula>NOT(ISERROR(SEARCH("REVISION",E946)))</formula>
    </cfRule>
    <cfRule type="containsText" dxfId="4013" priority="5596" operator="containsText" text="ACTIVO">
      <formula>NOT(ISERROR(SEARCH("ACTIVO",E946)))</formula>
    </cfRule>
    <cfRule type="containsText" dxfId="4012" priority="5594" operator="containsText" text="BAJA">
      <formula>NOT(ISERROR(SEARCH("BAJA",E946)))</formula>
    </cfRule>
    <cfRule type="containsText" dxfId="4011" priority="5593" operator="containsText" text="REVISION">
      <formula>NOT(ISERROR(SEARCH("REVISION",E946)))</formula>
    </cfRule>
    <cfRule type="containsText" dxfId="4010" priority="5592" operator="containsText" text="ACTIVO ">
      <formula>NOT(ISERROR(SEARCH("ACTIVO ",E946)))</formula>
    </cfRule>
  </conditionalFormatting>
  <conditionalFormatting sqref="E946:E948">
    <cfRule type="containsText" dxfId="4009" priority="5573" operator="containsText" text="ACTIVO">
      <formula>NOT(ISERROR(SEARCH("ACTIVO",E946)))</formula>
    </cfRule>
  </conditionalFormatting>
  <conditionalFormatting sqref="E947">
    <cfRule type="containsText" dxfId="4008" priority="5571" operator="containsText" text="BAJA">
      <formula>NOT(ISERROR(SEARCH("BAJA",E947)))</formula>
    </cfRule>
    <cfRule type="containsText" dxfId="4007" priority="5572" operator="containsText" text="INACTIVO">
      <formula>NOT(ISERROR(SEARCH("INACTIVO",E947)))</formula>
    </cfRule>
    <cfRule type="containsText" dxfId="4006" priority="5570" operator="containsText" text="REVISION">
      <formula>NOT(ISERROR(SEARCH("REVISION",E947)))</formula>
    </cfRule>
    <cfRule type="containsText" dxfId="4005" priority="5569" operator="containsText" text="ACTIVO ">
      <formula>NOT(ISERROR(SEARCH("ACTIVO ",E947)))</formula>
    </cfRule>
    <cfRule type="containsText" dxfId="4004" priority="5568" operator="containsText" text="REVISION">
      <formula>NOT(ISERROR(SEARCH("REVISION",E947)))</formula>
    </cfRule>
    <cfRule type="containsText" dxfId="4003" priority="5566" operator="containsText" text="ACTIVO">
      <formula>NOT(ISERROR(SEARCH("ACTIVO",E947)))</formula>
    </cfRule>
  </conditionalFormatting>
  <conditionalFormatting sqref="E949 E951:E952 E954 E956 E966 E971:E972 E977:E984 E987 E991 E993 E996 E1002:E1003 E1005:E1006 E1008:E1012 E1016:E1017 E1020 E1023:E1024 E1028:E1029 E1031 E1033:E1036 E1038:E1039 E1041:E1044">
    <cfRule type="containsText" dxfId="4002" priority="5547" operator="containsText" text="REVISION">
      <formula>NOT(ISERROR(SEARCH("REVISION",E949)))</formula>
    </cfRule>
    <cfRule type="containsText" dxfId="4001" priority="5548" operator="containsText" text="ACTIVO ">
      <formula>NOT(ISERROR(SEARCH("ACTIVO ",E949)))</formula>
    </cfRule>
    <cfRule type="containsText" dxfId="4000" priority="5549" operator="containsText" text="REVISION">
      <formula>NOT(ISERROR(SEARCH("REVISION",E949)))</formula>
    </cfRule>
    <cfRule type="containsText" dxfId="3999" priority="5550" operator="containsText" text="BAJA">
      <formula>NOT(ISERROR(SEARCH("BAJA",E949)))</formula>
    </cfRule>
    <cfRule type="containsText" dxfId="3998" priority="5551" operator="containsText" text="INACTIVO">
      <formula>NOT(ISERROR(SEARCH("INACTIVO",E949)))</formula>
    </cfRule>
  </conditionalFormatting>
  <conditionalFormatting sqref="E949 E951:E952 E954 E956 E966 E971:E972 E977:E984 E987 E991 E993 E996 E1002:E1003 E1005:E1006 E1008:E1012 E1016:E1017 E1020 E1023:E1024 E1028:E1029 E1031 E1033:E1036 E1038:E1039 E1041:E1045">
    <cfRule type="containsText" dxfId="3997" priority="5552" operator="containsText" text="ACTIVO">
      <formula>NOT(ISERROR(SEARCH("ACTIVO",E949)))</formula>
    </cfRule>
  </conditionalFormatting>
  <conditionalFormatting sqref="E949:E952">
    <cfRule type="containsText" dxfId="3996" priority="5541" operator="containsText" text="ACTIVO">
      <formula>NOT(ISERROR(SEARCH("ACTIVO",E949)))</formula>
    </cfRule>
  </conditionalFormatting>
  <conditionalFormatting sqref="E950">
    <cfRule type="containsText" dxfId="3995" priority="5538" operator="containsText" text="REVISION">
      <formula>NOT(ISERROR(SEARCH("REVISION",E950)))</formula>
    </cfRule>
    <cfRule type="containsText" dxfId="3994" priority="5529" operator="containsText" text="ACTIVO ">
      <formula>NOT(ISERROR(SEARCH("ACTIVO ",E950)))</formula>
    </cfRule>
    <cfRule type="containsText" dxfId="3993" priority="5525" operator="containsText" text="REVISION">
      <formula>NOT(ISERROR(SEARCH("REVISION",E950)))</formula>
    </cfRule>
    <cfRule type="containsText" dxfId="3992" priority="5523" operator="containsText" text="ACTIVO">
      <formula>NOT(ISERROR(SEARCH("ACTIVO",E950)))</formula>
    </cfRule>
    <cfRule type="containsText" dxfId="3991" priority="5540" operator="containsText" text="INACTIVO">
      <formula>NOT(ISERROR(SEARCH("INACTIVO",E950)))</formula>
    </cfRule>
    <cfRule type="containsText" dxfId="3990" priority="5539" operator="containsText" text="BAJA">
      <formula>NOT(ISERROR(SEARCH("BAJA",E950)))</formula>
    </cfRule>
    <cfRule type="containsText" dxfId="3989" priority="5521" operator="containsText" text="REVISION">
      <formula>NOT(ISERROR(SEARCH("REVISION",E950)))</formula>
    </cfRule>
  </conditionalFormatting>
  <conditionalFormatting sqref="E953">
    <cfRule type="containsText" dxfId="3988" priority="5491" operator="containsText" text="INACTIVO">
      <formula>NOT(ISERROR(SEARCH("INACTIVO",E953)))</formula>
    </cfRule>
    <cfRule type="containsText" dxfId="3987" priority="5489" operator="containsText" text="REVISION">
      <formula>NOT(ISERROR(SEARCH("REVISION",E953)))</formula>
    </cfRule>
    <cfRule type="containsText" dxfId="3986" priority="5485" operator="containsText" text="ACTIVO">
      <formula>NOT(ISERROR(SEARCH("ACTIVO",E953)))</formula>
    </cfRule>
    <cfRule type="containsText" dxfId="3985" priority="5487" operator="containsText" text="REVISION">
      <formula>NOT(ISERROR(SEARCH("REVISION",E953)))</formula>
    </cfRule>
    <cfRule type="containsText" dxfId="3984" priority="5490" operator="containsText" text="BAJA">
      <formula>NOT(ISERROR(SEARCH("BAJA",E953)))</formula>
    </cfRule>
    <cfRule type="containsText" dxfId="3983" priority="5488" operator="containsText" text="ACTIVO ">
      <formula>NOT(ISERROR(SEARCH("ACTIVO ",E953)))</formula>
    </cfRule>
  </conditionalFormatting>
  <conditionalFormatting sqref="E953:E954">
    <cfRule type="containsText" dxfId="3982" priority="5492" operator="containsText" text="ACTIVO">
      <formula>NOT(ISERROR(SEARCH("ACTIVO",E953)))</formula>
    </cfRule>
  </conditionalFormatting>
  <conditionalFormatting sqref="E955">
    <cfRule type="containsText" dxfId="3981" priority="5450" operator="containsText" text="BAJA">
      <formula>NOT(ISERROR(SEARCH("BAJA",E955)))</formula>
    </cfRule>
    <cfRule type="containsText" dxfId="3980" priority="5449" operator="containsText" text="REVISION">
      <formula>NOT(ISERROR(SEARCH("REVISION",E955)))</formula>
    </cfRule>
    <cfRule type="containsText" dxfId="3979" priority="5448" operator="containsText" text="ACTIVO ">
      <formula>NOT(ISERROR(SEARCH("ACTIVO ",E955)))</formula>
    </cfRule>
    <cfRule type="containsText" dxfId="3978" priority="5447" operator="containsText" text="REVISION">
      <formula>NOT(ISERROR(SEARCH("REVISION",E955)))</formula>
    </cfRule>
    <cfRule type="containsText" dxfId="3977" priority="5451" operator="containsText" text="INACTIVO">
      <formula>NOT(ISERROR(SEARCH("INACTIVO",E955)))</formula>
    </cfRule>
    <cfRule type="containsText" dxfId="3976" priority="5445" operator="containsText" text="ACTIVO">
      <formula>NOT(ISERROR(SEARCH("ACTIVO",E955)))</formula>
    </cfRule>
  </conditionalFormatting>
  <conditionalFormatting sqref="E955:E956">
    <cfRule type="containsText" dxfId="3975" priority="5452" operator="containsText" text="ACTIVO">
      <formula>NOT(ISERROR(SEARCH("ACTIVO",E955)))</formula>
    </cfRule>
  </conditionalFormatting>
  <conditionalFormatting sqref="E957">
    <cfRule type="containsText" dxfId="3974" priority="5434" operator="containsText" text="REVISION">
      <formula>NOT(ISERROR(SEARCH("REVISION",E957)))</formula>
    </cfRule>
    <cfRule type="containsText" dxfId="3973" priority="5437" operator="containsText" text="BAJA">
      <formula>NOT(ISERROR(SEARCH("BAJA",E957)))</formula>
    </cfRule>
    <cfRule type="containsText" dxfId="3972" priority="5439" operator="containsText" text="ACTIVO">
      <formula>NOT(ISERROR(SEARCH("ACTIVO",E957)))</formula>
    </cfRule>
    <cfRule type="containsText" dxfId="3971" priority="5438" operator="containsText" text="INACTIVO">
      <formula>NOT(ISERROR(SEARCH("INACTIVO",E957)))</formula>
    </cfRule>
    <cfRule type="containsText" dxfId="3970" priority="5436" operator="containsText" text="REVISION">
      <formula>NOT(ISERROR(SEARCH("REVISION",E957)))</formula>
    </cfRule>
    <cfRule type="containsText" dxfId="3969" priority="5435" operator="containsText" text="ACTIVO ">
      <formula>NOT(ISERROR(SEARCH("ACTIVO ",E957)))</formula>
    </cfRule>
  </conditionalFormatting>
  <conditionalFormatting sqref="E957:E958">
    <cfRule type="containsText" dxfId="3968" priority="5428" operator="containsText" text="ACTIVO">
      <formula>NOT(ISERROR(SEARCH("ACTIVO",E957)))</formula>
    </cfRule>
  </conditionalFormatting>
  <conditionalFormatting sqref="E958">
    <cfRule type="containsText" dxfId="3967" priority="5427" operator="containsText" text="INACTIVO">
      <formula>NOT(ISERROR(SEARCH("INACTIVO",E958)))</formula>
    </cfRule>
    <cfRule type="containsText" dxfId="3966" priority="5426" operator="containsText" text="BAJA">
      <formula>NOT(ISERROR(SEARCH("BAJA",E958)))</formula>
    </cfRule>
    <cfRule type="containsText" dxfId="3965" priority="5425" operator="containsText" text="REVISION">
      <formula>NOT(ISERROR(SEARCH("REVISION",E958)))</formula>
    </cfRule>
    <cfRule type="containsText" dxfId="3964" priority="5424" operator="containsText" text="ACTIVO ">
      <formula>NOT(ISERROR(SEARCH("ACTIVO ",E958)))</formula>
    </cfRule>
    <cfRule type="containsText" dxfId="3963" priority="5423" operator="containsText" text="REVISION">
      <formula>NOT(ISERROR(SEARCH("REVISION",E958)))</formula>
    </cfRule>
  </conditionalFormatting>
  <conditionalFormatting sqref="E958:E959">
    <cfRule type="containsText" dxfId="3962" priority="5417" operator="containsText" text="ACTIVO">
      <formula>NOT(ISERROR(SEARCH("ACTIVO",E958)))</formula>
    </cfRule>
  </conditionalFormatting>
  <conditionalFormatting sqref="E959">
    <cfRule type="containsText" dxfId="3961" priority="5413" operator="containsText" text="ACTIVO ">
      <formula>NOT(ISERROR(SEARCH("ACTIVO ",E959)))</formula>
    </cfRule>
    <cfRule type="containsText" dxfId="3960" priority="5412" operator="containsText" text="REVISION">
      <formula>NOT(ISERROR(SEARCH("REVISION",E959)))</formula>
    </cfRule>
    <cfRule type="containsText" dxfId="3959" priority="5416" operator="containsText" text="INACTIVO">
      <formula>NOT(ISERROR(SEARCH("INACTIVO",E959)))</formula>
    </cfRule>
    <cfRule type="containsText" dxfId="3958" priority="5415" operator="containsText" text="BAJA">
      <formula>NOT(ISERROR(SEARCH("BAJA",E959)))</formula>
    </cfRule>
    <cfRule type="containsText" dxfId="3957" priority="5414" operator="containsText" text="REVISION">
      <formula>NOT(ISERROR(SEARCH("REVISION",E959)))</formula>
    </cfRule>
  </conditionalFormatting>
  <conditionalFormatting sqref="E959:E960">
    <cfRule type="containsText" dxfId="3956" priority="5406" operator="containsText" text="ACTIVO">
      <formula>NOT(ISERROR(SEARCH("ACTIVO",E959)))</formula>
    </cfRule>
  </conditionalFormatting>
  <conditionalFormatting sqref="E960">
    <cfRule type="containsText" dxfId="3955" priority="5401" operator="containsText" text="REVISION">
      <formula>NOT(ISERROR(SEARCH("REVISION",E960)))</formula>
    </cfRule>
    <cfRule type="containsText" dxfId="3954" priority="5402" operator="containsText" text="ACTIVO ">
      <formula>NOT(ISERROR(SEARCH("ACTIVO ",E960)))</formula>
    </cfRule>
    <cfRule type="containsText" dxfId="3953" priority="5403" operator="containsText" text="REVISION">
      <formula>NOT(ISERROR(SEARCH("REVISION",E960)))</formula>
    </cfRule>
    <cfRule type="containsText" dxfId="3952" priority="5404" operator="containsText" text="BAJA">
      <formula>NOT(ISERROR(SEARCH("BAJA",E960)))</formula>
    </cfRule>
    <cfRule type="containsText" dxfId="3951" priority="5405" operator="containsText" text="INACTIVO">
      <formula>NOT(ISERROR(SEARCH("INACTIVO",E960)))</formula>
    </cfRule>
  </conditionalFormatting>
  <conditionalFormatting sqref="E960:E961">
    <cfRule type="containsText" dxfId="3950" priority="5395" operator="containsText" text="ACTIVO">
      <formula>NOT(ISERROR(SEARCH("ACTIVO",E960)))</formula>
    </cfRule>
  </conditionalFormatting>
  <conditionalFormatting sqref="E961">
    <cfRule type="containsText" dxfId="3949" priority="5391" operator="containsText" text="ACTIVO ">
      <formula>NOT(ISERROR(SEARCH("ACTIVO ",E961)))</formula>
    </cfRule>
    <cfRule type="containsText" dxfId="3948" priority="5392" operator="containsText" text="REVISION">
      <formula>NOT(ISERROR(SEARCH("REVISION",E961)))</formula>
    </cfRule>
    <cfRule type="containsText" dxfId="3947" priority="5393" operator="containsText" text="BAJA">
      <formula>NOT(ISERROR(SEARCH("BAJA",E961)))</formula>
    </cfRule>
    <cfRule type="containsText" dxfId="3946" priority="5394" operator="containsText" text="INACTIVO">
      <formula>NOT(ISERROR(SEARCH("INACTIVO",E961)))</formula>
    </cfRule>
    <cfRule type="containsText" dxfId="3945" priority="5390" operator="containsText" text="REVISION">
      <formula>NOT(ISERROR(SEARCH("REVISION",E961)))</formula>
    </cfRule>
  </conditionalFormatting>
  <conditionalFormatting sqref="E961:E962">
    <cfRule type="containsText" dxfId="3944" priority="5384" operator="containsText" text="ACTIVO">
      <formula>NOT(ISERROR(SEARCH("ACTIVO",E961)))</formula>
    </cfRule>
  </conditionalFormatting>
  <conditionalFormatting sqref="E962">
    <cfRule type="containsText" dxfId="3943" priority="5381" operator="containsText" text="REVISION">
      <formula>NOT(ISERROR(SEARCH("REVISION",E962)))</formula>
    </cfRule>
    <cfRule type="containsText" dxfId="3942" priority="5379" operator="containsText" text="REVISION">
      <formula>NOT(ISERROR(SEARCH("REVISION",E962)))</formula>
    </cfRule>
    <cfRule type="containsText" dxfId="3941" priority="5380" operator="containsText" text="ACTIVO ">
      <formula>NOT(ISERROR(SEARCH("ACTIVO ",E962)))</formula>
    </cfRule>
    <cfRule type="containsText" dxfId="3940" priority="5382" operator="containsText" text="BAJA">
      <formula>NOT(ISERROR(SEARCH("BAJA",E962)))</formula>
    </cfRule>
    <cfRule type="containsText" dxfId="3939" priority="5383" operator="containsText" text="INACTIVO">
      <formula>NOT(ISERROR(SEARCH("INACTIVO",E962)))</formula>
    </cfRule>
  </conditionalFormatting>
  <conditionalFormatting sqref="E962:E963">
    <cfRule type="containsText" dxfId="3938" priority="5373" operator="containsText" text="ACTIVO">
      <formula>NOT(ISERROR(SEARCH("ACTIVO",E962)))</formula>
    </cfRule>
  </conditionalFormatting>
  <conditionalFormatting sqref="E963">
    <cfRule type="containsText" dxfId="3937" priority="5370" operator="containsText" text="REVISION">
      <formula>NOT(ISERROR(SEARCH("REVISION",E963)))</formula>
    </cfRule>
    <cfRule type="containsText" dxfId="3936" priority="5369" operator="containsText" text="ACTIVO ">
      <formula>NOT(ISERROR(SEARCH("ACTIVO ",E963)))</formula>
    </cfRule>
    <cfRule type="containsText" dxfId="3935" priority="5368" operator="containsText" text="REVISION">
      <formula>NOT(ISERROR(SEARCH("REVISION",E963)))</formula>
    </cfRule>
    <cfRule type="containsText" dxfId="3934" priority="5371" operator="containsText" text="BAJA">
      <formula>NOT(ISERROR(SEARCH("BAJA",E963)))</formula>
    </cfRule>
    <cfRule type="containsText" dxfId="3933" priority="5372" operator="containsText" text="INACTIVO">
      <formula>NOT(ISERROR(SEARCH("INACTIVO",E963)))</formula>
    </cfRule>
  </conditionalFormatting>
  <conditionalFormatting sqref="E963:E964">
    <cfRule type="containsText" dxfId="3932" priority="5362" operator="containsText" text="ACTIVO">
      <formula>NOT(ISERROR(SEARCH("ACTIVO",E963)))</formula>
    </cfRule>
  </conditionalFormatting>
  <conditionalFormatting sqref="E964">
    <cfRule type="containsText" dxfId="3931" priority="5361" operator="containsText" text="INACTIVO">
      <formula>NOT(ISERROR(SEARCH("INACTIVO",E964)))</formula>
    </cfRule>
    <cfRule type="containsText" dxfId="3930" priority="5360" operator="containsText" text="BAJA">
      <formula>NOT(ISERROR(SEARCH("BAJA",E964)))</formula>
    </cfRule>
    <cfRule type="containsText" dxfId="3929" priority="5358" operator="containsText" text="ACTIVO ">
      <formula>NOT(ISERROR(SEARCH("ACTIVO ",E964)))</formula>
    </cfRule>
    <cfRule type="containsText" dxfId="3928" priority="5357" operator="containsText" text="REVISION">
      <formula>NOT(ISERROR(SEARCH("REVISION",E964)))</formula>
    </cfRule>
    <cfRule type="containsText" dxfId="3927" priority="5359" operator="containsText" text="REVISION">
      <formula>NOT(ISERROR(SEARCH("REVISION",E964)))</formula>
    </cfRule>
  </conditionalFormatting>
  <conditionalFormatting sqref="E964:E966">
    <cfRule type="containsText" dxfId="3926" priority="5351" operator="containsText" text="ACTIVO">
      <formula>NOT(ISERROR(SEARCH("ACTIVO",E964)))</formula>
    </cfRule>
  </conditionalFormatting>
  <conditionalFormatting sqref="E965">
    <cfRule type="containsText" dxfId="3925" priority="5349" operator="containsText" text="BAJA">
      <formula>NOT(ISERROR(SEARCH("BAJA",E965)))</formula>
    </cfRule>
    <cfRule type="containsText" dxfId="3924" priority="5350" operator="containsText" text="INACTIVO">
      <formula>NOT(ISERROR(SEARCH("INACTIVO",E965)))</formula>
    </cfRule>
    <cfRule type="containsText" dxfId="3923" priority="5344" operator="containsText" text="ACTIVO">
      <formula>NOT(ISERROR(SEARCH("ACTIVO",E965)))</formula>
    </cfRule>
    <cfRule type="containsText" dxfId="3922" priority="5347" operator="containsText" text="ACTIVO ">
      <formula>NOT(ISERROR(SEARCH("ACTIVO ",E965)))</formula>
    </cfRule>
    <cfRule type="containsText" dxfId="3921" priority="5346" operator="containsText" text="REVISION">
      <formula>NOT(ISERROR(SEARCH("REVISION",E965)))</formula>
    </cfRule>
    <cfRule type="containsText" dxfId="3920" priority="5348" operator="containsText" text="REVISION">
      <formula>NOT(ISERROR(SEARCH("REVISION",E965)))</formula>
    </cfRule>
  </conditionalFormatting>
  <conditionalFormatting sqref="E967">
    <cfRule type="containsText" dxfId="3919" priority="5332" operator="containsText" text="ACTIVO ">
      <formula>NOT(ISERROR(SEARCH("ACTIVO ",E967)))</formula>
    </cfRule>
    <cfRule type="containsText" dxfId="3918" priority="5333" operator="containsText" text="REVISION">
      <formula>NOT(ISERROR(SEARCH("REVISION",E967)))</formula>
    </cfRule>
    <cfRule type="containsText" dxfId="3917" priority="5334" operator="containsText" text="BAJA">
      <formula>NOT(ISERROR(SEARCH("BAJA",E967)))</formula>
    </cfRule>
    <cfRule type="containsText" dxfId="3916" priority="5335" operator="containsText" text="INACTIVO">
      <formula>NOT(ISERROR(SEARCH("INACTIVO",E967)))</formula>
    </cfRule>
    <cfRule type="containsText" dxfId="3915" priority="5336" operator="containsText" text="ACTIVO">
      <formula>NOT(ISERROR(SEARCH("ACTIVO",E967)))</formula>
    </cfRule>
    <cfRule type="containsText" dxfId="3914" priority="5331" operator="containsText" text="REVISION">
      <formula>NOT(ISERROR(SEARCH("REVISION",E967)))</formula>
    </cfRule>
  </conditionalFormatting>
  <conditionalFormatting sqref="E967:E968">
    <cfRule type="containsText" dxfId="3913" priority="5325" operator="containsText" text="ACTIVO">
      <formula>NOT(ISERROR(SEARCH("ACTIVO",E967)))</formula>
    </cfRule>
  </conditionalFormatting>
  <conditionalFormatting sqref="E968">
    <cfRule type="containsText" dxfId="3912" priority="5320" operator="containsText" text="REVISION">
      <formula>NOT(ISERROR(SEARCH("REVISION",E968)))</formula>
    </cfRule>
    <cfRule type="containsText" dxfId="3911" priority="5322" operator="containsText" text="REVISION">
      <formula>NOT(ISERROR(SEARCH("REVISION",E968)))</formula>
    </cfRule>
    <cfRule type="containsText" dxfId="3910" priority="5323" operator="containsText" text="BAJA">
      <formula>NOT(ISERROR(SEARCH("BAJA",E968)))</formula>
    </cfRule>
    <cfRule type="containsText" dxfId="3909" priority="5324" operator="containsText" text="INACTIVO">
      <formula>NOT(ISERROR(SEARCH("INACTIVO",E968)))</formula>
    </cfRule>
    <cfRule type="containsText" dxfId="3908" priority="5321" operator="containsText" text="ACTIVO ">
      <formula>NOT(ISERROR(SEARCH("ACTIVO ",E968)))</formula>
    </cfRule>
  </conditionalFormatting>
  <conditionalFormatting sqref="E968:E969">
    <cfRule type="containsText" dxfId="3907" priority="5314" operator="containsText" text="ACTIVO">
      <formula>NOT(ISERROR(SEARCH("ACTIVO",E968)))</formula>
    </cfRule>
  </conditionalFormatting>
  <conditionalFormatting sqref="E969">
    <cfRule type="containsText" dxfId="3906" priority="5310" operator="containsText" text="ACTIVO ">
      <formula>NOT(ISERROR(SEARCH("ACTIVO ",E969)))</formula>
    </cfRule>
    <cfRule type="containsText" dxfId="3905" priority="5312" operator="containsText" text="BAJA">
      <formula>NOT(ISERROR(SEARCH("BAJA",E969)))</formula>
    </cfRule>
    <cfRule type="containsText" dxfId="3904" priority="5311" operator="containsText" text="REVISION">
      <formula>NOT(ISERROR(SEARCH("REVISION",E969)))</formula>
    </cfRule>
    <cfRule type="containsText" dxfId="3903" priority="5313" operator="containsText" text="INACTIVO">
      <formula>NOT(ISERROR(SEARCH("INACTIVO",E969)))</formula>
    </cfRule>
    <cfRule type="containsText" dxfId="3902" priority="5309" operator="containsText" text="REVISION">
      <formula>NOT(ISERROR(SEARCH("REVISION",E969)))</formula>
    </cfRule>
  </conditionalFormatting>
  <conditionalFormatting sqref="E969:E972">
    <cfRule type="containsText" dxfId="3901" priority="5303" operator="containsText" text="ACTIVO">
      <formula>NOT(ISERROR(SEARCH("ACTIVO",E969)))</formula>
    </cfRule>
  </conditionalFormatting>
  <conditionalFormatting sqref="E970">
    <cfRule type="containsText" dxfId="3900" priority="5296" operator="containsText" text="ACTIVO">
      <formula>NOT(ISERROR(SEARCH("ACTIVO",E970)))</formula>
    </cfRule>
    <cfRule type="containsText" dxfId="3899" priority="5298" operator="containsText" text="REVISION">
      <formula>NOT(ISERROR(SEARCH("REVISION",E970)))</formula>
    </cfRule>
    <cfRule type="containsText" dxfId="3898" priority="5299" operator="containsText" text="ACTIVO ">
      <formula>NOT(ISERROR(SEARCH("ACTIVO ",E970)))</formula>
    </cfRule>
    <cfRule type="containsText" dxfId="3897" priority="5300" operator="containsText" text="REVISION">
      <formula>NOT(ISERROR(SEARCH("REVISION",E970)))</formula>
    </cfRule>
    <cfRule type="containsText" dxfId="3896" priority="5301" operator="containsText" text="BAJA">
      <formula>NOT(ISERROR(SEARCH("BAJA",E970)))</formula>
    </cfRule>
    <cfRule type="containsText" dxfId="3895" priority="5302" operator="containsText" text="INACTIVO">
      <formula>NOT(ISERROR(SEARCH("INACTIVO",E970)))</formula>
    </cfRule>
  </conditionalFormatting>
  <conditionalFormatting sqref="E973">
    <cfRule type="containsText" dxfId="3894" priority="5287" operator="containsText" text="INACTIVO">
      <formula>NOT(ISERROR(SEARCH("INACTIVO",E973)))</formula>
    </cfRule>
    <cfRule type="containsText" dxfId="3893" priority="5283" operator="containsText" text="REVISION">
      <formula>NOT(ISERROR(SEARCH("REVISION",E973)))</formula>
    </cfRule>
    <cfRule type="containsText" dxfId="3892" priority="5284" operator="containsText" text="ACTIVO ">
      <formula>NOT(ISERROR(SEARCH("ACTIVO ",E973)))</formula>
    </cfRule>
    <cfRule type="containsText" dxfId="3891" priority="5285" operator="containsText" text="REVISION">
      <formula>NOT(ISERROR(SEARCH("REVISION",E973)))</formula>
    </cfRule>
    <cfRule type="containsText" dxfId="3890" priority="5288" operator="containsText" text="ACTIVO">
      <formula>NOT(ISERROR(SEARCH("ACTIVO",E973)))</formula>
    </cfRule>
    <cfRule type="containsText" dxfId="3889" priority="5286" operator="containsText" text="BAJA">
      <formula>NOT(ISERROR(SEARCH("BAJA",E973)))</formula>
    </cfRule>
  </conditionalFormatting>
  <conditionalFormatting sqref="E973:E974">
    <cfRule type="containsText" dxfId="3888" priority="5275" operator="containsText" text="ACTIVO">
      <formula>NOT(ISERROR(SEARCH("ACTIVO",E973)))</formula>
    </cfRule>
  </conditionalFormatting>
  <conditionalFormatting sqref="E974">
    <cfRule type="containsText" dxfId="3887" priority="5272" operator="containsText" text="REVISION">
      <formula>NOT(ISERROR(SEARCH("REVISION",E974)))</formula>
    </cfRule>
    <cfRule type="containsText" dxfId="3886" priority="5273" operator="containsText" text="BAJA">
      <formula>NOT(ISERROR(SEARCH("BAJA",E974)))</formula>
    </cfRule>
    <cfRule type="containsText" dxfId="3885" priority="5274" operator="containsText" text="INACTIVO">
      <formula>NOT(ISERROR(SEARCH("INACTIVO",E974)))</formula>
    </cfRule>
    <cfRule type="containsText" dxfId="3884" priority="5270" operator="containsText" text="REVISION">
      <formula>NOT(ISERROR(SEARCH("REVISION",E974)))</formula>
    </cfRule>
    <cfRule type="containsText" dxfId="3883" priority="5271" operator="containsText" text="ACTIVO ">
      <formula>NOT(ISERROR(SEARCH("ACTIVO ",E974)))</formula>
    </cfRule>
  </conditionalFormatting>
  <conditionalFormatting sqref="E974:E975">
    <cfRule type="containsText" dxfId="3882" priority="5266" operator="containsText" text="ACTIVO">
      <formula>NOT(ISERROR(SEARCH("ACTIVO",E974)))</formula>
    </cfRule>
  </conditionalFormatting>
  <conditionalFormatting sqref="E975">
    <cfRule type="containsText" dxfId="3881" priority="5263" operator="containsText" text="REVISION">
      <formula>NOT(ISERROR(SEARCH("REVISION",E975)))</formula>
    </cfRule>
    <cfRule type="containsText" dxfId="3880" priority="5262" operator="containsText" text="ACTIVO ">
      <formula>NOT(ISERROR(SEARCH("ACTIVO ",E975)))</formula>
    </cfRule>
    <cfRule type="containsText" dxfId="3879" priority="5261" operator="containsText" text="REVISION">
      <formula>NOT(ISERROR(SEARCH("REVISION",E975)))</formula>
    </cfRule>
    <cfRule type="containsText" dxfId="3878" priority="5265" operator="containsText" text="INACTIVO">
      <formula>NOT(ISERROR(SEARCH("INACTIVO",E975)))</formula>
    </cfRule>
    <cfRule type="containsText" dxfId="3877" priority="5264" operator="containsText" text="BAJA">
      <formula>NOT(ISERROR(SEARCH("BAJA",E975)))</formula>
    </cfRule>
  </conditionalFormatting>
  <conditionalFormatting sqref="E975:E984">
    <cfRule type="containsText" dxfId="3876" priority="5255" operator="containsText" text="ACTIVO">
      <formula>NOT(ISERROR(SEARCH("ACTIVO",E975)))</formula>
    </cfRule>
  </conditionalFormatting>
  <conditionalFormatting sqref="E976">
    <cfRule type="containsText" dxfId="3875" priority="5253" operator="containsText" text="BAJA">
      <formula>NOT(ISERROR(SEARCH("BAJA",E976)))</formula>
    </cfRule>
    <cfRule type="containsText" dxfId="3874" priority="5254" operator="containsText" text="INACTIVO">
      <formula>NOT(ISERROR(SEARCH("INACTIVO",E976)))</formula>
    </cfRule>
    <cfRule type="containsText" dxfId="3873" priority="5248" operator="containsText" text="ACTIVO">
      <formula>NOT(ISERROR(SEARCH("ACTIVO",E976)))</formula>
    </cfRule>
    <cfRule type="containsText" dxfId="3872" priority="5252" operator="containsText" text="REVISION">
      <formula>NOT(ISERROR(SEARCH("REVISION",E976)))</formula>
    </cfRule>
    <cfRule type="containsText" dxfId="3871" priority="5251" operator="containsText" text="ACTIVO ">
      <formula>NOT(ISERROR(SEARCH("ACTIVO ",E976)))</formula>
    </cfRule>
    <cfRule type="containsText" dxfId="3870" priority="5250" operator="containsText" text="REVISION">
      <formula>NOT(ISERROR(SEARCH("REVISION",E976)))</formula>
    </cfRule>
  </conditionalFormatting>
  <conditionalFormatting sqref="E985">
    <cfRule type="containsText" dxfId="3869" priority="5230" operator="containsText" text="ACTIVO">
      <formula>NOT(ISERROR(SEARCH("ACTIVO",E985)))</formula>
    </cfRule>
    <cfRule type="containsText" dxfId="3868" priority="5229" operator="containsText" text="INACTIVO">
      <formula>NOT(ISERROR(SEARCH("INACTIVO",E985)))</formula>
    </cfRule>
    <cfRule type="containsText" dxfId="3867" priority="5228" operator="containsText" text="BAJA">
      <formula>NOT(ISERROR(SEARCH("BAJA",E985)))</formula>
    </cfRule>
    <cfRule type="containsText" dxfId="3866" priority="5227" operator="containsText" text="REVISION">
      <formula>NOT(ISERROR(SEARCH("REVISION",E985)))</formula>
    </cfRule>
    <cfRule type="containsText" dxfId="3865" priority="5226" operator="containsText" text="ACTIVO ">
      <formula>NOT(ISERROR(SEARCH("ACTIVO ",E985)))</formula>
    </cfRule>
    <cfRule type="containsText" dxfId="3864" priority="5225" operator="containsText" text="REVISION">
      <formula>NOT(ISERROR(SEARCH("REVISION",E985)))</formula>
    </cfRule>
  </conditionalFormatting>
  <conditionalFormatting sqref="E985:E987">
    <cfRule type="containsText" dxfId="3863" priority="5219" operator="containsText" text="ACTIVO">
      <formula>NOT(ISERROR(SEARCH("ACTIVO",E985)))</formula>
    </cfRule>
  </conditionalFormatting>
  <conditionalFormatting sqref="E986">
    <cfRule type="containsText" dxfId="3862" priority="5218" operator="containsText" text="INACTIVO">
      <formula>NOT(ISERROR(SEARCH("INACTIVO",E986)))</formula>
    </cfRule>
    <cfRule type="containsText" dxfId="3861" priority="5212" operator="containsText" text="ACTIVO">
      <formula>NOT(ISERROR(SEARCH("ACTIVO",E986)))</formula>
    </cfRule>
    <cfRule type="containsText" dxfId="3860" priority="5217" operator="containsText" text="BAJA">
      <formula>NOT(ISERROR(SEARCH("BAJA",E986)))</formula>
    </cfRule>
    <cfRule type="containsText" dxfId="3859" priority="5216" operator="containsText" text="REVISION">
      <formula>NOT(ISERROR(SEARCH("REVISION",E986)))</formula>
    </cfRule>
    <cfRule type="containsText" dxfId="3858" priority="5215" operator="containsText" text="ACTIVO ">
      <formula>NOT(ISERROR(SEARCH("ACTIVO ",E986)))</formula>
    </cfRule>
    <cfRule type="containsText" dxfId="3857" priority="5214" operator="containsText" text="REVISION">
      <formula>NOT(ISERROR(SEARCH("REVISION",E986)))</formula>
    </cfRule>
  </conditionalFormatting>
  <conditionalFormatting sqref="E988">
    <cfRule type="containsText" dxfId="3856" priority="5206" operator="containsText" text="ACTIVO ">
      <formula>NOT(ISERROR(SEARCH("ACTIVO ",E988)))</formula>
    </cfRule>
    <cfRule type="containsText" dxfId="3855" priority="5205" operator="containsText" text="ACTIVO">
      <formula>NOT(ISERROR(SEARCH("ACTIVO",E988)))</formula>
    </cfRule>
    <cfRule type="containsText" dxfId="3854" priority="5204" operator="containsText" text="INACTIVO">
      <formula>NOT(ISERROR(SEARCH("INACTIVO",E988)))</formula>
    </cfRule>
    <cfRule type="containsText" dxfId="3853" priority="5203" operator="containsText" text="BAJA">
      <formula>NOT(ISERROR(SEARCH("BAJA",E988)))</formula>
    </cfRule>
    <cfRule type="containsText" dxfId="3852" priority="5202" operator="containsText" text="REVISION">
      <formula>NOT(ISERROR(SEARCH("REVISION",E988)))</formula>
    </cfRule>
    <cfRule type="containsText" dxfId="3851" priority="5201" operator="containsText" text="REVISION">
      <formula>NOT(ISERROR(SEARCH("REVISION",E988)))</formula>
    </cfRule>
  </conditionalFormatting>
  <conditionalFormatting sqref="E988:E989">
    <cfRule type="containsText" dxfId="3850" priority="5194" operator="containsText" text="ACTIVO">
      <formula>NOT(ISERROR(SEARCH("ACTIVO",E988)))</formula>
    </cfRule>
    <cfRule type="containsText" dxfId="3849" priority="5189" operator="containsText" text="REVISION">
      <formula>NOT(ISERROR(SEARCH("REVISION",E988)))</formula>
    </cfRule>
  </conditionalFormatting>
  <conditionalFormatting sqref="E989">
    <cfRule type="containsText" dxfId="3848" priority="5192" operator="containsText" text="BAJA">
      <formula>NOT(ISERROR(SEARCH("BAJA",E989)))</formula>
    </cfRule>
    <cfRule type="containsText" dxfId="3847" priority="5193" operator="containsText" text="INACTIVO">
      <formula>NOT(ISERROR(SEARCH("INACTIVO",E989)))</formula>
    </cfRule>
    <cfRule type="containsText" dxfId="3846" priority="5191" operator="containsText" text="REVISION">
      <formula>NOT(ISERROR(SEARCH("REVISION",E989)))</formula>
    </cfRule>
    <cfRule type="containsText" dxfId="3845" priority="5190" operator="containsText" text="ACTIVO ">
      <formula>NOT(ISERROR(SEARCH("ACTIVO ",E989)))</formula>
    </cfRule>
  </conditionalFormatting>
  <conditionalFormatting sqref="E989:E991">
    <cfRule type="containsText" dxfId="3844" priority="5183" operator="containsText" text="ACTIVO">
      <formula>NOT(ISERROR(SEARCH("ACTIVO",E989)))</formula>
    </cfRule>
  </conditionalFormatting>
  <conditionalFormatting sqref="E990">
    <cfRule type="containsText" dxfId="3843" priority="5182" operator="containsText" text="INACTIVO">
      <formula>NOT(ISERROR(SEARCH("INACTIVO",E990)))</formula>
    </cfRule>
    <cfRule type="containsText" dxfId="3842" priority="5181" operator="containsText" text="BAJA">
      <formula>NOT(ISERROR(SEARCH("BAJA",E990)))</formula>
    </cfRule>
    <cfRule type="containsText" dxfId="3841" priority="5180" operator="containsText" text="REVISION">
      <formula>NOT(ISERROR(SEARCH("REVISION",E990)))</formula>
    </cfRule>
    <cfRule type="containsText" dxfId="3840" priority="5179" operator="containsText" text="ACTIVO ">
      <formula>NOT(ISERROR(SEARCH("ACTIVO ",E990)))</formula>
    </cfRule>
    <cfRule type="containsText" dxfId="3839" priority="5178" operator="containsText" text="REVISION">
      <formula>NOT(ISERROR(SEARCH("REVISION",E990)))</formula>
    </cfRule>
    <cfRule type="containsText" dxfId="3838" priority="5176" operator="containsText" text="ACTIVO">
      <formula>NOT(ISERROR(SEARCH("ACTIVO",E990)))</formula>
    </cfRule>
  </conditionalFormatting>
  <conditionalFormatting sqref="E992">
    <cfRule type="containsText" dxfId="3837" priority="5167" operator="containsText" text="REVISION">
      <formula>NOT(ISERROR(SEARCH("REVISION",E992)))</formula>
    </cfRule>
    <cfRule type="containsText" dxfId="3836" priority="5166" operator="containsText" text="ACTIVO ">
      <formula>NOT(ISERROR(SEARCH("ACTIVO ",E992)))</formula>
    </cfRule>
    <cfRule type="containsText" dxfId="3835" priority="5163" operator="containsText" text="ACTIVO">
      <formula>NOT(ISERROR(SEARCH("ACTIVO",E992)))</formula>
    </cfRule>
    <cfRule type="containsText" dxfId="3834" priority="5165" operator="containsText" text="REVISION">
      <formula>NOT(ISERROR(SEARCH("REVISION",E992)))</formula>
    </cfRule>
    <cfRule type="containsText" dxfId="3833" priority="5169" operator="containsText" text="INACTIVO">
      <formula>NOT(ISERROR(SEARCH("INACTIVO",E992)))</formula>
    </cfRule>
    <cfRule type="containsText" dxfId="3832" priority="5168" operator="containsText" text="BAJA">
      <formula>NOT(ISERROR(SEARCH("BAJA",E992)))</formula>
    </cfRule>
  </conditionalFormatting>
  <conditionalFormatting sqref="E992:E993">
    <cfRule type="containsText" dxfId="3831" priority="5170" operator="containsText" text="ACTIVO">
      <formula>NOT(ISERROR(SEARCH("ACTIVO",E992)))</formula>
    </cfRule>
  </conditionalFormatting>
  <conditionalFormatting sqref="E994">
    <cfRule type="containsText" dxfId="3830" priority="5159" operator="containsText" text="ACTIVO">
      <formula>NOT(ISERROR(SEARCH("ACTIVO",E994)))</formula>
    </cfRule>
    <cfRule type="containsText" dxfId="3829" priority="5157" operator="containsText" text="BAJA">
      <formula>NOT(ISERROR(SEARCH("BAJA",E994)))</formula>
    </cfRule>
    <cfRule type="containsText" dxfId="3828" priority="5158" operator="containsText" text="INACTIVO">
      <formula>NOT(ISERROR(SEARCH("INACTIVO",E994)))</formula>
    </cfRule>
    <cfRule type="containsText" dxfId="3827" priority="5156" operator="containsText" text="REVISION">
      <formula>NOT(ISERROR(SEARCH("REVISION",E994)))</formula>
    </cfRule>
    <cfRule type="containsText" dxfId="3826" priority="5155" operator="containsText" text="ACTIVO ">
      <formula>NOT(ISERROR(SEARCH("ACTIVO ",E994)))</formula>
    </cfRule>
    <cfRule type="containsText" dxfId="3825" priority="5154" operator="containsText" text="REVISION">
      <formula>NOT(ISERROR(SEARCH("REVISION",E994)))</formula>
    </cfRule>
  </conditionalFormatting>
  <conditionalFormatting sqref="E994:E996">
    <cfRule type="containsText" dxfId="3824" priority="5148" operator="containsText" text="ACTIVO">
      <formula>NOT(ISERROR(SEARCH("ACTIVO",E994)))</formula>
    </cfRule>
  </conditionalFormatting>
  <conditionalFormatting sqref="E995">
    <cfRule type="containsText" dxfId="3823" priority="5141" operator="containsText" text="ACTIVO">
      <formula>NOT(ISERROR(SEARCH("ACTIVO",E995)))</formula>
    </cfRule>
    <cfRule type="containsText" dxfId="3822" priority="5143" operator="containsText" text="REVISION">
      <formula>NOT(ISERROR(SEARCH("REVISION",E995)))</formula>
    </cfRule>
    <cfRule type="containsText" dxfId="3821" priority="5144" operator="containsText" text="ACTIVO ">
      <formula>NOT(ISERROR(SEARCH("ACTIVO ",E995)))</formula>
    </cfRule>
    <cfRule type="containsText" dxfId="3820" priority="5145" operator="containsText" text="REVISION">
      <formula>NOT(ISERROR(SEARCH("REVISION",E995)))</formula>
    </cfRule>
    <cfRule type="containsText" dxfId="3819" priority="5147" operator="containsText" text="INACTIVO">
      <formula>NOT(ISERROR(SEARCH("INACTIVO",E995)))</formula>
    </cfRule>
    <cfRule type="containsText" dxfId="3818" priority="5146" operator="containsText" text="BAJA">
      <formula>NOT(ISERROR(SEARCH("BAJA",E995)))</formula>
    </cfRule>
  </conditionalFormatting>
  <conditionalFormatting sqref="E997">
    <cfRule type="containsText" dxfId="3817" priority="5110" operator="containsText" text="REVISION">
      <formula>NOT(ISERROR(SEARCH("REVISION",E997)))</formula>
    </cfRule>
    <cfRule type="containsText" dxfId="3816" priority="5109" operator="containsText" text="ACTIVO ">
      <formula>NOT(ISERROR(SEARCH("ACTIVO ",E997)))</formula>
    </cfRule>
    <cfRule type="containsText" dxfId="3815" priority="5112" operator="containsText" text="INACTIVO">
      <formula>NOT(ISERROR(SEARCH("INACTIVO",E997)))</formula>
    </cfRule>
    <cfRule type="containsText" dxfId="3814" priority="5108" operator="containsText" text="REVISION">
      <formula>NOT(ISERROR(SEARCH("REVISION",E997)))</formula>
    </cfRule>
    <cfRule type="containsText" dxfId="3813" priority="5113" operator="containsText" text="ACTIVO">
      <formula>NOT(ISERROR(SEARCH("ACTIVO",E997)))</formula>
    </cfRule>
    <cfRule type="containsText" dxfId="3812" priority="5111" operator="containsText" text="BAJA">
      <formula>NOT(ISERROR(SEARCH("BAJA",E997)))</formula>
    </cfRule>
  </conditionalFormatting>
  <conditionalFormatting sqref="E997:E999">
    <cfRule type="containsText" dxfId="3811" priority="5087" operator="containsText" text="ACTIVO">
      <formula>NOT(ISERROR(SEARCH("ACTIVO",E997)))</formula>
    </cfRule>
  </conditionalFormatting>
  <conditionalFormatting sqref="E998">
    <cfRule type="containsText" dxfId="3810" priority="5084" operator="containsText" text="REVISION">
      <formula>NOT(ISERROR(SEARCH("REVISION",E998)))</formula>
    </cfRule>
    <cfRule type="containsText" dxfId="3809" priority="5083" operator="containsText" text="ACTIVO ">
      <formula>NOT(ISERROR(SEARCH("ACTIVO ",E998)))</formula>
    </cfRule>
    <cfRule type="containsText" dxfId="3808" priority="5082" operator="containsText" text="REVISION">
      <formula>NOT(ISERROR(SEARCH("REVISION",E998)))</formula>
    </cfRule>
    <cfRule type="containsText" dxfId="3807" priority="5080" operator="containsText" text="ACTIVO">
      <formula>NOT(ISERROR(SEARCH("ACTIVO",E998)))</formula>
    </cfRule>
    <cfRule type="containsText" dxfId="3806" priority="5086" operator="containsText" text="INACTIVO">
      <formula>NOT(ISERROR(SEARCH("INACTIVO",E998)))</formula>
    </cfRule>
    <cfRule type="containsText" dxfId="3805" priority="5085" operator="containsText" text="BAJA">
      <formula>NOT(ISERROR(SEARCH("BAJA",E998)))</formula>
    </cfRule>
  </conditionalFormatting>
  <conditionalFormatting sqref="E999">
    <cfRule type="containsText" dxfId="3804" priority="5499" operator="containsText" text="REVISION">
      <formula>NOT(ISERROR(SEARCH("REVISION",E999)))</formula>
    </cfRule>
    <cfRule type="containsText" dxfId="3803" priority="5500" operator="containsText" text="ACTIVO ">
      <formula>NOT(ISERROR(SEARCH("ACTIVO ",E999)))</formula>
    </cfRule>
    <cfRule type="containsText" dxfId="3802" priority="5504" operator="containsText" text="ACTIVO">
      <formula>NOT(ISERROR(SEARCH("ACTIVO",E999)))</formula>
    </cfRule>
    <cfRule type="containsText" dxfId="3801" priority="5503" operator="containsText" text="INACTIVO">
      <formula>NOT(ISERROR(SEARCH("INACTIVO",E999)))</formula>
    </cfRule>
    <cfRule type="containsText" dxfId="3800" priority="5502" operator="containsText" text="BAJA">
      <formula>NOT(ISERROR(SEARCH("BAJA",E999)))</formula>
    </cfRule>
    <cfRule type="containsText" dxfId="3799" priority="5501" operator="containsText" text="REVISION">
      <formula>NOT(ISERROR(SEARCH("REVISION",E999)))</formula>
    </cfRule>
  </conditionalFormatting>
  <conditionalFormatting sqref="E1000">
    <cfRule type="containsText" dxfId="3798" priority="5073" operator="containsText" text="INACTIVO">
      <formula>NOT(ISERROR(SEARCH("INACTIVO",E1000)))</formula>
    </cfRule>
    <cfRule type="containsText" dxfId="3797" priority="5074" operator="containsText" text="ACTIVO">
      <formula>NOT(ISERROR(SEARCH("ACTIVO",E1000)))</formula>
    </cfRule>
    <cfRule type="containsText" dxfId="3796" priority="5069" operator="containsText" text="REVISION">
      <formula>NOT(ISERROR(SEARCH("REVISION",E1000)))</formula>
    </cfRule>
    <cfRule type="containsText" dxfId="3795" priority="5070" operator="containsText" text="ACTIVO ">
      <formula>NOT(ISERROR(SEARCH("ACTIVO ",E1000)))</formula>
    </cfRule>
    <cfRule type="containsText" dxfId="3794" priority="5071" operator="containsText" text="REVISION">
      <formula>NOT(ISERROR(SEARCH("REVISION",E1000)))</formula>
    </cfRule>
    <cfRule type="containsText" dxfId="3793" priority="5072" operator="containsText" text="BAJA">
      <formula>NOT(ISERROR(SEARCH("BAJA",E1000)))</formula>
    </cfRule>
  </conditionalFormatting>
  <conditionalFormatting sqref="E1000:E1003">
    <cfRule type="containsText" dxfId="3792" priority="5063" operator="containsText" text="ACTIVO">
      <formula>NOT(ISERROR(SEARCH("ACTIVO",E1000)))</formula>
    </cfRule>
  </conditionalFormatting>
  <conditionalFormatting sqref="E1001">
    <cfRule type="containsText" dxfId="3791" priority="5058" operator="containsText" text="REVISION">
      <formula>NOT(ISERROR(SEARCH("REVISION",E1001)))</formula>
    </cfRule>
    <cfRule type="containsText" dxfId="3790" priority="5061" operator="containsText" text="BAJA">
      <formula>NOT(ISERROR(SEARCH("BAJA",E1001)))</formula>
    </cfRule>
    <cfRule type="containsText" dxfId="3789" priority="5062" operator="containsText" text="INACTIVO">
      <formula>NOT(ISERROR(SEARCH("INACTIVO",E1001)))</formula>
    </cfRule>
    <cfRule type="containsText" dxfId="3788" priority="5060" operator="containsText" text="REVISION">
      <formula>NOT(ISERROR(SEARCH("REVISION",E1001)))</formula>
    </cfRule>
    <cfRule type="containsText" dxfId="3787" priority="5059" operator="containsText" text="ACTIVO ">
      <formula>NOT(ISERROR(SEARCH("ACTIVO ",E1001)))</formula>
    </cfRule>
    <cfRule type="containsText" dxfId="3786" priority="5056" operator="containsText" text="ACTIVO">
      <formula>NOT(ISERROR(SEARCH("ACTIVO",E1001)))</formula>
    </cfRule>
  </conditionalFormatting>
  <conditionalFormatting sqref="E1004">
    <cfRule type="containsText" dxfId="3785" priority="5049" operator="containsText" text="INACTIVO">
      <formula>NOT(ISERROR(SEARCH("INACTIVO",E1004)))</formula>
    </cfRule>
    <cfRule type="containsText" dxfId="3784" priority="5048" operator="containsText" text="BAJA">
      <formula>NOT(ISERROR(SEARCH("BAJA",E1004)))</formula>
    </cfRule>
    <cfRule type="containsText" dxfId="3783" priority="5047" operator="containsText" text="REVISION">
      <formula>NOT(ISERROR(SEARCH("REVISION",E1004)))</formula>
    </cfRule>
    <cfRule type="containsText" dxfId="3782" priority="5046" operator="containsText" text="ACTIVO ">
      <formula>NOT(ISERROR(SEARCH("ACTIVO ",E1004)))</formula>
    </cfRule>
    <cfRule type="containsText" dxfId="3781" priority="5043" operator="containsText" text="ACTIVO">
      <formula>NOT(ISERROR(SEARCH("ACTIVO",E1004)))</formula>
    </cfRule>
    <cfRule type="containsText" dxfId="3780" priority="5045" operator="containsText" text="REVISION">
      <formula>NOT(ISERROR(SEARCH("REVISION",E1004)))</formula>
    </cfRule>
  </conditionalFormatting>
  <conditionalFormatting sqref="E1004:E1006">
    <cfRule type="containsText" dxfId="3779" priority="5050" operator="containsText" text="ACTIVO">
      <formula>NOT(ISERROR(SEARCH("ACTIVO",E1004)))</formula>
    </cfRule>
  </conditionalFormatting>
  <conditionalFormatting sqref="E1007">
    <cfRule type="containsText" dxfId="3778" priority="5030" operator="containsText" text="ACTIVO">
      <formula>NOT(ISERROR(SEARCH("ACTIVO",E1007)))</formula>
    </cfRule>
    <cfRule type="containsText" dxfId="3777" priority="5032" operator="containsText" text="REVISION">
      <formula>NOT(ISERROR(SEARCH("REVISION",E1007)))</formula>
    </cfRule>
    <cfRule type="containsText" dxfId="3776" priority="5033" operator="containsText" text="ACTIVO ">
      <formula>NOT(ISERROR(SEARCH("ACTIVO ",E1007)))</formula>
    </cfRule>
    <cfRule type="containsText" dxfId="3775" priority="5034" operator="containsText" text="REVISION">
      <formula>NOT(ISERROR(SEARCH("REVISION",E1007)))</formula>
    </cfRule>
    <cfRule type="containsText" dxfId="3774" priority="5036" operator="containsText" text="INACTIVO">
      <formula>NOT(ISERROR(SEARCH("INACTIVO",E1007)))</formula>
    </cfRule>
    <cfRule type="containsText" dxfId="3773" priority="5035" operator="containsText" text="BAJA">
      <formula>NOT(ISERROR(SEARCH("BAJA",E1007)))</formula>
    </cfRule>
  </conditionalFormatting>
  <conditionalFormatting sqref="E1007:E1012">
    <cfRule type="containsText" dxfId="3772" priority="5037" operator="containsText" text="ACTIVO">
      <formula>NOT(ISERROR(SEARCH("ACTIVO",E1007)))</formula>
    </cfRule>
  </conditionalFormatting>
  <conditionalFormatting sqref="E1013">
    <cfRule type="containsText" dxfId="3771" priority="5008" operator="containsText" text="REVISION">
      <formula>NOT(ISERROR(SEARCH("REVISION",E1013)))</formula>
    </cfRule>
    <cfRule type="containsText" dxfId="3770" priority="5009" operator="containsText" text="ACTIVO ">
      <formula>NOT(ISERROR(SEARCH("ACTIVO ",E1013)))</formula>
    </cfRule>
    <cfRule type="containsText" dxfId="3769" priority="5010" operator="containsText" text="REVISION">
      <formula>NOT(ISERROR(SEARCH("REVISION",E1013)))</formula>
    </cfRule>
    <cfRule type="containsText" dxfId="3768" priority="5011" operator="containsText" text="BAJA">
      <formula>NOT(ISERROR(SEARCH("BAJA",E1013)))</formula>
    </cfRule>
    <cfRule type="containsText" dxfId="3767" priority="5013" operator="containsText" text="ACTIVO">
      <formula>NOT(ISERROR(SEARCH("ACTIVO",E1013)))</formula>
    </cfRule>
    <cfRule type="containsText" dxfId="3766" priority="5012" operator="containsText" text="INACTIVO">
      <formula>NOT(ISERROR(SEARCH("INACTIVO",E1013)))</formula>
    </cfRule>
  </conditionalFormatting>
  <conditionalFormatting sqref="E1013:E1014">
    <cfRule type="containsText" dxfId="3765" priority="5001" operator="containsText" text="ACTIVO">
      <formula>NOT(ISERROR(SEARCH("ACTIVO",E1013)))</formula>
    </cfRule>
  </conditionalFormatting>
  <conditionalFormatting sqref="E1014">
    <cfRule type="containsText" dxfId="3764" priority="4998" operator="containsText" text="REVISION">
      <formula>NOT(ISERROR(SEARCH("REVISION",E1014)))</formula>
    </cfRule>
    <cfRule type="containsText" dxfId="3763" priority="4997" operator="containsText" text="REVISION">
      <formula>NOT(ISERROR(SEARCH("REVISION",E1014)))</formula>
    </cfRule>
    <cfRule type="containsText" dxfId="3762" priority="4999" operator="containsText" text="BAJA">
      <formula>NOT(ISERROR(SEARCH("BAJA",E1014)))</formula>
    </cfRule>
    <cfRule type="containsText" dxfId="3761" priority="5000" operator="containsText" text="INACTIVO">
      <formula>NOT(ISERROR(SEARCH("INACTIVO",E1014)))</formula>
    </cfRule>
    <cfRule type="containsText" dxfId="3760" priority="5002" operator="containsText" text="ACTIVO ">
      <formula>NOT(ISERROR(SEARCH("ACTIVO ",E1014)))</formula>
    </cfRule>
  </conditionalFormatting>
  <conditionalFormatting sqref="E1014:E1015">
    <cfRule type="containsText" dxfId="3759" priority="4985" operator="containsText" text="REVISION">
      <formula>NOT(ISERROR(SEARCH("REVISION",E1014)))</formula>
    </cfRule>
  </conditionalFormatting>
  <conditionalFormatting sqref="E1014:E1017">
    <cfRule type="containsText" dxfId="3758" priority="4990" operator="containsText" text="ACTIVO">
      <formula>NOT(ISERROR(SEARCH("ACTIVO",E1014)))</formula>
    </cfRule>
  </conditionalFormatting>
  <conditionalFormatting sqref="E1015">
    <cfRule type="containsText" dxfId="3757" priority="4983" operator="containsText" text="ACTIVO">
      <formula>NOT(ISERROR(SEARCH("ACTIVO",E1015)))</formula>
    </cfRule>
    <cfRule type="containsText" dxfId="3756" priority="4989" operator="containsText" text="INACTIVO">
      <formula>NOT(ISERROR(SEARCH("INACTIVO",E1015)))</formula>
    </cfRule>
    <cfRule type="containsText" dxfId="3755" priority="4988" operator="containsText" text="BAJA">
      <formula>NOT(ISERROR(SEARCH("BAJA",E1015)))</formula>
    </cfRule>
    <cfRule type="containsText" dxfId="3754" priority="4987" operator="containsText" text="REVISION">
      <formula>NOT(ISERROR(SEARCH("REVISION",E1015)))</formula>
    </cfRule>
    <cfRule type="containsText" dxfId="3753" priority="4986" operator="containsText" text="ACTIVO ">
      <formula>NOT(ISERROR(SEARCH("ACTIVO ",E1015)))</formula>
    </cfRule>
  </conditionalFormatting>
  <conditionalFormatting sqref="E1018">
    <cfRule type="containsText" dxfId="3752" priority="4975" operator="containsText" text="BAJA">
      <formula>NOT(ISERROR(SEARCH("BAJA",E1018)))</formula>
    </cfRule>
    <cfRule type="containsText" dxfId="3751" priority="4977" operator="containsText" text="ACTIVO">
      <formula>NOT(ISERROR(SEARCH("ACTIVO",E1018)))</formula>
    </cfRule>
    <cfRule type="containsText" dxfId="3750" priority="4973" operator="containsText" text="ACTIVO ">
      <formula>NOT(ISERROR(SEARCH("ACTIVO ",E1018)))</formula>
    </cfRule>
    <cfRule type="containsText" dxfId="3749" priority="4976" operator="containsText" text="INACTIVO">
      <formula>NOT(ISERROR(SEARCH("INACTIVO",E1018)))</formula>
    </cfRule>
    <cfRule type="containsText" dxfId="3748" priority="4972" operator="containsText" text="REVISION">
      <formula>NOT(ISERROR(SEARCH("REVISION",E1018)))</formula>
    </cfRule>
    <cfRule type="containsText" dxfId="3747" priority="4974" operator="containsText" text="REVISION">
      <formula>NOT(ISERROR(SEARCH("REVISION",E1018)))</formula>
    </cfRule>
  </conditionalFormatting>
  <conditionalFormatting sqref="E1018:E1020">
    <cfRule type="containsText" dxfId="3746" priority="4966" operator="containsText" text="ACTIVO">
      <formula>NOT(ISERROR(SEARCH("ACTIVO",E1018)))</formula>
    </cfRule>
  </conditionalFormatting>
  <conditionalFormatting sqref="E1019">
    <cfRule type="containsText" dxfId="3745" priority="4961" operator="containsText" text="REVISION">
      <formula>NOT(ISERROR(SEARCH("REVISION",E1019)))</formula>
    </cfRule>
    <cfRule type="containsText" dxfId="3744" priority="4959" operator="containsText" text="ACTIVO">
      <formula>NOT(ISERROR(SEARCH("ACTIVO",E1019)))</formula>
    </cfRule>
    <cfRule type="containsText" dxfId="3743" priority="4965" operator="containsText" text="INACTIVO">
      <formula>NOT(ISERROR(SEARCH("INACTIVO",E1019)))</formula>
    </cfRule>
    <cfRule type="containsText" dxfId="3742" priority="4963" operator="containsText" text="REVISION">
      <formula>NOT(ISERROR(SEARCH("REVISION",E1019)))</formula>
    </cfRule>
    <cfRule type="containsText" dxfId="3741" priority="4962" operator="containsText" text="ACTIVO ">
      <formula>NOT(ISERROR(SEARCH("ACTIVO ",E1019)))</formula>
    </cfRule>
    <cfRule type="containsText" dxfId="3740" priority="4964" operator="containsText" text="BAJA">
      <formula>NOT(ISERROR(SEARCH("BAJA",E1019)))</formula>
    </cfRule>
  </conditionalFormatting>
  <conditionalFormatting sqref="E1021">
    <cfRule type="containsText" dxfId="3739" priority="4945" operator="containsText" text="REVISION">
      <formula>NOT(ISERROR(SEARCH("REVISION",E1021)))</formula>
    </cfRule>
    <cfRule type="containsText" dxfId="3738" priority="4946" operator="containsText" text="BAJA">
      <formula>NOT(ISERROR(SEARCH("BAJA",E1021)))</formula>
    </cfRule>
    <cfRule type="containsText" dxfId="3737" priority="4948" operator="containsText" text="ACTIVO">
      <formula>NOT(ISERROR(SEARCH("ACTIVO",E1021)))</formula>
    </cfRule>
    <cfRule type="containsText" dxfId="3736" priority="4944" operator="containsText" text="ACTIVO ">
      <formula>NOT(ISERROR(SEARCH("ACTIVO ",E1021)))</formula>
    </cfRule>
    <cfRule type="containsText" dxfId="3735" priority="4947" operator="containsText" text="INACTIVO">
      <formula>NOT(ISERROR(SEARCH("INACTIVO",E1021)))</formula>
    </cfRule>
    <cfRule type="containsText" dxfId="3734" priority="4943" operator="containsText" text="REVISION">
      <formula>NOT(ISERROR(SEARCH("REVISION",E1021)))</formula>
    </cfRule>
  </conditionalFormatting>
  <conditionalFormatting sqref="E1021:E1024">
    <cfRule type="containsText" dxfId="3733" priority="4932" operator="containsText" text="ACTIVO">
      <formula>NOT(ISERROR(SEARCH("ACTIVO",E1021)))</formula>
    </cfRule>
  </conditionalFormatting>
  <conditionalFormatting sqref="E1022">
    <cfRule type="containsText" dxfId="3732" priority="4931" operator="containsText" text="INACTIVO">
      <formula>NOT(ISERROR(SEARCH("INACTIVO",E1022)))</formula>
    </cfRule>
    <cfRule type="containsText" dxfId="3731" priority="4925" operator="containsText" text="ACTIVO">
      <formula>NOT(ISERROR(SEARCH("ACTIVO",E1022)))</formula>
    </cfRule>
    <cfRule type="containsText" dxfId="3730" priority="4929" operator="containsText" text="REVISION">
      <formula>NOT(ISERROR(SEARCH("REVISION",E1022)))</formula>
    </cfRule>
    <cfRule type="containsText" dxfId="3729" priority="4927" operator="containsText" text="REVISION">
      <formula>NOT(ISERROR(SEARCH("REVISION",E1022)))</formula>
    </cfRule>
    <cfRule type="containsText" dxfId="3728" priority="4928" operator="containsText" text="ACTIVO ">
      <formula>NOT(ISERROR(SEARCH("ACTIVO ",E1022)))</formula>
    </cfRule>
    <cfRule type="containsText" dxfId="3727" priority="4930" operator="containsText" text="BAJA">
      <formula>NOT(ISERROR(SEARCH("BAJA",E1022)))</formula>
    </cfRule>
  </conditionalFormatting>
  <conditionalFormatting sqref="E1025">
    <cfRule type="containsText" dxfId="3726" priority="4899" operator="containsText" text="ACTIVO">
      <formula>NOT(ISERROR(SEARCH("ACTIVO",E1025)))</formula>
    </cfRule>
    <cfRule type="containsText" dxfId="3725" priority="4898" operator="containsText" text="INACTIVO">
      <formula>NOT(ISERROR(SEARCH("INACTIVO",E1025)))</formula>
    </cfRule>
    <cfRule type="containsText" dxfId="3724" priority="4897" operator="containsText" text="BAJA">
      <formula>NOT(ISERROR(SEARCH("BAJA",E1025)))</formula>
    </cfRule>
    <cfRule type="containsText" dxfId="3723" priority="4896" operator="containsText" text="REVISION">
      <formula>NOT(ISERROR(SEARCH("REVISION",E1025)))</formula>
    </cfRule>
    <cfRule type="containsText" dxfId="3722" priority="4895" operator="containsText" text="ACTIVO ">
      <formula>NOT(ISERROR(SEARCH("ACTIVO ",E1025)))</formula>
    </cfRule>
    <cfRule type="containsText" dxfId="3721" priority="4894" operator="containsText" text="REVISION">
      <formula>NOT(ISERROR(SEARCH("REVISION",E1025)))</formula>
    </cfRule>
  </conditionalFormatting>
  <conditionalFormatting sqref="E1025:E1026">
    <cfRule type="containsText" dxfId="3720" priority="4888" operator="containsText" text="ACTIVO">
      <formula>NOT(ISERROR(SEARCH("ACTIVO",E1025)))</formula>
    </cfRule>
  </conditionalFormatting>
  <conditionalFormatting sqref="E1026">
    <cfRule type="containsText" dxfId="3719" priority="4887" operator="containsText" text="INACTIVO">
      <formula>NOT(ISERROR(SEARCH("INACTIVO",E1026)))</formula>
    </cfRule>
    <cfRule type="containsText" dxfId="3718" priority="4886" operator="containsText" text="BAJA">
      <formula>NOT(ISERROR(SEARCH("BAJA",E1026)))</formula>
    </cfRule>
    <cfRule type="containsText" dxfId="3717" priority="4885" operator="containsText" text="REVISION">
      <formula>NOT(ISERROR(SEARCH("REVISION",E1026)))</formula>
    </cfRule>
    <cfRule type="containsText" dxfId="3716" priority="4884" operator="containsText" text="ACTIVO ">
      <formula>NOT(ISERROR(SEARCH("ACTIVO ",E1026)))</formula>
    </cfRule>
    <cfRule type="containsText" dxfId="3715" priority="4883" operator="containsText" text="REVISION">
      <formula>NOT(ISERROR(SEARCH("REVISION",E1026)))</formula>
    </cfRule>
  </conditionalFormatting>
  <conditionalFormatting sqref="E1026:E1029">
    <cfRule type="containsText" dxfId="3714" priority="4877" operator="containsText" text="ACTIVO">
      <formula>NOT(ISERROR(SEARCH("ACTIVO",E1026)))</formula>
    </cfRule>
  </conditionalFormatting>
  <conditionalFormatting sqref="E1027">
    <cfRule type="containsText" dxfId="3713" priority="4875" operator="containsText" text="BAJA">
      <formula>NOT(ISERROR(SEARCH("BAJA",E1027)))</formula>
    </cfRule>
    <cfRule type="containsText" dxfId="3712" priority="4870" operator="containsText" text="ACTIVO">
      <formula>NOT(ISERROR(SEARCH("ACTIVO",E1027)))</formula>
    </cfRule>
    <cfRule type="containsText" dxfId="3711" priority="4872" operator="containsText" text="REVISION">
      <formula>NOT(ISERROR(SEARCH("REVISION",E1027)))</formula>
    </cfRule>
    <cfRule type="containsText" dxfId="3710" priority="4873" operator="containsText" text="ACTIVO ">
      <formula>NOT(ISERROR(SEARCH("ACTIVO ",E1027)))</formula>
    </cfRule>
    <cfRule type="containsText" dxfId="3709" priority="4874" operator="containsText" text="REVISION">
      <formula>NOT(ISERROR(SEARCH("REVISION",E1027)))</formula>
    </cfRule>
    <cfRule type="containsText" dxfId="3708" priority="4876" operator="containsText" text="INACTIVO">
      <formula>NOT(ISERROR(SEARCH("INACTIVO",E1027)))</formula>
    </cfRule>
  </conditionalFormatting>
  <conditionalFormatting sqref="E1030">
    <cfRule type="containsText" dxfId="3707" priority="4865" operator="containsText" text="INACTIVO">
      <formula>NOT(ISERROR(SEARCH("INACTIVO",E1030)))</formula>
    </cfRule>
    <cfRule type="containsText" dxfId="3706" priority="4864" operator="containsText" text="BAJA">
      <formula>NOT(ISERROR(SEARCH("BAJA",E1030)))</formula>
    </cfRule>
    <cfRule type="containsText" dxfId="3705" priority="4863" operator="containsText" text="REVISION">
      <formula>NOT(ISERROR(SEARCH("REVISION",E1030)))</formula>
    </cfRule>
    <cfRule type="containsText" dxfId="3704" priority="4862" operator="containsText" text="ACTIVO ">
      <formula>NOT(ISERROR(SEARCH("ACTIVO ",E1030)))</formula>
    </cfRule>
    <cfRule type="containsText" dxfId="3703" priority="4861" operator="containsText" text="REVISION">
      <formula>NOT(ISERROR(SEARCH("REVISION",E1030)))</formula>
    </cfRule>
    <cfRule type="containsText" dxfId="3702" priority="4859" operator="containsText" text="ACTIVO">
      <formula>NOT(ISERROR(SEARCH("ACTIVO",E1030)))</formula>
    </cfRule>
  </conditionalFormatting>
  <conditionalFormatting sqref="E1030:E1031">
    <cfRule type="containsText" dxfId="3701" priority="4866" operator="containsText" text="ACTIVO">
      <formula>NOT(ISERROR(SEARCH("ACTIVO",E1030)))</formula>
    </cfRule>
  </conditionalFormatting>
  <conditionalFormatting sqref="E1032">
    <cfRule type="containsText" dxfId="3700" priority="4843" operator="containsText" text="REVISION">
      <formula>NOT(ISERROR(SEARCH("REVISION",E1032)))</formula>
    </cfRule>
    <cfRule type="containsText" dxfId="3699" priority="4847" operator="containsText" text="INACTIVO">
      <formula>NOT(ISERROR(SEARCH("INACTIVO",E1032)))</formula>
    </cfRule>
    <cfRule type="containsText" dxfId="3698" priority="4846" operator="containsText" text="BAJA">
      <formula>NOT(ISERROR(SEARCH("BAJA",E1032)))</formula>
    </cfRule>
    <cfRule type="containsText" dxfId="3697" priority="4845" operator="containsText" text="REVISION">
      <formula>NOT(ISERROR(SEARCH("REVISION",E1032)))</formula>
    </cfRule>
    <cfRule type="containsText" dxfId="3696" priority="4844" operator="containsText" text="ACTIVO ">
      <formula>NOT(ISERROR(SEARCH("ACTIVO ",E1032)))</formula>
    </cfRule>
    <cfRule type="containsText" dxfId="3695" priority="4841" operator="containsText" text="ACTIVO">
      <formula>NOT(ISERROR(SEARCH("ACTIVO",E1032)))</formula>
    </cfRule>
  </conditionalFormatting>
  <conditionalFormatting sqref="E1032:E1036">
    <cfRule type="containsText" dxfId="3694" priority="4848" operator="containsText" text="ACTIVO">
      <formula>NOT(ISERROR(SEARCH("ACTIVO",E1032)))</formula>
    </cfRule>
  </conditionalFormatting>
  <conditionalFormatting sqref="E1037">
    <cfRule type="containsText" dxfId="3693" priority="4819" operator="containsText" text="REVISION">
      <formula>NOT(ISERROR(SEARCH("REVISION",E1037)))</formula>
    </cfRule>
    <cfRule type="containsText" dxfId="3692" priority="4820" operator="containsText" text="ACTIVO ">
      <formula>NOT(ISERROR(SEARCH("ACTIVO ",E1037)))</formula>
    </cfRule>
    <cfRule type="containsText" dxfId="3691" priority="4821" operator="containsText" text="REVISION">
      <formula>NOT(ISERROR(SEARCH("REVISION",E1037)))</formula>
    </cfRule>
    <cfRule type="containsText" dxfId="3690" priority="4822" operator="containsText" text="BAJA">
      <formula>NOT(ISERROR(SEARCH("BAJA",E1037)))</formula>
    </cfRule>
    <cfRule type="containsText" dxfId="3689" priority="4817" operator="containsText" text="ACTIVO">
      <formula>NOT(ISERROR(SEARCH("ACTIVO",E1037)))</formula>
    </cfRule>
    <cfRule type="containsText" dxfId="3688" priority="4823" operator="containsText" text="INACTIVO">
      <formula>NOT(ISERROR(SEARCH("INACTIVO",E1037)))</formula>
    </cfRule>
  </conditionalFormatting>
  <conditionalFormatting sqref="E1037:E1039">
    <cfRule type="containsText" dxfId="3687" priority="4824" operator="containsText" text="ACTIVO">
      <formula>NOT(ISERROR(SEARCH("ACTIVO",E1037)))</formula>
    </cfRule>
  </conditionalFormatting>
  <conditionalFormatting sqref="E1040">
    <cfRule type="containsText" dxfId="3686" priority="4800" operator="containsText" text="ACTIVO ">
      <formula>NOT(ISERROR(SEARCH("ACTIVO ",E1040)))</formula>
    </cfRule>
    <cfRule type="containsText" dxfId="3685" priority="4803" operator="containsText" text="INACTIVO">
      <formula>NOT(ISERROR(SEARCH("INACTIVO",E1040)))</formula>
    </cfRule>
    <cfRule type="containsText" dxfId="3684" priority="4802" operator="containsText" text="BAJA">
      <formula>NOT(ISERROR(SEARCH("BAJA",E1040)))</formula>
    </cfRule>
    <cfRule type="containsText" dxfId="3683" priority="4801" operator="containsText" text="REVISION">
      <formula>NOT(ISERROR(SEARCH("REVISION",E1040)))</formula>
    </cfRule>
    <cfRule type="containsText" dxfId="3682" priority="4799" operator="containsText" text="REVISION">
      <formula>NOT(ISERROR(SEARCH("REVISION",E1040)))</formula>
    </cfRule>
    <cfRule type="containsText" dxfId="3681" priority="4797" operator="containsText" text="ACTIVO">
      <formula>NOT(ISERROR(SEARCH("ACTIVO",E1040)))</formula>
    </cfRule>
  </conditionalFormatting>
  <conditionalFormatting sqref="E1040:E1044">
    <cfRule type="containsText" dxfId="3680" priority="4804" operator="containsText" text="ACTIVO">
      <formula>NOT(ISERROR(SEARCH("ACTIVO",E1040)))</formula>
    </cfRule>
  </conditionalFormatting>
  <conditionalFormatting sqref="E1046">
    <cfRule type="containsText" dxfId="3679" priority="4781" operator="containsText" text="BAJA">
      <formula>NOT(ISERROR(SEARCH("BAJA",E1046)))</formula>
    </cfRule>
    <cfRule type="containsText" dxfId="3678" priority="4780" operator="containsText" text="REVISION">
      <formula>NOT(ISERROR(SEARCH("REVISION",E1046)))</formula>
    </cfRule>
    <cfRule type="containsText" dxfId="3677" priority="4779" operator="containsText" text="ACTIVO ">
      <formula>NOT(ISERROR(SEARCH("ACTIVO ",E1046)))</formula>
    </cfRule>
    <cfRule type="containsText" dxfId="3676" priority="4778" operator="containsText" text="REVISION">
      <formula>NOT(ISERROR(SEARCH("REVISION",E1046)))</formula>
    </cfRule>
    <cfRule type="containsText" dxfId="3675" priority="4776" operator="containsText" text="ACTIVO">
      <formula>NOT(ISERROR(SEARCH("ACTIVO",E1046)))</formula>
    </cfRule>
    <cfRule type="containsText" dxfId="3674" priority="4782" operator="containsText" text="INACTIVO">
      <formula>NOT(ISERROR(SEARCH("INACTIVO",E1046)))</formula>
    </cfRule>
  </conditionalFormatting>
  <conditionalFormatting sqref="E1046:E1054">
    <cfRule type="containsText" dxfId="3673" priority="4783" operator="containsText" text="ACTIVO">
      <formula>NOT(ISERROR(SEARCH("ACTIVO",E1046)))</formula>
    </cfRule>
  </conditionalFormatting>
  <conditionalFormatting sqref="E1055">
    <cfRule type="containsText" dxfId="3672" priority="4741" operator="containsText" text="REVISION">
      <formula>NOT(ISERROR(SEARCH("REVISION",E1055)))</formula>
    </cfRule>
    <cfRule type="containsText" dxfId="3671" priority="4743" operator="containsText" text="REVISION">
      <formula>NOT(ISERROR(SEARCH("REVISION",E1055)))</formula>
    </cfRule>
    <cfRule type="containsText" dxfId="3670" priority="4744" operator="containsText" text="BAJA">
      <formula>NOT(ISERROR(SEARCH("BAJA",E1055)))</formula>
    </cfRule>
    <cfRule type="containsText" dxfId="3669" priority="4745" operator="containsText" text="INACTIVO">
      <formula>NOT(ISERROR(SEARCH("INACTIVO",E1055)))</formula>
    </cfRule>
    <cfRule type="containsText" dxfId="3668" priority="4746" operator="containsText" text="ACTIVO">
      <formula>NOT(ISERROR(SEARCH("ACTIVO",E1055)))</formula>
    </cfRule>
    <cfRule type="containsText" dxfId="3667" priority="4742" operator="containsText" text="ACTIVO ">
      <formula>NOT(ISERROR(SEARCH("ACTIVO ",E1055)))</formula>
    </cfRule>
  </conditionalFormatting>
  <conditionalFormatting sqref="E1055:E1058">
    <cfRule type="containsText" dxfId="3666" priority="4722" operator="containsText" text="ACTIVO">
      <formula>NOT(ISERROR(SEARCH("ACTIVO",E1055)))</formula>
    </cfRule>
  </conditionalFormatting>
  <conditionalFormatting sqref="E1056">
    <cfRule type="containsText" dxfId="3665" priority="4719" operator="containsText" text="REVISION">
      <formula>NOT(ISERROR(SEARCH("REVISION",E1056)))</formula>
    </cfRule>
    <cfRule type="containsText" dxfId="3664" priority="4718" operator="containsText" text="ACTIVO ">
      <formula>NOT(ISERROR(SEARCH("ACTIVO ",E1056)))</formula>
    </cfRule>
    <cfRule type="containsText" dxfId="3663" priority="4720" operator="containsText" text="BAJA">
      <formula>NOT(ISERROR(SEARCH("BAJA",E1056)))</formula>
    </cfRule>
    <cfRule type="containsText" dxfId="3662" priority="4717" operator="containsText" text="REVISION">
      <formula>NOT(ISERROR(SEARCH("REVISION",E1056)))</formula>
    </cfRule>
    <cfRule type="containsText" dxfId="3661" priority="4715" operator="containsText" text="ACTIVO">
      <formula>NOT(ISERROR(SEARCH("ACTIVO",E1056)))</formula>
    </cfRule>
    <cfRule type="containsText" dxfId="3660" priority="4721" operator="containsText" text="INACTIVO">
      <formula>NOT(ISERROR(SEARCH("INACTIVO",E1056)))</formula>
    </cfRule>
  </conditionalFormatting>
  <conditionalFormatting sqref="E1059">
    <cfRule type="containsText" dxfId="3659" priority="4692" operator="containsText" text="ACTIVO ">
      <formula>NOT(ISERROR(SEARCH("ACTIVO ",E1059)))</formula>
    </cfRule>
    <cfRule type="containsText" dxfId="3658" priority="4691" operator="containsText" text="REVISION">
      <formula>NOT(ISERROR(SEARCH("REVISION",E1059)))</formula>
    </cfRule>
    <cfRule type="containsText" dxfId="3657" priority="4696" operator="containsText" text="ACTIVO">
      <formula>NOT(ISERROR(SEARCH("ACTIVO",E1059)))</formula>
    </cfRule>
    <cfRule type="containsText" dxfId="3656" priority="4695" operator="containsText" text="INACTIVO">
      <formula>NOT(ISERROR(SEARCH("INACTIVO",E1059)))</formula>
    </cfRule>
    <cfRule type="containsText" dxfId="3655" priority="4694" operator="containsText" text="BAJA">
      <formula>NOT(ISERROR(SEARCH("BAJA",E1059)))</formula>
    </cfRule>
    <cfRule type="containsText" dxfId="3654" priority="4693" operator="containsText" text="REVISION">
      <formula>NOT(ISERROR(SEARCH("REVISION",E1059)))</formula>
    </cfRule>
  </conditionalFormatting>
  <conditionalFormatting sqref="E1059:E1073">
    <cfRule type="containsText" dxfId="3653" priority="4650" operator="containsText" text="ACTIVO">
      <formula>NOT(ISERROR(SEARCH("ACTIVO",E1059)))</formula>
    </cfRule>
  </conditionalFormatting>
  <conditionalFormatting sqref="E1060">
    <cfRule type="containsText" dxfId="3652" priority="4646" operator="containsText" text="ACTIVO ">
      <formula>NOT(ISERROR(SEARCH("ACTIVO ",E1060)))</formula>
    </cfRule>
    <cfRule type="containsText" dxfId="3651" priority="4645" operator="containsText" text="REVISION">
      <formula>NOT(ISERROR(SEARCH("REVISION",E1060)))</formula>
    </cfRule>
    <cfRule type="containsText" dxfId="3650" priority="4643" operator="containsText" text="ACTIVO">
      <formula>NOT(ISERROR(SEARCH("ACTIVO",E1060)))</formula>
    </cfRule>
    <cfRule type="containsText" dxfId="3649" priority="4649" operator="containsText" text="INACTIVO">
      <formula>NOT(ISERROR(SEARCH("INACTIVO",E1060)))</formula>
    </cfRule>
    <cfRule type="containsText" dxfId="3648" priority="4648" operator="containsText" text="BAJA">
      <formula>NOT(ISERROR(SEARCH("BAJA",E1060)))</formula>
    </cfRule>
    <cfRule type="containsText" dxfId="3647" priority="4647" operator="containsText" text="REVISION">
      <formula>NOT(ISERROR(SEARCH("REVISION",E1060)))</formula>
    </cfRule>
  </conditionalFormatting>
  <conditionalFormatting sqref="E1074">
    <cfRule type="containsText" dxfId="3646" priority="4623" operator="containsText" text="ACTIVO">
      <formula>NOT(ISERROR(SEARCH("ACTIVO",E1074)))</formula>
    </cfRule>
    <cfRule type="containsText" dxfId="3645" priority="4625" operator="containsText" text="REVISION">
      <formula>NOT(ISERROR(SEARCH("REVISION",E1074)))</formula>
    </cfRule>
    <cfRule type="containsText" dxfId="3644" priority="4626" operator="containsText" text="ACTIVO ">
      <formula>NOT(ISERROR(SEARCH("ACTIVO ",E1074)))</formula>
    </cfRule>
    <cfRule type="containsText" dxfId="3643" priority="4627" operator="containsText" text="REVISION">
      <formula>NOT(ISERROR(SEARCH("REVISION",E1074)))</formula>
    </cfRule>
    <cfRule type="containsText" dxfId="3642" priority="4628" operator="containsText" text="BAJA">
      <formula>NOT(ISERROR(SEARCH("BAJA",E1074)))</formula>
    </cfRule>
    <cfRule type="containsText" dxfId="3641" priority="4629" operator="containsText" text="INACTIVO">
      <formula>NOT(ISERROR(SEARCH("INACTIVO",E1074)))</formula>
    </cfRule>
  </conditionalFormatting>
  <conditionalFormatting sqref="E1074:E1076">
    <cfRule type="containsText" dxfId="3640" priority="4630" operator="containsText" text="ACTIVO">
      <formula>NOT(ISERROR(SEARCH("ACTIVO",E1074)))</formula>
    </cfRule>
  </conditionalFormatting>
  <conditionalFormatting sqref="E1077">
    <cfRule type="containsText" dxfId="3639" priority="4603" operator="containsText" text="INACTIVO">
      <formula>NOT(ISERROR(SEARCH("INACTIVO",E1077)))</formula>
    </cfRule>
    <cfRule type="containsText" dxfId="3638" priority="4601" operator="containsText" text="REVISION">
      <formula>NOT(ISERROR(SEARCH("REVISION",E1077)))</formula>
    </cfRule>
    <cfRule type="containsText" dxfId="3637" priority="4597" operator="containsText" text="ACTIVO">
      <formula>NOT(ISERROR(SEARCH("ACTIVO",E1077)))</formula>
    </cfRule>
    <cfRule type="containsText" dxfId="3636" priority="4600" operator="containsText" text="ACTIVO ">
      <formula>NOT(ISERROR(SEARCH("ACTIVO ",E1077)))</formula>
    </cfRule>
    <cfRule type="containsText" dxfId="3635" priority="4602" operator="containsText" text="BAJA">
      <formula>NOT(ISERROR(SEARCH("BAJA",E1077)))</formula>
    </cfRule>
    <cfRule type="containsText" dxfId="3634" priority="4599" operator="containsText" text="REVISION">
      <formula>NOT(ISERROR(SEARCH("REVISION",E1077)))</formula>
    </cfRule>
  </conditionalFormatting>
  <conditionalFormatting sqref="E1077:E1080">
    <cfRule type="containsText" dxfId="3633" priority="4604" operator="containsText" text="ACTIVO">
      <formula>NOT(ISERROR(SEARCH("ACTIVO",E1077)))</formula>
    </cfRule>
  </conditionalFormatting>
  <conditionalFormatting sqref="E1081">
    <cfRule type="containsText" dxfId="3632" priority="4574" operator="containsText" text="INACTIVO">
      <formula>NOT(ISERROR(SEARCH("INACTIVO",E1081)))</formula>
    </cfRule>
    <cfRule type="containsText" dxfId="3631" priority="4568" operator="containsText" text="ACTIVO">
      <formula>NOT(ISERROR(SEARCH("ACTIVO",E1081)))</formula>
    </cfRule>
    <cfRule type="containsText" dxfId="3630" priority="4570" operator="containsText" text="REVISION">
      <formula>NOT(ISERROR(SEARCH("REVISION",E1081)))</formula>
    </cfRule>
    <cfRule type="containsText" dxfId="3629" priority="4573" operator="containsText" text="BAJA">
      <formula>NOT(ISERROR(SEARCH("BAJA",E1081)))</formula>
    </cfRule>
    <cfRule type="containsText" dxfId="3628" priority="4571" operator="containsText" text="ACTIVO ">
      <formula>NOT(ISERROR(SEARCH("ACTIVO ",E1081)))</formula>
    </cfRule>
    <cfRule type="containsText" dxfId="3627" priority="4572" operator="containsText" text="REVISION">
      <formula>NOT(ISERROR(SEARCH("REVISION",E1081)))</formula>
    </cfRule>
  </conditionalFormatting>
  <conditionalFormatting sqref="E1081:E1093">
    <cfRule type="containsText" dxfId="3626" priority="4575" operator="containsText" text="ACTIVO">
      <formula>NOT(ISERROR(SEARCH("ACTIVO",E1081)))</formula>
    </cfRule>
  </conditionalFormatting>
  <conditionalFormatting sqref="E1094">
    <cfRule type="containsText" dxfId="3625" priority="4508" operator="containsText" text="BAJA">
      <formula>NOT(ISERROR(SEARCH("BAJA",E1094)))</formula>
    </cfRule>
    <cfRule type="containsText" dxfId="3624" priority="4509" operator="containsText" text="INACTIVO">
      <formula>NOT(ISERROR(SEARCH("INACTIVO",E1094)))</formula>
    </cfRule>
    <cfRule type="containsText" dxfId="3623" priority="4507" operator="containsText" text="REVISION">
      <formula>NOT(ISERROR(SEARCH("REVISION",E1094)))</formula>
    </cfRule>
    <cfRule type="containsText" dxfId="3622" priority="4506" operator="containsText" text="ACTIVO ">
      <formula>NOT(ISERROR(SEARCH("ACTIVO ",E1094)))</formula>
    </cfRule>
    <cfRule type="containsText" dxfId="3621" priority="4505" operator="containsText" text="REVISION">
      <formula>NOT(ISERROR(SEARCH("REVISION",E1094)))</formula>
    </cfRule>
    <cfRule type="containsText" dxfId="3620" priority="4503" operator="containsText" text="ACTIVO">
      <formula>NOT(ISERROR(SEARCH("ACTIVO",E1094)))</formula>
    </cfRule>
  </conditionalFormatting>
  <conditionalFormatting sqref="E1094:E1109">
    <cfRule type="containsText" dxfId="3619" priority="4510" operator="containsText" text="ACTIVO">
      <formula>NOT(ISERROR(SEARCH("ACTIVO",E1094)))</formula>
    </cfRule>
  </conditionalFormatting>
  <conditionalFormatting sqref="E1110">
    <cfRule type="containsText" dxfId="3618" priority="4419" operator="containsText" text="REVISION">
      <formula>NOT(ISERROR(SEARCH("REVISION",E1110)))</formula>
    </cfRule>
    <cfRule type="containsText" dxfId="3617" priority="4423" operator="containsText" text="INACTIVO">
      <formula>NOT(ISERROR(SEARCH("INACTIVO",E1110)))</formula>
    </cfRule>
    <cfRule type="containsText" dxfId="3616" priority="4422" operator="containsText" text="BAJA">
      <formula>NOT(ISERROR(SEARCH("BAJA",E1110)))</formula>
    </cfRule>
    <cfRule type="containsText" dxfId="3615" priority="4421" operator="containsText" text="REVISION">
      <formula>NOT(ISERROR(SEARCH("REVISION",E1110)))</formula>
    </cfRule>
    <cfRule type="containsText" dxfId="3614" priority="4420" operator="containsText" text="ACTIVO ">
      <formula>NOT(ISERROR(SEARCH("ACTIVO ",E1110)))</formula>
    </cfRule>
    <cfRule type="containsText" dxfId="3613" priority="4417" operator="containsText" text="ACTIVO">
      <formula>NOT(ISERROR(SEARCH("ACTIVO",E1110)))</formula>
    </cfRule>
  </conditionalFormatting>
  <conditionalFormatting sqref="E1110:E1111">
    <cfRule type="containsText" dxfId="3612" priority="4424" operator="containsText" text="ACTIVO">
      <formula>NOT(ISERROR(SEARCH("ACTIVO",E1110)))</formula>
    </cfRule>
  </conditionalFormatting>
  <conditionalFormatting sqref="E1111">
    <cfRule type="containsText" dxfId="3611" priority="4445" operator="containsText" text="INACTIVO">
      <formula>NOT(ISERROR(SEARCH("INACTIVO",E1111)))</formula>
    </cfRule>
    <cfRule type="containsText" dxfId="3610" priority="4444" operator="containsText" text="BAJA">
      <formula>NOT(ISERROR(SEARCH("BAJA",E1111)))</formula>
    </cfRule>
    <cfRule type="containsText" dxfId="3609" priority="4443" operator="containsText" text="REVISION">
      <formula>NOT(ISERROR(SEARCH("REVISION",E1111)))</formula>
    </cfRule>
    <cfRule type="containsText" dxfId="3608" priority="4442" operator="containsText" text="ACTIVO ">
      <formula>NOT(ISERROR(SEARCH("ACTIVO ",E1111)))</formula>
    </cfRule>
    <cfRule type="containsText" dxfId="3607" priority="4441" operator="containsText" text="REVISION">
      <formula>NOT(ISERROR(SEARCH("REVISION",E1111)))</formula>
    </cfRule>
  </conditionalFormatting>
  <conditionalFormatting sqref="E1111:E1112">
    <cfRule type="containsText" dxfId="3606" priority="4446" operator="containsText" text="ACTIVO">
      <formula>NOT(ISERROR(SEARCH("ACTIVO",E1111)))</formula>
    </cfRule>
  </conditionalFormatting>
  <conditionalFormatting sqref="E1113:E1119 E1121:E1124">
    <cfRule type="containsText" dxfId="3605" priority="4402" operator="containsText" text="INACTIVO">
      <formula>NOT(ISERROR(SEARCH("INACTIVO",E1113)))</formula>
    </cfRule>
    <cfRule type="containsText" dxfId="3604" priority="4401" operator="containsText" text="BAJA">
      <formula>NOT(ISERROR(SEARCH("BAJA",E1113)))</formula>
    </cfRule>
    <cfRule type="containsText" dxfId="3603" priority="4400" operator="containsText" text="REVISION">
      <formula>NOT(ISERROR(SEARCH("REVISION",E1113)))</formula>
    </cfRule>
    <cfRule type="containsText" dxfId="3602" priority="4399" operator="containsText" text="ACTIVO ">
      <formula>NOT(ISERROR(SEARCH("ACTIVO ",E1113)))</formula>
    </cfRule>
    <cfRule type="containsText" dxfId="3601" priority="4398" operator="containsText" text="REVISION">
      <formula>NOT(ISERROR(SEARCH("REVISION",E1113)))</formula>
    </cfRule>
  </conditionalFormatting>
  <conditionalFormatting sqref="E1113:E1119 E1121:E1127">
    <cfRule type="containsText" dxfId="3600" priority="4403" operator="containsText" text="ACTIVO">
      <formula>NOT(ISERROR(SEARCH("ACTIVO",E1113)))</formula>
    </cfRule>
  </conditionalFormatting>
  <conditionalFormatting sqref="E1113:E1124">
    <cfRule type="containsText" dxfId="3599" priority="4370" operator="containsText" text="ACTIVO">
      <formula>NOT(ISERROR(SEARCH("ACTIVO",E1113)))</formula>
    </cfRule>
  </conditionalFormatting>
  <conditionalFormatting sqref="E1120">
    <cfRule type="containsText" dxfId="3598" priority="4367" operator="containsText" text="REVISION">
      <formula>NOT(ISERROR(SEARCH("REVISION",E1120)))</formula>
    </cfRule>
    <cfRule type="containsText" dxfId="3597" priority="4363" operator="containsText" text="ACTIVO">
      <formula>NOT(ISERROR(SEARCH("ACTIVO",E1120)))</formula>
    </cfRule>
    <cfRule type="containsText" dxfId="3596" priority="4365" operator="containsText" text="REVISION">
      <formula>NOT(ISERROR(SEARCH("REVISION",E1120)))</formula>
    </cfRule>
    <cfRule type="containsText" dxfId="3595" priority="4366" operator="containsText" text="ACTIVO ">
      <formula>NOT(ISERROR(SEARCH("ACTIVO ",E1120)))</formula>
    </cfRule>
    <cfRule type="containsText" dxfId="3594" priority="4368" operator="containsText" text="BAJA">
      <formula>NOT(ISERROR(SEARCH("BAJA",E1120)))</formula>
    </cfRule>
    <cfRule type="containsText" dxfId="3593" priority="4369" operator="containsText" text="INACTIVO">
      <formula>NOT(ISERROR(SEARCH("INACTIVO",E1120)))</formula>
    </cfRule>
  </conditionalFormatting>
  <conditionalFormatting sqref="E1128:E1148">
    <cfRule type="containsText" dxfId="3592" priority="4321" operator="containsText" text="ACTIVO">
      <formula>NOT(ISERROR(SEARCH("ACTIVO",E1128)))</formula>
    </cfRule>
    <cfRule type="containsText" dxfId="3591" priority="4327" operator="containsText" text="INACTIVO">
      <formula>NOT(ISERROR(SEARCH("INACTIVO",E1128)))</formula>
    </cfRule>
    <cfRule type="containsText" dxfId="3590" priority="4326" operator="containsText" text="BAJA">
      <formula>NOT(ISERROR(SEARCH("BAJA",E1128)))</formula>
    </cfRule>
    <cfRule type="containsText" dxfId="3589" priority="4325" operator="containsText" text="REVISION">
      <formula>NOT(ISERROR(SEARCH("REVISION",E1128)))</formula>
    </cfRule>
    <cfRule type="containsText" dxfId="3588" priority="4324" operator="containsText" text="ACTIVO ">
      <formula>NOT(ISERROR(SEARCH("ACTIVO ",E1128)))</formula>
    </cfRule>
    <cfRule type="containsText" dxfId="3587" priority="4323" operator="containsText" text="REVISION">
      <formula>NOT(ISERROR(SEARCH("REVISION",E1128)))</formula>
    </cfRule>
  </conditionalFormatting>
  <conditionalFormatting sqref="E1128:E1157">
    <cfRule type="containsText" dxfId="3586" priority="4328" operator="containsText" text="ACTIVO">
      <formula>NOT(ISERROR(SEARCH("ACTIVO",E1128)))</formula>
    </cfRule>
  </conditionalFormatting>
  <conditionalFormatting sqref="E1159:E1165">
    <cfRule type="containsText" dxfId="3585" priority="3910" operator="containsText" text="INACTIVO">
      <formula>NOT(ISERROR(SEARCH("INACTIVO",E1159)))</formula>
    </cfRule>
    <cfRule type="containsText" dxfId="3584" priority="3908" operator="containsText" text="REVISION">
      <formula>NOT(ISERROR(SEARCH("REVISION",E1159)))</formula>
    </cfRule>
    <cfRule type="containsText" dxfId="3583" priority="3911" operator="containsText" text="ACTIVO">
      <formula>NOT(ISERROR(SEARCH("ACTIVO",E1159)))</formula>
    </cfRule>
    <cfRule type="containsText" dxfId="3582" priority="3906" operator="containsText" text="REVISION">
      <formula>NOT(ISERROR(SEARCH("REVISION",E1159)))</formula>
    </cfRule>
    <cfRule type="containsText" dxfId="3581" priority="3909" operator="containsText" text="BAJA">
      <formula>NOT(ISERROR(SEARCH("BAJA",E1159)))</formula>
    </cfRule>
    <cfRule type="containsText" dxfId="3580" priority="3907" operator="containsText" text="ACTIVO ">
      <formula>NOT(ISERROR(SEARCH("ACTIVO ",E1159)))</formula>
    </cfRule>
  </conditionalFormatting>
  <conditionalFormatting sqref="E1159:E1246">
    <cfRule type="containsText" dxfId="3579" priority="3902" operator="containsText" text="ACTIVO">
      <formula>NOT(ISERROR(SEARCH("ACTIVO",E1159)))</formula>
    </cfRule>
  </conditionalFormatting>
  <conditionalFormatting sqref="E1166:E1224">
    <cfRule type="containsText" dxfId="3578" priority="3895" operator="containsText" text="ACTIVO">
      <formula>NOT(ISERROR(SEARCH("ACTIVO",E1166)))</formula>
    </cfRule>
    <cfRule type="containsText" dxfId="3577" priority="3897" operator="containsText" text="REVISION">
      <formula>NOT(ISERROR(SEARCH("REVISION",E1166)))</formula>
    </cfRule>
    <cfRule type="containsText" dxfId="3576" priority="3898" operator="containsText" text="ACTIVO ">
      <formula>NOT(ISERROR(SEARCH("ACTIVO ",E1166)))</formula>
    </cfRule>
    <cfRule type="containsText" dxfId="3575" priority="3899" operator="containsText" text="REVISION">
      <formula>NOT(ISERROR(SEARCH("REVISION",E1166)))</formula>
    </cfRule>
    <cfRule type="containsText" dxfId="3574" priority="3900" operator="containsText" text="BAJA">
      <formula>NOT(ISERROR(SEARCH("BAJA",E1166)))</formula>
    </cfRule>
    <cfRule type="containsText" dxfId="3573" priority="3901" operator="containsText" text="INACTIVO">
      <formula>NOT(ISERROR(SEARCH("INACTIVO",E1166)))</formula>
    </cfRule>
  </conditionalFormatting>
  <conditionalFormatting sqref="E1225:E1246 E1279 E1292:E1294 E1485:E1486 E1488 E1500:E1503">
    <cfRule type="containsText" dxfId="3572" priority="4020" operator="containsText" text="ACTIVO">
      <formula>NOT(ISERROR(SEARCH("ACTIVO",E1225)))</formula>
    </cfRule>
  </conditionalFormatting>
  <conditionalFormatting sqref="E1225:E1246 E1279 E1294 E1485:E1486 E1488 E1500:E1501">
    <cfRule type="containsText" dxfId="3571" priority="4004" operator="containsText" text="REVISION">
      <formula>NOT(ISERROR(SEARCH("REVISION",E1225)))</formula>
    </cfRule>
    <cfRule type="containsText" dxfId="3570" priority="4018" operator="containsText" text="BAJA">
      <formula>NOT(ISERROR(SEARCH("BAJA",E1225)))</formula>
    </cfRule>
    <cfRule type="containsText" dxfId="3569" priority="4017" operator="containsText" text="REVISION">
      <formula>NOT(ISERROR(SEARCH("REVISION",E1225)))</formula>
    </cfRule>
    <cfRule type="containsText" dxfId="3568" priority="4019" operator="containsText" text="INACTIVO">
      <formula>NOT(ISERROR(SEARCH("INACTIVO",E1225)))</formula>
    </cfRule>
    <cfRule type="containsText" dxfId="3567" priority="4008" operator="containsText" text="ACTIVO ">
      <formula>NOT(ISERROR(SEARCH("ACTIVO ",E1225)))</formula>
    </cfRule>
  </conditionalFormatting>
  <conditionalFormatting sqref="E1247:E1264">
    <cfRule type="containsText" dxfId="3566" priority="3631" operator="containsText" text="REVISION">
      <formula>NOT(ISERROR(SEARCH("REVISION",E1247)))</formula>
    </cfRule>
    <cfRule type="containsText" dxfId="3565" priority="3632" operator="containsText" text="ACTIVO ">
      <formula>NOT(ISERROR(SEARCH("ACTIVO ",E1247)))</formula>
    </cfRule>
    <cfRule type="containsText" dxfId="3564" priority="3636" operator="containsText" text="ACTIVO">
      <formula>NOT(ISERROR(SEARCH("ACTIVO",E1247)))</formula>
    </cfRule>
    <cfRule type="containsText" dxfId="3563" priority="3635" operator="containsText" text="INACTIVO">
      <formula>NOT(ISERROR(SEARCH("INACTIVO",E1247)))</formula>
    </cfRule>
    <cfRule type="containsText" dxfId="3562" priority="3634" operator="containsText" text="BAJA">
      <formula>NOT(ISERROR(SEARCH("BAJA",E1247)))</formula>
    </cfRule>
    <cfRule type="containsText" dxfId="3561" priority="3633" operator="containsText" text="REVISION">
      <formula>NOT(ISERROR(SEARCH("REVISION",E1247)))</formula>
    </cfRule>
  </conditionalFormatting>
  <conditionalFormatting sqref="E1247:E1267">
    <cfRule type="containsText" dxfId="3560" priority="3606" operator="containsText" text="ACTIVO">
      <formula>NOT(ISERROR(SEARCH("ACTIVO",E1247)))</formula>
    </cfRule>
  </conditionalFormatting>
  <conditionalFormatting sqref="E1265:E1267">
    <cfRule type="containsText" dxfId="3559" priority="3602" operator="containsText" text="ACTIVO ">
      <formula>NOT(ISERROR(SEARCH("ACTIVO ",E1265)))</formula>
    </cfRule>
    <cfRule type="containsText" dxfId="3558" priority="3601" operator="containsText" text="REVISION">
      <formula>NOT(ISERROR(SEARCH("REVISION",E1265)))</formula>
    </cfRule>
    <cfRule type="containsText" dxfId="3557" priority="3605" operator="containsText" text="INACTIVO">
      <formula>NOT(ISERROR(SEARCH("INACTIVO",E1265)))</formula>
    </cfRule>
    <cfRule type="containsText" dxfId="3556" priority="3604" operator="containsText" text="BAJA">
      <formula>NOT(ISERROR(SEARCH("BAJA",E1265)))</formula>
    </cfRule>
    <cfRule type="containsText" dxfId="3555" priority="3603" operator="containsText" text="REVISION">
      <formula>NOT(ISERROR(SEARCH("REVISION",E1265)))</formula>
    </cfRule>
  </conditionalFormatting>
  <conditionalFormatting sqref="E1265:E1279">
    <cfRule type="containsText" dxfId="3554" priority="3577" operator="containsText" text="ACTIVO">
      <formula>NOT(ISERROR(SEARCH("ACTIVO",E1265)))</formula>
    </cfRule>
  </conditionalFormatting>
  <conditionalFormatting sqref="E1268:E1278">
    <cfRule type="containsText" dxfId="3553" priority="3574" operator="containsText" text="REVISION">
      <formula>NOT(ISERROR(SEARCH("REVISION",E1268)))</formula>
    </cfRule>
    <cfRule type="containsText" dxfId="3552" priority="3576" operator="containsText" text="INACTIVO">
      <formula>NOT(ISERROR(SEARCH("INACTIVO",E1268)))</formula>
    </cfRule>
    <cfRule type="containsText" dxfId="3551" priority="3575" operator="containsText" text="BAJA">
      <formula>NOT(ISERROR(SEARCH("BAJA",E1268)))</formula>
    </cfRule>
    <cfRule type="containsText" dxfId="3550" priority="3570" operator="containsText" text="ACTIVO">
      <formula>NOT(ISERROR(SEARCH("ACTIVO",E1268)))</formula>
    </cfRule>
    <cfRule type="containsText" dxfId="3549" priority="3572" operator="containsText" text="REVISION">
      <formula>NOT(ISERROR(SEARCH("REVISION",E1268)))</formula>
    </cfRule>
    <cfRule type="containsText" dxfId="3548" priority="3573" operator="containsText" text="ACTIVO ">
      <formula>NOT(ISERROR(SEARCH("ACTIVO ",E1268)))</formula>
    </cfRule>
  </conditionalFormatting>
  <conditionalFormatting sqref="E1280:E1291">
    <cfRule type="containsText" dxfId="3547" priority="3208" operator="containsText" text="BAJA">
      <formula>NOT(ISERROR(SEARCH("BAJA",E1280)))</formula>
    </cfRule>
    <cfRule type="containsText" dxfId="3546" priority="3198" operator="containsText" text="ACTIVO ">
      <formula>NOT(ISERROR(SEARCH("ACTIVO ",E1280)))</formula>
    </cfRule>
    <cfRule type="containsText" dxfId="3545" priority="3207" operator="containsText" text="REVISION">
      <formula>NOT(ISERROR(SEARCH("REVISION",E1280)))</formula>
    </cfRule>
    <cfRule type="containsText" dxfId="3544" priority="3192" operator="containsText" text="ACTIVO">
      <formula>NOT(ISERROR(SEARCH("ACTIVO",E1280)))</formula>
    </cfRule>
    <cfRule type="containsText" dxfId="3543" priority="3194" operator="containsText" text="REVISION">
      <formula>NOT(ISERROR(SEARCH("REVISION",E1280)))</formula>
    </cfRule>
    <cfRule type="containsText" dxfId="3542" priority="3209" operator="containsText" text="INACTIVO">
      <formula>NOT(ISERROR(SEARCH("INACTIVO",E1280)))</formula>
    </cfRule>
    <cfRule type="containsText" dxfId="3541" priority="3210" operator="containsText" text="ACTIVO">
      <formula>NOT(ISERROR(SEARCH("ACTIVO",E1280)))</formula>
    </cfRule>
  </conditionalFormatting>
  <conditionalFormatting sqref="E1294:E1295">
    <cfRule type="containsText" dxfId="3540" priority="3181" operator="containsText" text="ACTIVO">
      <formula>NOT(ISERROR(SEARCH("ACTIVO",E1294)))</formula>
    </cfRule>
  </conditionalFormatting>
  <conditionalFormatting sqref="E1295">
    <cfRule type="containsText" dxfId="3539" priority="3178" operator="containsText" text="REVISION">
      <formula>NOT(ISERROR(SEARCH("REVISION",E1295)))</formula>
    </cfRule>
    <cfRule type="containsText" dxfId="3538" priority="3180" operator="containsText" text="INACTIVO">
      <formula>NOT(ISERROR(SEARCH("INACTIVO",E1295)))</formula>
    </cfRule>
    <cfRule type="containsText" dxfId="3537" priority="3179" operator="containsText" text="BAJA">
      <formula>NOT(ISERROR(SEARCH("BAJA",E1295)))</formula>
    </cfRule>
    <cfRule type="containsText" dxfId="3536" priority="3169" operator="containsText" text="ACTIVO ">
      <formula>NOT(ISERROR(SEARCH("ACTIVO ",E1295)))</formula>
    </cfRule>
    <cfRule type="containsText" dxfId="3535" priority="3165" operator="containsText" text="REVISION">
      <formula>NOT(ISERROR(SEARCH("REVISION",E1295)))</formula>
    </cfRule>
  </conditionalFormatting>
  <conditionalFormatting sqref="E1295:E1320">
    <cfRule type="containsText" dxfId="3534" priority="3152" operator="containsText" text="ACTIVO">
      <formula>NOT(ISERROR(SEARCH("ACTIVO",E1295)))</formula>
    </cfRule>
  </conditionalFormatting>
  <conditionalFormatting sqref="E1296:E1320">
    <cfRule type="containsText" dxfId="3533" priority="3151" operator="containsText" text="INACTIVO">
      <formula>NOT(ISERROR(SEARCH("INACTIVO",E1296)))</formula>
    </cfRule>
    <cfRule type="containsText" dxfId="3532" priority="3150" operator="containsText" text="BAJA">
      <formula>NOT(ISERROR(SEARCH("BAJA",E1296)))</formula>
    </cfRule>
    <cfRule type="containsText" dxfId="3531" priority="3149" operator="containsText" text="REVISION">
      <formula>NOT(ISERROR(SEARCH("REVISION",E1296)))</formula>
    </cfRule>
    <cfRule type="containsText" dxfId="3530" priority="3140" operator="containsText" text="ACTIVO ">
      <formula>NOT(ISERROR(SEARCH("ACTIVO ",E1296)))</formula>
    </cfRule>
    <cfRule type="containsText" dxfId="3529" priority="3136" operator="containsText" text="REVISION">
      <formula>NOT(ISERROR(SEARCH("REVISION",E1296)))</formula>
    </cfRule>
  </conditionalFormatting>
  <conditionalFormatting sqref="E1296:E1348">
    <cfRule type="containsText" dxfId="3528" priority="3129" operator="containsText" text="ACTIVO">
      <formula>NOT(ISERROR(SEARCH("ACTIVO",E1296)))</formula>
    </cfRule>
  </conditionalFormatting>
  <conditionalFormatting sqref="E1321:E1348">
    <cfRule type="containsText" dxfId="3527" priority="3113" operator="containsText" text="REVISION">
      <formula>NOT(ISERROR(SEARCH("REVISION",E1321)))</formula>
    </cfRule>
    <cfRule type="containsText" dxfId="3526" priority="3128" operator="containsText" text="INACTIVO">
      <formula>NOT(ISERROR(SEARCH("INACTIVO",E1321)))</formula>
    </cfRule>
    <cfRule type="containsText" dxfId="3525" priority="3127" operator="containsText" text="BAJA">
      <formula>NOT(ISERROR(SEARCH("BAJA",E1321)))</formula>
    </cfRule>
    <cfRule type="containsText" dxfId="3524" priority="3126" operator="containsText" text="REVISION">
      <formula>NOT(ISERROR(SEARCH("REVISION",E1321)))</formula>
    </cfRule>
    <cfRule type="containsText" dxfId="3523" priority="3117" operator="containsText" text="ACTIVO ">
      <formula>NOT(ISERROR(SEARCH("ACTIVO ",E1321)))</formula>
    </cfRule>
  </conditionalFormatting>
  <conditionalFormatting sqref="E1321:E1391">
    <cfRule type="containsText" dxfId="3522" priority="3100" operator="containsText" text="ACTIVO">
      <formula>NOT(ISERROR(SEARCH("ACTIVO",E1321)))</formula>
    </cfRule>
  </conditionalFormatting>
  <conditionalFormatting sqref="E1349:E1391">
    <cfRule type="containsText" dxfId="3521" priority="3098" operator="containsText" text="BAJA">
      <formula>NOT(ISERROR(SEARCH("BAJA",E1349)))</formula>
    </cfRule>
    <cfRule type="containsText" dxfId="3520" priority="3088" operator="containsText" text="ACTIVO ">
      <formula>NOT(ISERROR(SEARCH("ACTIVO ",E1349)))</formula>
    </cfRule>
    <cfRule type="containsText" dxfId="3519" priority="3084" operator="containsText" text="REVISION">
      <formula>NOT(ISERROR(SEARCH("REVISION",E1349)))</formula>
    </cfRule>
    <cfRule type="containsText" dxfId="3518" priority="3099" operator="containsText" text="INACTIVO">
      <formula>NOT(ISERROR(SEARCH("INACTIVO",E1349)))</formula>
    </cfRule>
    <cfRule type="containsText" dxfId="3517" priority="3097" operator="containsText" text="REVISION">
      <formula>NOT(ISERROR(SEARCH("REVISION",E1349)))</formula>
    </cfRule>
  </conditionalFormatting>
  <conditionalFormatting sqref="E1349:E1431">
    <cfRule type="containsText" dxfId="3516" priority="3071" operator="containsText" text="ACTIVO">
      <formula>NOT(ISERROR(SEARCH("ACTIVO",E1349)))</formula>
    </cfRule>
  </conditionalFormatting>
  <conditionalFormatting sqref="E1392:E1431">
    <cfRule type="containsText" dxfId="3515" priority="3055" operator="containsText" text="REVISION">
      <formula>NOT(ISERROR(SEARCH("REVISION",E1392)))</formula>
    </cfRule>
    <cfRule type="containsText" dxfId="3514" priority="3059" operator="containsText" text="ACTIVO ">
      <formula>NOT(ISERROR(SEARCH("ACTIVO ",E1392)))</formula>
    </cfRule>
    <cfRule type="containsText" dxfId="3513" priority="3068" operator="containsText" text="REVISION">
      <formula>NOT(ISERROR(SEARCH("REVISION",E1392)))</formula>
    </cfRule>
    <cfRule type="containsText" dxfId="3512" priority="3070" operator="containsText" text="INACTIVO">
      <formula>NOT(ISERROR(SEARCH("INACTIVO",E1392)))</formula>
    </cfRule>
    <cfRule type="containsText" dxfId="3511" priority="3069" operator="containsText" text="BAJA">
      <formula>NOT(ISERROR(SEARCH("BAJA",E1392)))</formula>
    </cfRule>
  </conditionalFormatting>
  <conditionalFormatting sqref="E1392:E1443">
    <cfRule type="containsText" dxfId="3510" priority="3042" operator="containsText" text="ACTIVO">
      <formula>NOT(ISERROR(SEARCH("ACTIVO",E1392)))</formula>
    </cfRule>
  </conditionalFormatting>
  <conditionalFormatting sqref="E1432:E1443">
    <cfRule type="containsText" dxfId="3509" priority="3026" operator="containsText" text="REVISION">
      <formula>NOT(ISERROR(SEARCH("REVISION",E1432)))</formula>
    </cfRule>
    <cfRule type="containsText" dxfId="3508" priority="3030" operator="containsText" text="ACTIVO ">
      <formula>NOT(ISERROR(SEARCH("ACTIVO ",E1432)))</formula>
    </cfRule>
    <cfRule type="containsText" dxfId="3507" priority="3039" operator="containsText" text="REVISION">
      <formula>NOT(ISERROR(SEARCH("REVISION",E1432)))</formula>
    </cfRule>
    <cfRule type="containsText" dxfId="3506" priority="3040" operator="containsText" text="BAJA">
      <formula>NOT(ISERROR(SEARCH("BAJA",E1432)))</formula>
    </cfRule>
    <cfRule type="containsText" dxfId="3505" priority="3041" operator="containsText" text="INACTIVO">
      <formula>NOT(ISERROR(SEARCH("INACTIVO",E1432)))</formula>
    </cfRule>
  </conditionalFormatting>
  <conditionalFormatting sqref="E1432:E1478 E1480 E1482">
    <cfRule type="containsText" dxfId="3504" priority="3013" operator="containsText" text="ACTIVO">
      <formula>NOT(ISERROR(SEARCH("ACTIVO",E1432)))</formula>
    </cfRule>
  </conditionalFormatting>
  <conditionalFormatting sqref="E1444:E1478 E1480 E1482">
    <cfRule type="containsText" dxfId="3503" priority="3001" operator="containsText" text="ACTIVO ">
      <formula>NOT(ISERROR(SEARCH("ACTIVO ",E1444)))</formula>
    </cfRule>
    <cfRule type="containsText" dxfId="3502" priority="2997" operator="containsText" text="REVISION">
      <formula>NOT(ISERROR(SEARCH("REVISION",E1444)))</formula>
    </cfRule>
    <cfRule type="containsText" dxfId="3501" priority="3012" operator="containsText" text="INACTIVO">
      <formula>NOT(ISERROR(SEARCH("INACTIVO",E1444)))</formula>
    </cfRule>
    <cfRule type="containsText" dxfId="3500" priority="3011" operator="containsText" text="BAJA">
      <formula>NOT(ISERROR(SEARCH("BAJA",E1444)))</formula>
    </cfRule>
    <cfRule type="containsText" dxfId="3499" priority="3010" operator="containsText" text="REVISION">
      <formula>NOT(ISERROR(SEARCH("REVISION",E1444)))</formula>
    </cfRule>
  </conditionalFormatting>
  <conditionalFormatting sqref="E1444:E1480">
    <cfRule type="containsText" dxfId="3498" priority="2885" operator="containsText" text="ACTIVO">
      <formula>NOT(ISERROR(SEARCH("ACTIVO",E1444)))</formula>
    </cfRule>
  </conditionalFormatting>
  <conditionalFormatting sqref="E1479">
    <cfRule type="containsText" dxfId="3497" priority="2867" operator="containsText" text="ACTIVO">
      <formula>NOT(ISERROR(SEARCH("ACTIVO",E1479)))</formula>
    </cfRule>
    <cfRule type="containsText" dxfId="3496" priority="2869" operator="containsText" text="REVISION">
      <formula>NOT(ISERROR(SEARCH("REVISION",E1479)))</formula>
    </cfRule>
    <cfRule type="containsText" dxfId="3495" priority="2873" operator="containsText" text="ACTIVO ">
      <formula>NOT(ISERROR(SEARCH("ACTIVO ",E1479)))</formula>
    </cfRule>
    <cfRule type="containsText" dxfId="3494" priority="2884" operator="containsText" text="INACTIVO">
      <formula>NOT(ISERROR(SEARCH("INACTIVO",E1479)))</formula>
    </cfRule>
    <cfRule type="containsText" dxfId="3493" priority="2883" operator="containsText" text="BAJA">
      <formula>NOT(ISERROR(SEARCH("BAJA",E1479)))</formula>
    </cfRule>
    <cfRule type="containsText" dxfId="3492" priority="2882" operator="containsText" text="REVISION">
      <formula>NOT(ISERROR(SEARCH("REVISION",E1479)))</formula>
    </cfRule>
  </conditionalFormatting>
  <conditionalFormatting sqref="E1481">
    <cfRule type="containsText" dxfId="3491" priority="2821" operator="containsText" text="ACTIVO">
      <formula>NOT(ISERROR(SEARCH("ACTIVO",E1481)))</formula>
    </cfRule>
    <cfRule type="containsText" dxfId="3490" priority="2838" operator="containsText" text="INACTIVO">
      <formula>NOT(ISERROR(SEARCH("INACTIVO",E1481)))</formula>
    </cfRule>
    <cfRule type="containsText" dxfId="3489" priority="2827" operator="containsText" text="ACTIVO ">
      <formula>NOT(ISERROR(SEARCH("ACTIVO ",E1481)))</formula>
    </cfRule>
    <cfRule type="containsText" dxfId="3488" priority="2823" operator="containsText" text="REVISION">
      <formula>NOT(ISERROR(SEARCH("REVISION",E1481)))</formula>
    </cfRule>
    <cfRule type="containsText" dxfId="3487" priority="2836" operator="containsText" text="REVISION">
      <formula>NOT(ISERROR(SEARCH("REVISION",E1481)))</formula>
    </cfRule>
    <cfRule type="containsText" dxfId="3486" priority="2837" operator="containsText" text="BAJA">
      <formula>NOT(ISERROR(SEARCH("BAJA",E1481)))</formula>
    </cfRule>
  </conditionalFormatting>
  <conditionalFormatting sqref="E1481:E1482">
    <cfRule type="containsText" dxfId="3485" priority="2839" operator="containsText" text="ACTIVO">
      <formula>NOT(ISERROR(SEARCH("ACTIVO",E1481)))</formula>
    </cfRule>
  </conditionalFormatting>
  <conditionalFormatting sqref="E1483:E1484">
    <cfRule type="containsText" dxfId="3484" priority="2785" operator="containsText" text="ACTIVO">
      <formula>NOT(ISERROR(SEARCH("ACTIVO",E1483)))</formula>
    </cfRule>
    <cfRule type="containsText" dxfId="3483" priority="2800" operator="containsText" text="REVISION">
      <formula>NOT(ISERROR(SEARCH("REVISION",E1483)))</formula>
    </cfRule>
    <cfRule type="containsText" dxfId="3482" priority="2801" operator="containsText" text="BAJA">
      <formula>NOT(ISERROR(SEARCH("BAJA",E1483)))</formula>
    </cfRule>
    <cfRule type="containsText" dxfId="3481" priority="2802" operator="containsText" text="INACTIVO">
      <formula>NOT(ISERROR(SEARCH("INACTIVO",E1483)))</formula>
    </cfRule>
    <cfRule type="containsText" dxfId="3480" priority="2791" operator="containsText" text="ACTIVO ">
      <formula>NOT(ISERROR(SEARCH("ACTIVO ",E1483)))</formula>
    </cfRule>
    <cfRule type="containsText" dxfId="3479" priority="2787" operator="containsText" text="REVISION">
      <formula>NOT(ISERROR(SEARCH("REVISION",E1483)))</formula>
    </cfRule>
  </conditionalFormatting>
  <conditionalFormatting sqref="E1483:E1486">
    <cfRule type="containsText" dxfId="3478" priority="2803" operator="containsText" text="ACTIVO">
      <formula>NOT(ISERROR(SEARCH("ACTIVO",E1483)))</formula>
    </cfRule>
  </conditionalFormatting>
  <conditionalFormatting sqref="E1487">
    <cfRule type="containsText" dxfId="3477" priority="2764" operator="containsText" text="INACTIVO">
      <formula>NOT(ISERROR(SEARCH("INACTIVO",E1487)))</formula>
    </cfRule>
    <cfRule type="containsText" dxfId="3476" priority="2763" operator="containsText" text="BAJA">
      <formula>NOT(ISERROR(SEARCH("BAJA",E1487)))</formula>
    </cfRule>
    <cfRule type="containsText" dxfId="3475" priority="2762" operator="containsText" text="REVISION">
      <formula>NOT(ISERROR(SEARCH("REVISION",E1487)))</formula>
    </cfRule>
    <cfRule type="containsText" dxfId="3474" priority="2753" operator="containsText" text="ACTIVO ">
      <formula>NOT(ISERROR(SEARCH("ACTIVO ",E1487)))</formula>
    </cfRule>
    <cfRule type="containsText" dxfId="3473" priority="2749" operator="containsText" text="REVISION">
      <formula>NOT(ISERROR(SEARCH("REVISION",E1487)))</formula>
    </cfRule>
    <cfRule type="containsText" dxfId="3472" priority="2747" operator="containsText" text="ACTIVO">
      <formula>NOT(ISERROR(SEARCH("ACTIVO",E1487)))</formula>
    </cfRule>
  </conditionalFormatting>
  <conditionalFormatting sqref="E1487:E1488">
    <cfRule type="containsText" dxfId="3471" priority="2765" operator="containsText" text="ACTIVO">
      <formula>NOT(ISERROR(SEARCH("ACTIVO",E1487)))</formula>
    </cfRule>
  </conditionalFormatting>
  <conditionalFormatting sqref="E1489:E1499">
    <cfRule type="containsText" dxfId="3470" priority="2734" operator="containsText" text="REVISION">
      <formula>NOT(ISERROR(SEARCH("REVISION",E1489)))</formula>
    </cfRule>
    <cfRule type="containsText" dxfId="3469" priority="2725" operator="containsText" text="ACTIVO ">
      <formula>NOT(ISERROR(SEARCH("ACTIVO ",E1489)))</formula>
    </cfRule>
    <cfRule type="containsText" dxfId="3468" priority="2736" operator="containsText" text="INACTIVO">
      <formula>NOT(ISERROR(SEARCH("INACTIVO",E1489)))</formula>
    </cfRule>
    <cfRule type="containsText" dxfId="3467" priority="2735" operator="containsText" text="BAJA">
      <formula>NOT(ISERROR(SEARCH("BAJA",E1489)))</formula>
    </cfRule>
    <cfRule type="containsText" dxfId="3466" priority="2721" operator="containsText" text="REVISION">
      <formula>NOT(ISERROR(SEARCH("REVISION",E1489)))</formula>
    </cfRule>
    <cfRule type="containsText" dxfId="3465" priority="2719" operator="containsText" text="ACTIVO">
      <formula>NOT(ISERROR(SEARCH("ACTIVO",E1489)))</formula>
    </cfRule>
  </conditionalFormatting>
  <conditionalFormatting sqref="E1489:E1501">
    <cfRule type="containsText" dxfId="3464" priority="2737" operator="containsText" text="ACTIVO">
      <formula>NOT(ISERROR(SEARCH("ACTIVO",E1489)))</formula>
    </cfRule>
  </conditionalFormatting>
  <conditionalFormatting sqref="E1504:E1507">
    <cfRule type="containsText" dxfId="3463" priority="1109" operator="containsText" text="ACTIVO">
      <formula>NOT(ISERROR(SEARCH("ACTIVO",E1504)))</formula>
    </cfRule>
    <cfRule type="containsText" dxfId="3462" priority="1108" operator="containsText" text="INACTIVO">
      <formula>NOT(ISERROR(SEARCH("INACTIVO",E1504)))</formula>
    </cfRule>
  </conditionalFormatting>
  <conditionalFormatting sqref="E1504:E1509">
    <cfRule type="containsText" dxfId="3461" priority="990" operator="containsText" text="REVISION">
      <formula>NOT(ISERROR(SEARCH("REVISION",E1504)))</formula>
    </cfRule>
    <cfRule type="containsText" dxfId="3460" priority="989" operator="containsText" text="ACTIVO ">
      <formula>NOT(ISERROR(SEARCH("ACTIVO ",E1504)))</formula>
    </cfRule>
  </conditionalFormatting>
  <conditionalFormatting sqref="E1508:E1509">
    <cfRule type="containsText" dxfId="3459" priority="986" operator="containsText" text="ACTIVO">
      <formula>NOT(ISERROR(SEARCH("ACTIVO",E1508)))</formula>
    </cfRule>
    <cfRule type="containsText" dxfId="3458" priority="992" operator="containsText" text="INACTIVO">
      <formula>NOT(ISERROR(SEARCH("INACTIVO",E1508)))</formula>
    </cfRule>
    <cfRule type="containsText" dxfId="3457" priority="991" operator="containsText" text="BAJA">
      <formula>NOT(ISERROR(SEARCH("BAJA",E1508)))</formula>
    </cfRule>
  </conditionalFormatting>
  <conditionalFormatting sqref="E1525">
    <cfRule type="containsText" dxfId="3456" priority="673" operator="containsText" text="ACTIVO">
      <formula>NOT(ISERROR(SEARCH("ACTIVO",E1525)))</formula>
    </cfRule>
    <cfRule type="containsText" dxfId="3455" priority="677" operator="containsText" text="BAJA">
      <formula>NOT(ISERROR(SEARCH("BAJA",E1525)))</formula>
    </cfRule>
    <cfRule type="containsText" dxfId="3454" priority="671" operator="containsText" text="BAJA">
      <formula>NOT(ISERROR(SEARCH("BAJA",E1525)))</formula>
    </cfRule>
    <cfRule type="containsText" dxfId="3453" priority="674" operator="containsText" text="ACTIVO ">
      <formula>NOT(ISERROR(SEARCH("ACTIVO ",E1525)))</formula>
    </cfRule>
    <cfRule type="containsText" dxfId="3452" priority="670" operator="containsText" text="REVISION">
      <formula>NOT(ISERROR(SEARCH("REVISION",E1525)))</formula>
    </cfRule>
    <cfRule type="containsText" dxfId="3451" priority="669" operator="containsText" text="REVISION">
      <formula>NOT(ISERROR(SEARCH("REVISION",E1525)))</formula>
    </cfRule>
    <cfRule type="containsText" dxfId="3450" priority="676" operator="containsText" text="REVISION">
      <formula>NOT(ISERROR(SEARCH("REVISION",E1525)))</formula>
    </cfRule>
    <cfRule type="containsText" dxfId="3449" priority="665" operator="containsText" text="BAJA">
      <formula>NOT(ISERROR(SEARCH("BAJA",E1525)))</formula>
    </cfRule>
    <cfRule type="containsText" dxfId="3448" priority="664" operator="containsText" text="INACTIVO">
      <formula>NOT(ISERROR(SEARCH("INACTIVO",E1525)))</formula>
    </cfRule>
    <cfRule type="containsText" dxfId="3447" priority="663" operator="containsText" text="BAJA">
      <formula>NOT(ISERROR(SEARCH("BAJA",E1525)))</formula>
    </cfRule>
    <cfRule type="containsText" dxfId="3446" priority="662" operator="containsText" text="REVISION">
      <formula>NOT(ISERROR(SEARCH("REVISION",E1525)))</formula>
    </cfRule>
    <cfRule type="containsText" dxfId="3445" priority="661" operator="containsText" text="ACTIVO ">
      <formula>NOT(ISERROR(SEARCH("ACTIVO ",E1525)))</formula>
    </cfRule>
    <cfRule type="containsText" dxfId="3444" priority="660" operator="containsText" text="REVISION">
      <formula>NOT(ISERROR(SEARCH("REVISION",E1525)))</formula>
    </cfRule>
    <cfRule type="containsText" dxfId="3443" priority="659" operator="containsText" text="ACTIVO">
      <formula>NOT(ISERROR(SEARCH("ACTIVO",E1525)))</formula>
    </cfRule>
    <cfRule type="containsText" dxfId="3442" priority="667" operator="containsText" text="ACTIVO">
      <formula>NOT(ISERROR(SEARCH("ACTIVO",E1525)))</formula>
    </cfRule>
    <cfRule type="containsText" dxfId="3441" priority="666" operator="containsText" text="REVISION">
      <formula>NOT(ISERROR(SEARCH("REVISION",E1525)))</formula>
    </cfRule>
    <cfRule type="containsText" dxfId="3440" priority="678" operator="containsText" text="INACTIVO">
      <formula>NOT(ISERROR(SEARCH("INACTIVO",E1525)))</formula>
    </cfRule>
    <cfRule type="containsText" dxfId="3439" priority="672" operator="containsText" text="INACTIVO">
      <formula>NOT(ISERROR(SEARCH("INACTIVO",E1525)))</formula>
    </cfRule>
  </conditionalFormatting>
  <conditionalFormatting sqref="E1:F1048576">
    <cfRule type="containsText" dxfId="3438" priority="571" operator="containsText" text="VISITA EN FALSO">
      <formula>NOT(ISERROR(SEARCH("VISITA EN FALSO",E1)))</formula>
    </cfRule>
  </conditionalFormatting>
  <conditionalFormatting sqref="E298:F302">
    <cfRule type="containsText" dxfId="3437" priority="10355" operator="containsText" text="BAJA">
      <formula>NOT(ISERROR(SEARCH("BAJA",E298)))</formula>
    </cfRule>
  </conditionalFormatting>
  <conditionalFormatting sqref="E317:F317">
    <cfRule type="containsText" dxfId="3436" priority="10335" operator="containsText" text="BAJA">
      <formula>NOT(ISERROR(SEARCH("BAJA",E317)))</formula>
    </cfRule>
  </conditionalFormatting>
  <conditionalFormatting sqref="E343:F389">
    <cfRule type="containsText" dxfId="3435" priority="10178" operator="containsText" text="BAJA">
      <formula>NOT(ISERROR(SEARCH("BAJA",E343)))</formula>
    </cfRule>
  </conditionalFormatting>
  <conditionalFormatting sqref="E428:F428">
    <cfRule type="containsText" dxfId="3434" priority="10118" operator="containsText" text="BAJA">
      <formula>NOT(ISERROR(SEARCH("BAJA",E428)))</formula>
    </cfRule>
  </conditionalFormatting>
  <conditionalFormatting sqref="E493:F511">
    <cfRule type="containsText" dxfId="3433" priority="9931" operator="containsText" text="BAJA">
      <formula>NOT(ISERROR(SEARCH("BAJA",E493)))</formula>
    </cfRule>
  </conditionalFormatting>
  <conditionalFormatting sqref="E529:F529">
    <cfRule type="containsText" dxfId="3432" priority="9879" operator="containsText" text="BAJA">
      <formula>NOT(ISERROR(SEARCH("BAJA",E529)))</formula>
    </cfRule>
  </conditionalFormatting>
  <conditionalFormatting sqref="E611:F613">
    <cfRule type="containsText" dxfId="3431" priority="9701" operator="containsText" text="BAJA">
      <formula>NOT(ISERROR(SEARCH("BAJA",E611)))</formula>
    </cfRule>
  </conditionalFormatting>
  <conditionalFormatting sqref="E614:F614">
    <cfRule type="containsText" dxfId="3430" priority="9668" operator="containsText" text="BAJA">
      <formula>NOT(ISERROR(SEARCH("BAJA",E614)))</formula>
    </cfRule>
  </conditionalFormatting>
  <conditionalFormatting sqref="E1504:F1507">
    <cfRule type="containsText" dxfId="3429" priority="1097" operator="containsText" text="BAJA">
      <formula>NOT(ISERROR(SEARCH("BAJA",E1504)))</formula>
    </cfRule>
  </conditionalFormatting>
  <conditionalFormatting sqref="F1:F292">
    <cfRule type="containsText" dxfId="3428" priority="10365" operator="containsText" text="BAJA">
      <formula>NOT(ISERROR(SEARCH("BAJA",F1)))</formula>
    </cfRule>
    <cfRule type="containsText" dxfId="3427" priority="10367" operator="containsText" text="DES-INSTALACION">
      <formula>NOT(ISERROR(SEARCH("DES-INSTALACION",F1)))</formula>
    </cfRule>
    <cfRule type="containsText" dxfId="3426" priority="10368" operator="containsText" text="INSTALACION">
      <formula>NOT(ISERROR(SEARCH("INSTALACION",F1)))</formula>
    </cfRule>
    <cfRule type="containsText" dxfId="3425" priority="10366" operator="containsText" text="RE-INSTALACION">
      <formula>NOT(ISERROR(SEARCH("RE-INSTALACION",F1)))</formula>
    </cfRule>
  </conditionalFormatting>
  <conditionalFormatting sqref="F1:F554 F608 F1510:F1048576">
    <cfRule type="containsText" dxfId="3424" priority="9862" operator="containsText" text="MIGRACION">
      <formula>NOT(ISERROR(SEARCH("MIGRACION",F1)))</formula>
    </cfRule>
    <cfRule type="containsText" dxfId="3423" priority="9863" operator="containsText" text="REVISION">
      <formula>NOT(ISERROR(SEARCH("REVISION",F1)))</formula>
    </cfRule>
  </conditionalFormatting>
  <conditionalFormatting sqref="F1:F573 F575:F576 F580:F598 F608 F615:F617 F701:F702 F808:F812 F908:F911 F913 F915:F921 F924:F925 F999:F1023 F1110 F1112 F1125:F1127 F1149:F1158 F1163 F1166:F1203 F1223:F1224 F1292:F1293 F1502 F1510:F1048576">
    <cfRule type="containsText" dxfId="3422" priority="9852" operator="containsText" text="REVISION">
      <formula>NOT(ISERROR(SEARCH("REVISION",F1)))</formula>
    </cfRule>
  </conditionalFormatting>
  <conditionalFormatting sqref="F1:F573 F575:F576 F608 F1510:F1048576 F580:F598 F701:F702 F615:F617 F808:F812 F908:F911 F913 F915:F921 F924:F925 F999:F1023 F1110 F1112 F1125:F1127 F1149:F1158 F1163 F1166:F1203 F1223:F1224 F1292:F1293 F1502">
    <cfRule type="containsText" dxfId="3421" priority="9845" operator="containsText" text="instalacion">
      <formula>NOT(ISERROR(SEARCH("instalacion",F1)))</formula>
    </cfRule>
  </conditionalFormatting>
  <conditionalFormatting sqref="F1:F576 F608 F1504:F1048576">
    <cfRule type="containsText" dxfId="3420" priority="9824" operator="containsText" text="RE-INSTALACION">
      <formula>NOT(ISERROR(SEARCH("RE-INSTALACION",F1)))</formula>
    </cfRule>
    <cfRule type="containsText" dxfId="3419" priority="9825" operator="containsText" text="DES-INSTALACION">
      <formula>NOT(ISERROR(SEARCH("DES-INSTALACION",F1)))</formula>
    </cfRule>
  </conditionalFormatting>
  <conditionalFormatting sqref="F1:F1048576">
    <cfRule type="containsText" dxfId="3418" priority="994" operator="containsText" text="CANCELADO">
      <formula>NOT(ISERROR(SEARCH("CANCELADO",F1)))</formula>
    </cfRule>
  </conditionalFormatting>
  <conditionalFormatting sqref="F293 F402:F404 F480:F485 F580:F598 F608 F615:F617 F701:F702 F808:F812 F908:F911 F913 F915:F921 F924:F925 F999:F1023 F1110 F1112 F1125:F1127 F1149:F1158 F1163 F1166:F1203 F1223:F1224 F1292:F1293 F1502 F1510:F1048576">
    <cfRule type="containsText" dxfId="3417" priority="10387" operator="containsText" text="DES-INSTALACION">
      <formula>NOT(ISERROR(SEARCH("DES-INSTALACION",F293)))</formula>
    </cfRule>
    <cfRule type="containsText" dxfId="3416" priority="10388" operator="containsText" text="INSTALACION">
      <formula>NOT(ISERROR(SEARCH("INSTALACION",F293)))</formula>
    </cfRule>
  </conditionalFormatting>
  <conditionalFormatting sqref="F293 F402:F404 F480:F485 F580:F598 F615:F617 F701:F702 F808:F812 F908:F911 F913 F915:F921 F924:F925 F999:F1023 F1110 F1112 F1125:F1127 F1149:F1158 F1163 F1166:F1203 F1223:F1224 F1292:F1293 F1502 F608 F1510:F1048576 T1318:T1048576">
    <cfRule type="containsText" dxfId="3415" priority="10386" operator="containsText" text="RE-INSTALACION">
      <formula>NOT(ISERROR(SEARCH("RE-INSTALACION",F293)))</formula>
    </cfRule>
  </conditionalFormatting>
  <conditionalFormatting sqref="F294:F297">
    <cfRule type="containsText" dxfId="3414" priority="10375" operator="containsText" text="BAJA">
      <formula>NOT(ISERROR(SEARCH("BAJA",F294)))</formula>
    </cfRule>
  </conditionalFormatting>
  <conditionalFormatting sqref="F294:F300">
    <cfRule type="containsText" dxfId="3413" priority="10378" operator="containsText" text="INSTALACION">
      <formula>NOT(ISERROR(SEARCH("INSTALACION",F294)))</formula>
    </cfRule>
    <cfRule type="containsText" dxfId="3412" priority="10377" operator="containsText" text="DES-INSTALACION">
      <formula>NOT(ISERROR(SEARCH("DES-INSTALACION",F294)))</formula>
    </cfRule>
    <cfRule type="containsText" dxfId="3411" priority="10376" operator="containsText" text="RE-INSTALACION">
      <formula>NOT(ISERROR(SEARCH("RE-INSTALACION",F294)))</formula>
    </cfRule>
  </conditionalFormatting>
  <conditionalFormatting sqref="F301:F302">
    <cfRule type="containsText" dxfId="3410" priority="10358" operator="containsText" text="INSTALACION">
      <formula>NOT(ISERROR(SEARCH("INSTALACION",F301)))</formula>
    </cfRule>
    <cfRule type="containsText" dxfId="3409" priority="10357" operator="containsText" text="DES-INSTALACION">
      <formula>NOT(ISERROR(SEARCH("DES-INSTALACION",F301)))</formula>
    </cfRule>
    <cfRule type="containsText" dxfId="3408" priority="10356" operator="containsText" text="RE-INSTALACION">
      <formula>NOT(ISERROR(SEARCH("RE-INSTALACION",F301)))</formula>
    </cfRule>
  </conditionalFormatting>
  <conditionalFormatting sqref="F303:F316">
    <cfRule type="containsText" dxfId="3407" priority="10348" operator="containsText" text="INSTALACION">
      <formula>NOT(ISERROR(SEARCH("INSTALACION",F303)))</formula>
    </cfRule>
    <cfRule type="containsText" dxfId="3406" priority="10346" operator="containsText" text="RE-INSTALACION">
      <formula>NOT(ISERROR(SEARCH("RE-INSTALACION",F303)))</formula>
    </cfRule>
    <cfRule type="containsText" dxfId="3405" priority="10345" operator="containsText" text="BAJA">
      <formula>NOT(ISERROR(SEARCH("BAJA",F303)))</formula>
    </cfRule>
    <cfRule type="containsText" dxfId="3404" priority="10347" operator="containsText" text="DES-INSTALACION">
      <formula>NOT(ISERROR(SEARCH("DES-INSTALACION",F303)))</formula>
    </cfRule>
  </conditionalFormatting>
  <conditionalFormatting sqref="F317">
    <cfRule type="containsText" dxfId="3403" priority="10338" operator="containsText" text="INSTALACION">
      <formula>NOT(ISERROR(SEARCH("INSTALACION",F317)))</formula>
    </cfRule>
    <cfRule type="containsText" dxfId="3402" priority="10337" operator="containsText" text="DES-INSTALACION">
      <formula>NOT(ISERROR(SEARCH("DES-INSTALACION",F317)))</formula>
    </cfRule>
    <cfRule type="containsText" dxfId="3401" priority="10336" operator="containsText" text="RE-INSTALACION">
      <formula>NOT(ISERROR(SEARCH("RE-INSTALACION",F317)))</formula>
    </cfRule>
  </conditionalFormatting>
  <conditionalFormatting sqref="F318:F342">
    <cfRule type="containsText" dxfId="3400" priority="10310" operator="containsText" text="BAJA">
      <formula>NOT(ISERROR(SEARCH("BAJA",F318)))</formula>
    </cfRule>
    <cfRule type="containsText" dxfId="3399" priority="10312" operator="containsText" text="DES-INSTALACION">
      <formula>NOT(ISERROR(SEARCH("DES-INSTALACION",F318)))</formula>
    </cfRule>
    <cfRule type="containsText" dxfId="3398" priority="10313" operator="containsText" text="INSTALACION">
      <formula>NOT(ISERROR(SEARCH("INSTALACION",F318)))</formula>
    </cfRule>
    <cfRule type="containsText" dxfId="3397" priority="10311" operator="containsText" text="RE-INSTALACION">
      <formula>NOT(ISERROR(SEARCH("RE-INSTALACION",F318)))</formula>
    </cfRule>
  </conditionalFormatting>
  <conditionalFormatting sqref="F343:F391">
    <cfRule type="containsText" dxfId="3396" priority="10179" operator="containsText" text="RE-INSTALACION">
      <formula>NOT(ISERROR(SEARCH("RE-INSTALACION",F343)))</formula>
    </cfRule>
    <cfRule type="containsText" dxfId="3395" priority="10181" operator="containsText" text="INSTALACION">
      <formula>NOT(ISERROR(SEARCH("INSTALACION",F343)))</formula>
    </cfRule>
    <cfRule type="containsText" dxfId="3394" priority="10180" operator="containsText" text="DES-INSTALACION">
      <formula>NOT(ISERROR(SEARCH("DES-INSTALACION",F343)))</formula>
    </cfRule>
  </conditionalFormatting>
  <conditionalFormatting sqref="F390:F401">
    <cfRule type="containsText" dxfId="3393" priority="10158" operator="containsText" text="BAJA">
      <formula>NOT(ISERROR(SEARCH("BAJA",F390)))</formula>
    </cfRule>
  </conditionalFormatting>
  <conditionalFormatting sqref="F392:F401">
    <cfRule type="containsText" dxfId="3392" priority="10161" operator="containsText" text="INSTALACION">
      <formula>NOT(ISERROR(SEARCH("INSTALACION",F392)))</formula>
    </cfRule>
    <cfRule type="containsText" dxfId="3391" priority="10159" operator="containsText" text="RE-INSTALACION">
      <formula>NOT(ISERROR(SEARCH("RE-INSTALACION",F392)))</formula>
    </cfRule>
    <cfRule type="containsText" dxfId="3390" priority="10160" operator="containsText" text="DES-INSTALACION">
      <formula>NOT(ISERROR(SEARCH("DES-INSTALACION",F392)))</formula>
    </cfRule>
  </conditionalFormatting>
  <conditionalFormatting sqref="F405:F427">
    <cfRule type="containsText" dxfId="3389" priority="10131" operator="containsText" text="INSTALACION">
      <formula>NOT(ISERROR(SEARCH("INSTALACION",F405)))</formula>
    </cfRule>
    <cfRule type="containsText" dxfId="3388" priority="10128" operator="containsText" text="BAJA">
      <formula>NOT(ISERROR(SEARCH("BAJA",F405)))</formula>
    </cfRule>
    <cfRule type="containsText" dxfId="3387" priority="10129" operator="containsText" text="RE-INSTALACION">
      <formula>NOT(ISERROR(SEARCH("RE-INSTALACION",F405)))</formula>
    </cfRule>
    <cfRule type="containsText" dxfId="3386" priority="10130" operator="containsText" text="DES-INSTALACION">
      <formula>NOT(ISERROR(SEARCH("DES-INSTALACION",F405)))</formula>
    </cfRule>
  </conditionalFormatting>
  <conditionalFormatting sqref="F428">
    <cfRule type="containsText" dxfId="3385" priority="10121" operator="containsText" text="INSTALACION">
      <formula>NOT(ISERROR(SEARCH("INSTALACION",F428)))</formula>
    </cfRule>
    <cfRule type="containsText" dxfId="3384" priority="10120" operator="containsText" text="DES-INSTALACION">
      <formula>NOT(ISERROR(SEARCH("DES-INSTALACION",F428)))</formula>
    </cfRule>
    <cfRule type="containsText" dxfId="3383" priority="10119" operator="containsText" text="RE-INSTALACION">
      <formula>NOT(ISERROR(SEARCH("RE-INSTALACION",F428)))</formula>
    </cfRule>
  </conditionalFormatting>
  <conditionalFormatting sqref="F429:F479">
    <cfRule type="containsText" dxfId="3382" priority="10016" operator="containsText" text="INSTALACION">
      <formula>NOT(ISERROR(SEARCH("INSTALACION",F429)))</formula>
    </cfRule>
    <cfRule type="containsText" dxfId="3381" priority="10014" operator="containsText" text="RE-INSTALACION">
      <formula>NOT(ISERROR(SEARCH("RE-INSTALACION",F429)))</formula>
    </cfRule>
    <cfRule type="containsText" dxfId="3380" priority="10013" operator="containsText" text="BAJA">
      <formula>NOT(ISERROR(SEARCH("BAJA",F429)))</formula>
    </cfRule>
    <cfRule type="containsText" dxfId="3379" priority="10015" operator="containsText" text="DES-INSTALACION">
      <formula>NOT(ISERROR(SEARCH("DES-INSTALACION",F429)))</formula>
    </cfRule>
  </conditionalFormatting>
  <conditionalFormatting sqref="F486:F492">
    <cfRule type="containsText" dxfId="3378" priority="9971" operator="containsText" text="BAJA">
      <formula>NOT(ISERROR(SEARCH("BAJA",F486)))</formula>
    </cfRule>
  </conditionalFormatting>
  <conditionalFormatting sqref="F486:F493">
    <cfRule type="containsText" dxfId="3377" priority="9974" operator="containsText" text="INSTALACION">
      <formula>NOT(ISERROR(SEARCH("INSTALACION",F486)))</formula>
    </cfRule>
    <cfRule type="containsText" dxfId="3376" priority="9973" operator="containsText" text="DES-INSTALACION">
      <formula>NOT(ISERROR(SEARCH("DES-INSTALACION",F486)))</formula>
    </cfRule>
    <cfRule type="containsText" dxfId="3375" priority="9972" operator="containsText" text="RE-INSTALACION">
      <formula>NOT(ISERROR(SEARCH("RE-INSTALACION",F486)))</formula>
    </cfRule>
  </conditionalFormatting>
  <conditionalFormatting sqref="F494:F511">
    <cfRule type="containsText" dxfId="3374" priority="9933" operator="containsText" text="DES-INSTALACION">
      <formula>NOT(ISERROR(SEARCH("DES-INSTALACION",F494)))</formula>
    </cfRule>
    <cfRule type="containsText" dxfId="3373" priority="9932" operator="containsText" text="RE-INSTALACION">
      <formula>NOT(ISERROR(SEARCH("RE-INSTALACION",F494)))</formula>
    </cfRule>
    <cfRule type="containsText" dxfId="3372" priority="9934" operator="containsText" text="INSTALACION">
      <formula>NOT(ISERROR(SEARCH("INSTALACION",F494)))</formula>
    </cfRule>
  </conditionalFormatting>
  <conditionalFormatting sqref="F512:F528">
    <cfRule type="containsText" dxfId="3371" priority="9919" operator="containsText" text="INSTALACION">
      <formula>NOT(ISERROR(SEARCH("INSTALACION",F512)))</formula>
    </cfRule>
    <cfRule type="containsText" dxfId="3370" priority="9918" operator="containsText" text="DES-INSTALACION">
      <formula>NOT(ISERROR(SEARCH("DES-INSTALACION",F512)))</formula>
    </cfRule>
    <cfRule type="containsText" dxfId="3369" priority="9917" operator="containsText" text="RE-INSTALACION">
      <formula>NOT(ISERROR(SEARCH("RE-INSTALACION",F512)))</formula>
    </cfRule>
    <cfRule type="containsText" dxfId="3368" priority="9916" operator="containsText" text="BAJA">
      <formula>NOT(ISERROR(SEARCH("BAJA",F512)))</formula>
    </cfRule>
  </conditionalFormatting>
  <conditionalFormatting sqref="F529:F547">
    <cfRule type="containsText" dxfId="3367" priority="9882" operator="containsText" text="INSTALACION">
      <formula>NOT(ISERROR(SEARCH("INSTALACION",F529)))</formula>
    </cfRule>
    <cfRule type="containsText" dxfId="3366" priority="9880" operator="containsText" text="RE-INSTALACION">
      <formula>NOT(ISERROR(SEARCH("RE-INSTALACION",F529)))</formula>
    </cfRule>
    <cfRule type="containsText" dxfId="3365" priority="9881" operator="containsText" text="DES-INSTALACION">
      <formula>NOT(ISERROR(SEARCH("DES-INSTALACION",F529)))</formula>
    </cfRule>
  </conditionalFormatting>
  <conditionalFormatting sqref="F530:F554">
    <cfRule type="containsText" dxfId="3364" priority="9864" operator="containsText" text="BAJA">
      <formula>NOT(ISERROR(SEARCH("BAJA",F530)))</formula>
    </cfRule>
  </conditionalFormatting>
  <conditionalFormatting sqref="F548:F554">
    <cfRule type="containsText" dxfId="3363" priority="9867" operator="containsText" text="INSTALACION">
      <formula>NOT(ISERROR(SEARCH("INSTALACION",F548)))</formula>
    </cfRule>
    <cfRule type="containsText" dxfId="3362" priority="9866" operator="containsText" text="DES-INSTALACION">
      <formula>NOT(ISERROR(SEARCH("DES-INSTALACION",F548)))</formula>
    </cfRule>
    <cfRule type="containsText" dxfId="3361" priority="9865" operator="containsText" text="RE-INSTALACION">
      <formula>NOT(ISERROR(SEARCH("RE-INSTALACION",F548)))</formula>
    </cfRule>
  </conditionalFormatting>
  <conditionalFormatting sqref="F556:F573 F575:F576">
    <cfRule type="containsText" dxfId="3360" priority="9846" operator="containsText" text="MIGRACION">
      <formula>NOT(ISERROR(SEARCH("MIGRACION",F556)))</formula>
    </cfRule>
    <cfRule type="containsText" dxfId="3359" priority="9847" operator="containsText" text="REVISION">
      <formula>NOT(ISERROR(SEARCH("REVISION",F556)))</formula>
    </cfRule>
    <cfRule type="containsText" dxfId="3358" priority="9848" operator="containsText" text="BAJA">
      <formula>NOT(ISERROR(SEARCH("BAJA",F556)))</formula>
    </cfRule>
    <cfRule type="containsText" dxfId="3357" priority="9849" operator="containsText" text="RE-INSTALACION">
      <formula>NOT(ISERROR(SEARCH("RE-INSTALACION",F556)))</formula>
    </cfRule>
    <cfRule type="containsText" dxfId="3356" priority="9850" operator="containsText" text="DES-INSTALACION">
      <formula>NOT(ISERROR(SEARCH("DES-INSTALACION",F556)))</formula>
    </cfRule>
    <cfRule type="containsText" dxfId="3355" priority="9851" operator="containsText" text="INSTALACION">
      <formula>NOT(ISERROR(SEARCH("INSTALACION",F556)))</formula>
    </cfRule>
  </conditionalFormatting>
  <conditionalFormatting sqref="F574">
    <cfRule type="containsText" dxfId="3354" priority="9819" operator="containsText" text="DES-INSTALACION">
      <formula>NOT(ISERROR(SEARCH("DES-INSTALACION",F574)))</formula>
    </cfRule>
    <cfRule type="containsText" dxfId="3353" priority="9820" operator="containsText" text="instalacion">
      <formula>NOT(ISERROR(SEARCH("instalacion",F574)))</formula>
    </cfRule>
    <cfRule type="containsText" dxfId="3352" priority="9818" operator="containsText" text="RE-INSTALACION">
      <formula>NOT(ISERROR(SEARCH("RE-INSTALACION",F574)))</formula>
    </cfRule>
    <cfRule type="containsText" dxfId="3351" priority="9827" operator="containsText" text="REVISION">
      <formula>NOT(ISERROR(SEARCH("REVISION",F574)))</formula>
    </cfRule>
    <cfRule type="containsText" dxfId="3350" priority="9826" operator="containsText" text="INSTALACION">
      <formula>NOT(ISERROR(SEARCH("INSTALACION",F574)))</formula>
    </cfRule>
    <cfRule type="containsText" dxfId="3349" priority="9823" operator="containsText" text="BAJA">
      <formula>NOT(ISERROR(SEARCH("BAJA",F574)))</formula>
    </cfRule>
    <cfRule type="containsText" dxfId="3348" priority="9822" operator="containsText" text="REVISION">
      <formula>NOT(ISERROR(SEARCH("REVISION",F574)))</formula>
    </cfRule>
    <cfRule type="containsText" dxfId="3347" priority="9821" operator="containsText" text="MIGRACION">
      <formula>NOT(ISERROR(SEARCH("MIGRACION",F574)))</formula>
    </cfRule>
  </conditionalFormatting>
  <conditionalFormatting sqref="F577:F578">
    <cfRule type="containsText" dxfId="3346" priority="9801" operator="containsText" text="BAJA">
      <formula>NOT(ISERROR(SEARCH("BAJA",F577)))</formula>
    </cfRule>
    <cfRule type="containsText" dxfId="3345" priority="9800" operator="containsText" text="REVISION">
      <formula>NOT(ISERROR(SEARCH("REVISION",F577)))</formula>
    </cfRule>
    <cfRule type="containsText" dxfId="3344" priority="9798" operator="containsText" text="REVISION">
      <formula>NOT(ISERROR(SEARCH("REVISION",F577)))</formula>
    </cfRule>
    <cfRule type="containsText" dxfId="3343" priority="9797" operator="containsText" text="instalacion">
      <formula>NOT(ISERROR(SEARCH("instalacion",F577)))</formula>
    </cfRule>
    <cfRule type="containsText" dxfId="3342" priority="9799" operator="containsText" text="MIGRACION">
      <formula>NOT(ISERROR(SEARCH("MIGRACION",F577)))</formula>
    </cfRule>
    <cfRule type="containsText" dxfId="3341" priority="9802" operator="containsText" text="RE-INSTALACION">
      <formula>NOT(ISERROR(SEARCH("RE-INSTALACION",F577)))</formula>
    </cfRule>
    <cfRule type="containsText" dxfId="3340" priority="9803" operator="containsText" text="DES-INSTALACION">
      <formula>NOT(ISERROR(SEARCH("DES-INSTALACION",F577)))</formula>
    </cfRule>
    <cfRule type="containsText" dxfId="3339" priority="9804" operator="containsText" text="INSTALACION">
      <formula>NOT(ISERROR(SEARCH("INSTALACION",F577)))</formula>
    </cfRule>
  </conditionalFormatting>
  <conditionalFormatting sqref="F577:F598">
    <cfRule type="containsText" dxfId="3338" priority="9791" operator="containsText" text="RE-INSTALACION">
      <formula>NOT(ISERROR(SEARCH("RE-INSTALACION",F577)))</formula>
    </cfRule>
    <cfRule type="containsText" dxfId="3337" priority="9792" operator="containsText" text="DES-INSTALACION">
      <formula>NOT(ISERROR(SEARCH("DES-INSTALACION",F577)))</formula>
    </cfRule>
  </conditionalFormatting>
  <conditionalFormatting sqref="F579">
    <cfRule type="containsText" dxfId="3336" priority="9785" operator="containsText" text="DES-INSTALACION">
      <formula>NOT(ISERROR(SEARCH("DES-INSTALACION",F579)))</formula>
    </cfRule>
    <cfRule type="containsText" dxfId="3335" priority="9793" operator="containsText" text="INSTALACION">
      <formula>NOT(ISERROR(SEARCH("INSTALACION",F579)))</formula>
    </cfRule>
    <cfRule type="containsText" dxfId="3334" priority="9784" operator="containsText" text="RE-INSTALACION">
      <formula>NOT(ISERROR(SEARCH("RE-INSTALACION",F579)))</formula>
    </cfRule>
    <cfRule type="containsText" dxfId="3333" priority="9786" operator="containsText" text="instalacion">
      <formula>NOT(ISERROR(SEARCH("instalacion",F579)))</formula>
    </cfRule>
    <cfRule type="containsText" dxfId="3332" priority="9787" operator="containsText" text="REVISION">
      <formula>NOT(ISERROR(SEARCH("REVISION",F579)))</formula>
    </cfRule>
    <cfRule type="containsText" dxfId="3331" priority="9788" operator="containsText" text="MIGRACION">
      <formula>NOT(ISERROR(SEARCH("MIGRACION",F579)))</formula>
    </cfRule>
    <cfRule type="containsText" dxfId="3330" priority="9789" operator="containsText" text="REVISION">
      <formula>NOT(ISERROR(SEARCH("REVISION",F579)))</formula>
    </cfRule>
    <cfRule type="containsText" dxfId="3329" priority="9790" operator="containsText" text="BAJA">
      <formula>NOT(ISERROR(SEARCH("BAJA",F579)))</formula>
    </cfRule>
  </conditionalFormatting>
  <conditionalFormatting sqref="F580:F598 E615:F617 F701:F702 F808:F812 F908:F911 F913 F915:F921 F924:F925 F999:F1023 F1110 F1112 F1125:F1127 F1149:F1158 F1163 F1166:F1203 F1223:F1224 F1292:F1293 F1502 E293:F293 E402:F404 E480:F485">
    <cfRule type="containsText" dxfId="3328" priority="10385" operator="containsText" text="BAJA">
      <formula>NOT(ISERROR(SEARCH("BAJA",E293)))</formula>
    </cfRule>
  </conditionalFormatting>
  <conditionalFormatting sqref="F580:F598 F615:F617 F701:F702 F808:F812 F908:F911 F913 F915:F921 F924:F925 F999:F1023 F1110 F1112 F1125:F1127 F1149:F1158 F1163 F1166:F1203 F1223:F1224 F1292:F1293 F1502">
    <cfRule type="containsText" dxfId="3327" priority="10384" operator="containsText" text="REVISION">
      <formula>NOT(ISERROR(SEARCH("REVISION",F580)))</formula>
    </cfRule>
    <cfRule type="containsText" dxfId="3326" priority="10383" operator="containsText" text="MIGRACION">
      <formula>NOT(ISERROR(SEARCH("MIGRACION",F580)))</formula>
    </cfRule>
  </conditionalFormatting>
  <conditionalFormatting sqref="F599:F602 F604:F609 F628 F661:F667 F693:F700 F703 F735">
    <cfRule type="containsText" dxfId="3325" priority="9754" operator="containsText" text="MIGRACION">
      <formula>NOT(ISERROR(SEARCH("MIGRACION",F599)))</formula>
    </cfRule>
    <cfRule type="containsText" dxfId="3324" priority="9752" operator="containsText" text="instalacion">
      <formula>NOT(ISERROR(SEARCH("instalacion",F599)))</formula>
    </cfRule>
    <cfRule type="containsText" dxfId="3323" priority="9753" operator="containsText" text="REVISION">
      <formula>NOT(ISERROR(SEARCH("REVISION",F599)))</formula>
    </cfRule>
    <cfRule type="containsText" dxfId="3322" priority="9755" operator="containsText" text="REVISION">
      <formula>NOT(ISERROR(SEARCH("REVISION",F599)))</formula>
    </cfRule>
    <cfRule type="containsText" dxfId="3321" priority="9756" operator="containsText" text="BAJA">
      <formula>NOT(ISERROR(SEARCH("BAJA",F599)))</formula>
    </cfRule>
    <cfRule type="containsText" dxfId="3320" priority="9759" operator="containsText" text="INSTALACION">
      <formula>NOT(ISERROR(SEARCH("INSTALACION",F599)))</formula>
    </cfRule>
  </conditionalFormatting>
  <conditionalFormatting sqref="F599:F602 F604:F609 F628 F661:F667 F693:F703 F735">
    <cfRule type="containsText" dxfId="3319" priority="9757" operator="containsText" text="RE-INSTALACION">
      <formula>NOT(ISERROR(SEARCH("RE-INSTALACION",F599)))</formula>
    </cfRule>
    <cfRule type="containsText" dxfId="3318" priority="9758" operator="containsText" text="DES-INSTALACION">
      <formula>NOT(ISERROR(SEARCH("DES-INSTALACION",F599)))</formula>
    </cfRule>
  </conditionalFormatting>
  <conditionalFormatting sqref="F599:F602">
    <cfRule type="containsText" dxfId="3317" priority="9749" operator="containsText" text="RE-INSTALACION">
      <formula>NOT(ISERROR(SEARCH("RE-INSTALACION",F599)))</formula>
    </cfRule>
    <cfRule type="containsText" dxfId="3316" priority="9750" operator="containsText" text="DES-INSTALACION">
      <formula>NOT(ISERROR(SEARCH("DES-INSTALACION",F599)))</formula>
    </cfRule>
  </conditionalFormatting>
  <conditionalFormatting sqref="F603">
    <cfRule type="containsText" dxfId="3315" priority="9726" operator="containsText" text="REVISION">
      <formula>NOT(ISERROR(SEARCH("REVISION",F603)))</formula>
    </cfRule>
    <cfRule type="containsText" dxfId="3314" priority="9727" operator="containsText" text="ACTIVO ">
      <formula>NOT(ISERROR(SEARCH("ACTIVO ",F603)))</formula>
    </cfRule>
  </conditionalFormatting>
  <conditionalFormatting sqref="F604:F610">
    <cfRule type="containsText" dxfId="3313" priority="9721" operator="containsText" text="DES-INSTALACION">
      <formula>NOT(ISERROR(SEARCH("DES-INSTALACION",F604)))</formula>
    </cfRule>
    <cfRule type="containsText" dxfId="3312" priority="9720" operator="containsText" text="RE-INSTALACION">
      <formula>NOT(ISERROR(SEARCH("RE-INSTALACION",F604)))</formula>
    </cfRule>
  </conditionalFormatting>
  <conditionalFormatting sqref="F604:F1048576 S608 S1790:S1048576 F1:F602">
    <cfRule type="containsText" dxfId="3311" priority="9748" operator="containsText" text="VISITA EN FALSO">
      <formula>NOT(ISERROR(SEARCH("VISITA EN FALSO",F1)))</formula>
    </cfRule>
  </conditionalFormatting>
  <conditionalFormatting sqref="F610">
    <cfRule type="containsText" dxfId="3310" priority="9719" operator="containsText" text="BAJA">
      <formula>NOT(ISERROR(SEARCH("BAJA",F610)))</formula>
    </cfRule>
    <cfRule type="containsText" dxfId="3309" priority="9718" operator="containsText" text="REVISION">
      <formula>NOT(ISERROR(SEARCH("REVISION",F610)))</formula>
    </cfRule>
    <cfRule type="containsText" dxfId="3308" priority="9722" operator="containsText" text="INSTALACION">
      <formula>NOT(ISERROR(SEARCH("INSTALACION",F610)))</formula>
    </cfRule>
    <cfRule type="containsText" dxfId="3307" priority="9717" operator="containsText" text="MIGRACION">
      <formula>NOT(ISERROR(SEARCH("MIGRACION",F610)))</formula>
    </cfRule>
    <cfRule type="containsText" dxfId="3306" priority="9715" operator="containsText" text="instalacion">
      <formula>NOT(ISERROR(SEARCH("instalacion",F610)))</formula>
    </cfRule>
    <cfRule type="containsText" dxfId="3305" priority="9716" operator="containsText" text="REVISION">
      <formula>NOT(ISERROR(SEARCH("REVISION",F610)))</formula>
    </cfRule>
  </conditionalFormatting>
  <conditionalFormatting sqref="F610:F613">
    <cfRule type="containsText" dxfId="3304" priority="9702" operator="containsText" text="RE-INSTALACION">
      <formula>NOT(ISERROR(SEARCH("RE-INSTALACION",F610)))</formula>
    </cfRule>
    <cfRule type="containsText" dxfId="3303" priority="9703" operator="containsText" text="DES-INSTALACION">
      <formula>NOT(ISERROR(SEARCH("DES-INSTALACION",F610)))</formula>
    </cfRule>
  </conditionalFormatting>
  <conditionalFormatting sqref="F611:F613">
    <cfRule type="containsText" dxfId="3302" priority="9698" operator="containsText" text="REVISION">
      <formula>NOT(ISERROR(SEARCH("REVISION",F611)))</formula>
    </cfRule>
    <cfRule type="containsText" dxfId="3301" priority="9699" operator="containsText" text="MIGRACION">
      <formula>NOT(ISERROR(SEARCH("MIGRACION",F611)))</formula>
    </cfRule>
    <cfRule type="containsText" dxfId="3300" priority="9700" operator="containsText" text="REVISION">
      <formula>NOT(ISERROR(SEARCH("REVISION",F611)))</formula>
    </cfRule>
    <cfRule type="containsText" dxfId="3299" priority="9704" operator="containsText" text="INSTALACION">
      <formula>NOT(ISERROR(SEARCH("INSTALACION",F611)))</formula>
    </cfRule>
    <cfRule type="containsText" dxfId="3298" priority="9697" operator="containsText" text="instalacion">
      <formula>NOT(ISERROR(SEARCH("instalacion",F611)))</formula>
    </cfRule>
  </conditionalFormatting>
  <conditionalFormatting sqref="F611:F617">
    <cfRule type="containsText" dxfId="3297" priority="9670" operator="containsText" text="DES-INSTALACION">
      <formula>NOT(ISERROR(SEARCH("DES-INSTALACION",F611)))</formula>
    </cfRule>
    <cfRule type="containsText" dxfId="3296" priority="9669" operator="containsText" text="RE-INSTALACION">
      <formula>NOT(ISERROR(SEARCH("RE-INSTALACION",F611)))</formula>
    </cfRule>
  </conditionalFormatting>
  <conditionalFormatting sqref="F614">
    <cfRule type="containsText" dxfId="3295" priority="9667" operator="containsText" text="REVISION">
      <formula>NOT(ISERROR(SEARCH("REVISION",F614)))</formula>
    </cfRule>
    <cfRule type="containsText" dxfId="3294" priority="9671" operator="containsText" text="INSTALACION">
      <formula>NOT(ISERROR(SEARCH("INSTALACION",F614)))</formula>
    </cfRule>
    <cfRule type="containsText" dxfId="3293" priority="9661" operator="containsText" text="RE-INSTALACION">
      <formula>NOT(ISERROR(SEARCH("RE-INSTALACION",F614)))</formula>
    </cfRule>
    <cfRule type="containsText" dxfId="3292" priority="9662" operator="containsText" text="DES-INSTALACION">
      <formula>NOT(ISERROR(SEARCH("DES-INSTALACION",F614)))</formula>
    </cfRule>
    <cfRule type="containsText" dxfId="3291" priority="9664" operator="containsText" text="instalacion">
      <formula>NOT(ISERROR(SEARCH("instalacion",F614)))</formula>
    </cfRule>
    <cfRule type="containsText" dxfId="3290" priority="9665" operator="containsText" text="REVISION">
      <formula>NOT(ISERROR(SEARCH("REVISION",F614)))</formula>
    </cfRule>
    <cfRule type="containsText" dxfId="3289" priority="9666" operator="containsText" text="MIGRACION">
      <formula>NOT(ISERROR(SEARCH("MIGRACION",F614)))</formula>
    </cfRule>
  </conditionalFormatting>
  <conditionalFormatting sqref="F618">
    <cfRule type="containsText" dxfId="3288" priority="9644" operator="containsText" text="instalacion">
      <formula>NOT(ISERROR(SEARCH("instalacion",F618)))</formula>
    </cfRule>
    <cfRule type="containsText" dxfId="3287" priority="9645" operator="containsText" text="REVISION">
      <formula>NOT(ISERROR(SEARCH("REVISION",F618)))</formula>
    </cfRule>
    <cfRule type="containsText" dxfId="3286" priority="9646" operator="containsText" text="MIGRACION">
      <formula>NOT(ISERROR(SEARCH("MIGRACION",F618)))</formula>
    </cfRule>
    <cfRule type="containsText" dxfId="3285" priority="9647" operator="containsText" text="REVISION">
      <formula>NOT(ISERROR(SEARCH("REVISION",F618)))</formula>
    </cfRule>
    <cfRule type="containsText" dxfId="3284" priority="9648" operator="containsText" text="BAJA">
      <formula>NOT(ISERROR(SEARCH("BAJA",F618)))</formula>
    </cfRule>
    <cfRule type="containsText" dxfId="3283" priority="9649" operator="containsText" text="RE-INSTALACION">
      <formula>NOT(ISERROR(SEARCH("RE-INSTALACION",F618)))</formula>
    </cfRule>
    <cfRule type="containsText" dxfId="3282" priority="9650" operator="containsText" text="DES-INSTALACION">
      <formula>NOT(ISERROR(SEARCH("DES-INSTALACION",F618)))</formula>
    </cfRule>
    <cfRule type="containsText" dxfId="3281" priority="9651" operator="containsText" text="INSTALACION">
      <formula>NOT(ISERROR(SEARCH("INSTALACION",F618)))</formula>
    </cfRule>
  </conditionalFormatting>
  <conditionalFormatting sqref="F618:F619">
    <cfRule type="containsText" dxfId="3280" priority="9635" operator="containsText" text="RE-INSTALACION">
      <formula>NOT(ISERROR(SEARCH("RE-INSTALACION",F618)))</formula>
    </cfRule>
    <cfRule type="containsText" dxfId="3279" priority="9636" operator="containsText" text="DES-INSTALACION">
      <formula>NOT(ISERROR(SEARCH("DES-INSTALACION",F618)))</formula>
    </cfRule>
  </conditionalFormatting>
  <conditionalFormatting sqref="F619">
    <cfRule type="containsText" dxfId="3278" priority="9634" operator="containsText" text="BAJA">
      <formula>NOT(ISERROR(SEARCH("BAJA",F619)))</formula>
    </cfRule>
    <cfRule type="containsText" dxfId="3277" priority="9631" operator="containsText" text="REVISION">
      <formula>NOT(ISERROR(SEARCH("REVISION",F619)))</formula>
    </cfRule>
    <cfRule type="containsText" dxfId="3276" priority="9633" operator="containsText" text="REVISION">
      <formula>NOT(ISERROR(SEARCH("REVISION",F619)))</formula>
    </cfRule>
    <cfRule type="containsText" dxfId="3275" priority="9632" operator="containsText" text="MIGRACION">
      <formula>NOT(ISERROR(SEARCH("MIGRACION",F619)))</formula>
    </cfRule>
    <cfRule type="containsText" dxfId="3274" priority="9637" operator="containsText" text="INSTALACION">
      <formula>NOT(ISERROR(SEARCH("INSTALACION",F619)))</formula>
    </cfRule>
    <cfRule type="containsText" dxfId="3273" priority="9630" operator="containsText" text="instalacion">
      <formula>NOT(ISERROR(SEARCH("instalacion",F619)))</formula>
    </cfRule>
  </conditionalFormatting>
  <conditionalFormatting sqref="F619:F624">
    <cfRule type="containsText" dxfId="3272" priority="9619" operator="containsText" text="DES-INSTALACION">
      <formula>NOT(ISERROR(SEARCH("DES-INSTALACION",F619)))</formula>
    </cfRule>
    <cfRule type="containsText" dxfId="3271" priority="9618" operator="containsText" text="RE-INSTALACION">
      <formula>NOT(ISERROR(SEARCH("RE-INSTALACION",F619)))</formula>
    </cfRule>
  </conditionalFormatting>
  <conditionalFormatting sqref="F620:F624">
    <cfRule type="containsText" dxfId="3270" priority="9615" operator="containsText" text="MIGRACION">
      <formula>NOT(ISERROR(SEARCH("MIGRACION",F620)))</formula>
    </cfRule>
    <cfRule type="containsText" dxfId="3269" priority="9620" operator="containsText" text="INSTALACION">
      <formula>NOT(ISERROR(SEARCH("INSTALACION",F620)))</formula>
    </cfRule>
    <cfRule type="containsText" dxfId="3268" priority="9617" operator="containsText" text="BAJA">
      <formula>NOT(ISERROR(SEARCH("BAJA",F620)))</formula>
    </cfRule>
    <cfRule type="containsText" dxfId="3267" priority="9616" operator="containsText" text="REVISION">
      <formula>NOT(ISERROR(SEARCH("REVISION",F620)))</formula>
    </cfRule>
    <cfRule type="containsText" dxfId="3266" priority="9614" operator="containsText" text="REVISION">
      <formula>NOT(ISERROR(SEARCH("REVISION",F620)))</formula>
    </cfRule>
    <cfRule type="containsText" dxfId="3265" priority="9613" operator="containsText" text="instalacion">
      <formula>NOT(ISERROR(SEARCH("instalacion",F620)))</formula>
    </cfRule>
  </conditionalFormatting>
  <conditionalFormatting sqref="F620:F625">
    <cfRule type="containsText" dxfId="3264" priority="9600" operator="containsText" text="DES-INSTALACION">
      <formula>NOT(ISERROR(SEARCH("DES-INSTALACION",F620)))</formula>
    </cfRule>
    <cfRule type="containsText" dxfId="3263" priority="9599" operator="containsText" text="RE-INSTALACION">
      <formula>NOT(ISERROR(SEARCH("RE-INSTALACION",F620)))</formula>
    </cfRule>
  </conditionalFormatting>
  <conditionalFormatting sqref="F625">
    <cfRule type="containsText" dxfId="3262" priority="9598" operator="containsText" text="BAJA">
      <formula>NOT(ISERROR(SEARCH("BAJA",F625)))</formula>
    </cfRule>
    <cfRule type="containsText" dxfId="3261" priority="9597" operator="containsText" text="REVISION">
      <formula>NOT(ISERROR(SEARCH("REVISION",F625)))</formula>
    </cfRule>
    <cfRule type="containsText" dxfId="3260" priority="9596" operator="containsText" text="MIGRACION">
      <formula>NOT(ISERROR(SEARCH("MIGRACION",F625)))</formula>
    </cfRule>
    <cfRule type="containsText" dxfId="3259" priority="9595" operator="containsText" text="REVISION">
      <formula>NOT(ISERROR(SEARCH("REVISION",F625)))</formula>
    </cfRule>
    <cfRule type="containsText" dxfId="3258" priority="9594" operator="containsText" text="instalacion">
      <formula>NOT(ISERROR(SEARCH("instalacion",F625)))</formula>
    </cfRule>
    <cfRule type="containsText" dxfId="3257" priority="9601" operator="containsText" text="INSTALACION">
      <formula>NOT(ISERROR(SEARCH("INSTALACION",F625)))</formula>
    </cfRule>
  </conditionalFormatting>
  <conditionalFormatting sqref="F625:F627">
    <cfRule type="containsText" dxfId="3256" priority="9563" operator="containsText" text="DES-INSTALACION">
      <formula>NOT(ISERROR(SEARCH("DES-INSTALACION",F625)))</formula>
    </cfRule>
    <cfRule type="containsText" dxfId="3255" priority="9562" operator="containsText" text="RE-INSTALACION">
      <formula>NOT(ISERROR(SEARCH("RE-INSTALACION",F625)))</formula>
    </cfRule>
  </conditionalFormatting>
  <conditionalFormatting sqref="F626">
    <cfRule type="containsText" dxfId="3254" priority="9558" operator="containsText" text="REVISION">
      <formula>NOT(ISERROR(SEARCH("REVISION",F626)))</formula>
    </cfRule>
    <cfRule type="containsText" dxfId="3253" priority="9557" operator="containsText" text="instalacion">
      <formula>NOT(ISERROR(SEARCH("instalacion",F626)))</formula>
    </cfRule>
    <cfRule type="containsText" dxfId="3252" priority="9559" operator="containsText" text="MIGRACION">
      <formula>NOT(ISERROR(SEARCH("MIGRACION",F626)))</formula>
    </cfRule>
    <cfRule type="containsText" dxfId="3251" priority="9561" operator="containsText" text="BAJA">
      <formula>NOT(ISERROR(SEARCH("BAJA",F626)))</formula>
    </cfRule>
    <cfRule type="containsText" dxfId="3250" priority="9560" operator="containsText" text="REVISION">
      <formula>NOT(ISERROR(SEARCH("REVISION",F626)))</formula>
    </cfRule>
    <cfRule type="containsText" dxfId="3249" priority="9564" operator="containsText" text="INSTALACION">
      <formula>NOT(ISERROR(SEARCH("INSTALACION",F626)))</formula>
    </cfRule>
    <cfRule type="containsText" dxfId="3248" priority="9556" operator="containsText" text="DES-INSTALACION">
      <formula>NOT(ISERROR(SEARCH("DES-INSTALACION",F626)))</formula>
    </cfRule>
    <cfRule type="containsText" dxfId="3247" priority="9555" operator="containsText" text="RE-INSTALACION">
      <formula>NOT(ISERROR(SEARCH("RE-INSTALACION",F626)))</formula>
    </cfRule>
  </conditionalFormatting>
  <conditionalFormatting sqref="F627">
    <cfRule type="containsText" dxfId="3246" priority="9582" operator="containsText" text="REVISION">
      <formula>NOT(ISERROR(SEARCH("REVISION",F627)))</formula>
    </cfRule>
    <cfRule type="containsText" dxfId="3245" priority="9585" operator="containsText" text="BAJA">
      <formula>NOT(ISERROR(SEARCH("BAJA",F627)))</formula>
    </cfRule>
    <cfRule type="containsText" dxfId="3244" priority="9588" operator="containsText" text="INSTALACION">
      <formula>NOT(ISERROR(SEARCH("INSTALACION",F627)))</formula>
    </cfRule>
    <cfRule type="containsText" dxfId="3243" priority="9581" operator="containsText" text="instalacion">
      <formula>NOT(ISERROR(SEARCH("instalacion",F627)))</formula>
    </cfRule>
    <cfRule type="containsText" dxfId="3242" priority="9584" operator="containsText" text="REVISION">
      <formula>NOT(ISERROR(SEARCH("REVISION",F627)))</formula>
    </cfRule>
    <cfRule type="containsText" dxfId="3241" priority="9583" operator="containsText" text="MIGRACION">
      <formula>NOT(ISERROR(SEARCH("MIGRACION",F627)))</formula>
    </cfRule>
  </conditionalFormatting>
  <conditionalFormatting sqref="F627:F628">
    <cfRule type="containsText" dxfId="3240" priority="9586" operator="containsText" text="RE-INSTALACION">
      <formula>NOT(ISERROR(SEARCH("RE-INSTALACION",F627)))</formula>
    </cfRule>
    <cfRule type="containsText" dxfId="3239" priority="9587" operator="containsText" text="DES-INSTALACION">
      <formula>NOT(ISERROR(SEARCH("DES-INSTALACION",F627)))</formula>
    </cfRule>
  </conditionalFormatting>
  <conditionalFormatting sqref="F629">
    <cfRule type="containsText" dxfId="3238" priority="9543" operator="containsText" text="instalacion">
      <formula>NOT(ISERROR(SEARCH("instalacion",F629)))</formula>
    </cfRule>
    <cfRule type="containsText" dxfId="3237" priority="9544" operator="containsText" text="REVISION">
      <formula>NOT(ISERROR(SEARCH("REVISION",F629)))</formula>
    </cfRule>
    <cfRule type="containsText" dxfId="3236" priority="9545" operator="containsText" text="MIGRACION">
      <formula>NOT(ISERROR(SEARCH("MIGRACION",F629)))</formula>
    </cfRule>
    <cfRule type="containsText" dxfId="3235" priority="9548" operator="containsText" text="RE-INSTALACION">
      <formula>NOT(ISERROR(SEARCH("RE-INSTALACION",F629)))</formula>
    </cfRule>
    <cfRule type="containsText" dxfId="3234" priority="9550" operator="containsText" text="INSTALACION">
      <formula>NOT(ISERROR(SEARCH("INSTALACION",F629)))</formula>
    </cfRule>
    <cfRule type="containsText" dxfId="3233" priority="9549" operator="containsText" text="DES-INSTALACION">
      <formula>NOT(ISERROR(SEARCH("DES-INSTALACION",F629)))</formula>
    </cfRule>
    <cfRule type="containsText" dxfId="3232" priority="9547" operator="containsText" text="BAJA">
      <formula>NOT(ISERROR(SEARCH("BAJA",F629)))</formula>
    </cfRule>
    <cfRule type="containsText" dxfId="3231" priority="9546" operator="containsText" text="REVISION">
      <formula>NOT(ISERROR(SEARCH("REVISION",F629)))</formula>
    </cfRule>
  </conditionalFormatting>
  <conditionalFormatting sqref="F629:F631">
    <cfRule type="containsText" dxfId="3230" priority="9537" operator="containsText" text="RE-INSTALACION">
      <formula>NOT(ISERROR(SEARCH("RE-INSTALACION",F629)))</formula>
    </cfRule>
    <cfRule type="containsText" dxfId="3229" priority="9538" operator="containsText" text="DES-INSTALACION">
      <formula>NOT(ISERROR(SEARCH("DES-INSTALACION",F629)))</formula>
    </cfRule>
  </conditionalFormatting>
  <conditionalFormatting sqref="F630:F631">
    <cfRule type="containsText" dxfId="3228" priority="9536" operator="containsText" text="BAJA">
      <formula>NOT(ISERROR(SEARCH("BAJA",F630)))</formula>
    </cfRule>
    <cfRule type="containsText" dxfId="3227" priority="9539" operator="containsText" text="INSTALACION">
      <formula>NOT(ISERROR(SEARCH("INSTALACION",F630)))</formula>
    </cfRule>
    <cfRule type="containsText" dxfId="3226" priority="9534" operator="containsText" text="MIGRACION">
      <formula>NOT(ISERROR(SEARCH("MIGRACION",F630)))</formula>
    </cfRule>
    <cfRule type="containsText" dxfId="3225" priority="9532" operator="containsText" text="instalacion">
      <formula>NOT(ISERROR(SEARCH("instalacion",F630)))</formula>
    </cfRule>
    <cfRule type="containsText" dxfId="3224" priority="9533" operator="containsText" text="REVISION">
      <formula>NOT(ISERROR(SEARCH("REVISION",F630)))</formula>
    </cfRule>
    <cfRule type="containsText" dxfId="3223" priority="9535" operator="containsText" text="REVISION">
      <formula>NOT(ISERROR(SEARCH("REVISION",F630)))</formula>
    </cfRule>
  </conditionalFormatting>
  <conditionalFormatting sqref="F630:F667">
    <cfRule type="containsText" dxfId="3222" priority="8897" operator="containsText" text="RE-INSTALACION">
      <formula>NOT(ISERROR(SEARCH("RE-INSTALACION",F630)))</formula>
    </cfRule>
    <cfRule type="containsText" dxfId="3221" priority="8898" operator="containsText" text="DES-INSTALACION">
      <formula>NOT(ISERROR(SEARCH("DES-INSTALACION",F630)))</formula>
    </cfRule>
  </conditionalFormatting>
  <conditionalFormatting sqref="F632:F660">
    <cfRule type="containsText" dxfId="3220" priority="8894" operator="containsText" text="MIGRACION">
      <formula>NOT(ISERROR(SEARCH("MIGRACION",F632)))</formula>
    </cfRule>
    <cfRule type="containsText" dxfId="3219" priority="8895" operator="containsText" text="REVISION">
      <formula>NOT(ISERROR(SEARCH("REVISION",F632)))</formula>
    </cfRule>
    <cfRule type="containsText" dxfId="3218" priority="8899" operator="containsText" text="INSTALACION">
      <formula>NOT(ISERROR(SEARCH("INSTALACION",F632)))</formula>
    </cfRule>
    <cfRule type="containsText" dxfId="3217" priority="8896" operator="containsText" text="BAJA">
      <formula>NOT(ISERROR(SEARCH("BAJA",F632)))</formula>
    </cfRule>
    <cfRule type="containsText" dxfId="3216" priority="8890" operator="containsText" text="RE-INSTALACION">
      <formula>NOT(ISERROR(SEARCH("RE-INSTALACION",F632)))</formula>
    </cfRule>
    <cfRule type="containsText" dxfId="3215" priority="8893" operator="containsText" text="REVISION">
      <formula>NOT(ISERROR(SEARCH("REVISION",F632)))</formula>
    </cfRule>
    <cfRule type="containsText" dxfId="3214" priority="8892" operator="containsText" text="instalacion">
      <formula>NOT(ISERROR(SEARCH("instalacion",F632)))</formula>
    </cfRule>
    <cfRule type="containsText" dxfId="3213" priority="8891" operator="containsText" text="DES-INSTALACION">
      <formula>NOT(ISERROR(SEARCH("DES-INSTALACION",F632)))</formula>
    </cfRule>
  </conditionalFormatting>
  <conditionalFormatting sqref="F668">
    <cfRule type="containsText" dxfId="3212" priority="8600" operator="containsText" text="MIGRACION">
      <formula>NOT(ISERROR(SEARCH("MIGRACION",F668)))</formula>
    </cfRule>
    <cfRule type="containsText" dxfId="3211" priority="8601" operator="containsText" text="REVISION">
      <formula>NOT(ISERROR(SEARCH("REVISION",F668)))</formula>
    </cfRule>
    <cfRule type="containsText" dxfId="3210" priority="8602" operator="containsText" text="BAJA">
      <formula>NOT(ISERROR(SEARCH("BAJA",F668)))</formula>
    </cfRule>
    <cfRule type="containsText" dxfId="3209" priority="8603" operator="containsText" text="RE-INSTALACION">
      <formula>NOT(ISERROR(SEARCH("RE-INSTALACION",F668)))</formula>
    </cfRule>
    <cfRule type="containsText" dxfId="3208" priority="8604" operator="containsText" text="DES-INSTALACION">
      <formula>NOT(ISERROR(SEARCH("DES-INSTALACION",F668)))</formula>
    </cfRule>
    <cfRule type="containsText" dxfId="3207" priority="8605" operator="containsText" text="INSTALACION">
      <formula>NOT(ISERROR(SEARCH("INSTALACION",F668)))</formula>
    </cfRule>
    <cfRule type="containsText" dxfId="3206" priority="8598" operator="containsText" text="instalacion">
      <formula>NOT(ISERROR(SEARCH("instalacion",F668)))</formula>
    </cfRule>
    <cfRule type="containsText" dxfId="3205" priority="8599" operator="containsText" text="REVISION">
      <formula>NOT(ISERROR(SEARCH("REVISION",F668)))</formula>
    </cfRule>
  </conditionalFormatting>
  <conditionalFormatting sqref="F668:F669">
    <cfRule type="containsText" dxfId="3204" priority="8589" operator="containsText" text="DES-INSTALACION">
      <formula>NOT(ISERROR(SEARCH("DES-INSTALACION",F668)))</formula>
    </cfRule>
    <cfRule type="containsText" dxfId="3203" priority="8588" operator="containsText" text="RE-INSTALACION">
      <formula>NOT(ISERROR(SEARCH("RE-INSTALACION",F668)))</formula>
    </cfRule>
  </conditionalFormatting>
  <conditionalFormatting sqref="F669">
    <cfRule type="containsText" dxfId="3202" priority="8587" operator="containsText" text="BAJA">
      <formula>NOT(ISERROR(SEARCH("BAJA",F669)))</formula>
    </cfRule>
    <cfRule type="containsText" dxfId="3201" priority="8586" operator="containsText" text="REVISION">
      <formula>NOT(ISERROR(SEARCH("REVISION",F669)))</formula>
    </cfRule>
    <cfRule type="containsText" dxfId="3200" priority="8583" operator="containsText" text="instalacion">
      <formula>NOT(ISERROR(SEARCH("instalacion",F669)))</formula>
    </cfRule>
    <cfRule type="containsText" dxfId="3199" priority="8584" operator="containsText" text="REVISION">
      <formula>NOT(ISERROR(SEARCH("REVISION",F669)))</formula>
    </cfRule>
    <cfRule type="containsText" dxfId="3198" priority="8585" operator="containsText" text="MIGRACION">
      <formula>NOT(ISERROR(SEARCH("MIGRACION",F669)))</formula>
    </cfRule>
    <cfRule type="containsText" dxfId="3197" priority="8590" operator="containsText" text="INSTALACION">
      <formula>NOT(ISERROR(SEARCH("INSTALACION",F669)))</formula>
    </cfRule>
  </conditionalFormatting>
  <conditionalFormatting sqref="F669:F691">
    <cfRule type="containsText" dxfId="3196" priority="8567" operator="containsText" text="DES-INSTALACION">
      <formula>NOT(ISERROR(SEARCH("DES-INSTALACION",F669)))</formula>
    </cfRule>
    <cfRule type="containsText" dxfId="3195" priority="8566" operator="containsText" text="RE-INSTALACION">
      <formula>NOT(ISERROR(SEARCH("RE-INSTALACION",F669)))</formula>
    </cfRule>
  </conditionalFormatting>
  <conditionalFormatting sqref="F670:F691">
    <cfRule type="containsText" dxfId="3194" priority="8561" operator="containsText" text="instalacion">
      <formula>NOT(ISERROR(SEARCH("instalacion",F670)))</formula>
    </cfRule>
    <cfRule type="containsText" dxfId="3193" priority="8565" operator="containsText" text="BAJA">
      <formula>NOT(ISERROR(SEARCH("BAJA",F670)))</formula>
    </cfRule>
    <cfRule type="containsText" dxfId="3192" priority="8562" operator="containsText" text="REVISION">
      <formula>NOT(ISERROR(SEARCH("REVISION",F670)))</formula>
    </cfRule>
    <cfRule type="containsText" dxfId="3191" priority="8568" operator="containsText" text="INSTALACION">
      <formula>NOT(ISERROR(SEARCH("INSTALACION",F670)))</formula>
    </cfRule>
    <cfRule type="containsText" dxfId="3190" priority="8564" operator="containsText" text="REVISION">
      <formula>NOT(ISERROR(SEARCH("REVISION",F670)))</formula>
    </cfRule>
    <cfRule type="containsText" dxfId="3189" priority="8563" operator="containsText" text="MIGRACION">
      <formula>NOT(ISERROR(SEARCH("MIGRACION",F670)))</formula>
    </cfRule>
  </conditionalFormatting>
  <conditionalFormatting sqref="F670:F700">
    <cfRule type="containsText" dxfId="3188" priority="8471" operator="containsText" text="DES-INSTALACION">
      <formula>NOT(ISERROR(SEARCH("DES-INSTALACION",F670)))</formula>
    </cfRule>
    <cfRule type="containsText" dxfId="3187" priority="8470" operator="containsText" text="RE-INSTALACION">
      <formula>NOT(ISERROR(SEARCH("RE-INSTALACION",F670)))</formula>
    </cfRule>
  </conditionalFormatting>
  <conditionalFormatting sqref="F692">
    <cfRule type="containsText" dxfId="3186" priority="8468" operator="containsText" text="REVISION">
      <formula>NOT(ISERROR(SEARCH("REVISION",F692)))</formula>
    </cfRule>
    <cfRule type="containsText" dxfId="3185" priority="8466" operator="containsText" text="REVISION">
      <formula>NOT(ISERROR(SEARCH("REVISION",F692)))</formula>
    </cfRule>
    <cfRule type="containsText" dxfId="3184" priority="8464" operator="containsText" text="DES-INSTALACION">
      <formula>NOT(ISERROR(SEARCH("DES-INSTALACION",F692)))</formula>
    </cfRule>
    <cfRule type="containsText" dxfId="3183" priority="8465" operator="containsText" text="instalacion">
      <formula>NOT(ISERROR(SEARCH("instalacion",F692)))</formula>
    </cfRule>
    <cfRule type="containsText" dxfId="3182" priority="8467" operator="containsText" text="MIGRACION">
      <formula>NOT(ISERROR(SEARCH("MIGRACION",F692)))</formula>
    </cfRule>
    <cfRule type="containsText" dxfId="3181" priority="8463" operator="containsText" text="RE-INSTALACION">
      <formula>NOT(ISERROR(SEARCH("RE-INSTALACION",F692)))</formula>
    </cfRule>
    <cfRule type="containsText" dxfId="3180" priority="8469" operator="containsText" text="BAJA">
      <formula>NOT(ISERROR(SEARCH("BAJA",F692)))</formula>
    </cfRule>
    <cfRule type="containsText" dxfId="3179" priority="8472" operator="containsText" text="INSTALACION">
      <formula>NOT(ISERROR(SEARCH("INSTALACION",F692)))</formula>
    </cfRule>
  </conditionalFormatting>
  <conditionalFormatting sqref="F703:F705 F707 F729:F730">
    <cfRule type="containsText" dxfId="3178" priority="8412" operator="containsText" text="RE-INSTALACION">
      <formula>NOT(ISERROR(SEARCH("RE-INSTALACION",F703)))</formula>
    </cfRule>
    <cfRule type="containsText" dxfId="3177" priority="8413" operator="containsText" text="DES-INSTALACION">
      <formula>NOT(ISERROR(SEARCH("DES-INSTALACION",F703)))</formula>
    </cfRule>
  </conditionalFormatting>
  <conditionalFormatting sqref="F704:F705 F707 F729:F730">
    <cfRule type="containsText" dxfId="3176" priority="8407" operator="containsText" text="instalacion">
      <formula>NOT(ISERROR(SEARCH("instalacion",F704)))</formula>
    </cfRule>
    <cfRule type="containsText" dxfId="3175" priority="8408" operator="containsText" text="REVISION">
      <formula>NOT(ISERROR(SEARCH("REVISION",F704)))</formula>
    </cfRule>
    <cfRule type="containsText" dxfId="3174" priority="8409" operator="containsText" text="MIGRACION">
      <formula>NOT(ISERROR(SEARCH("MIGRACION",F704)))</formula>
    </cfRule>
    <cfRule type="containsText" dxfId="3173" priority="8410" operator="containsText" text="REVISION">
      <formula>NOT(ISERROR(SEARCH("REVISION",F704)))</formula>
    </cfRule>
    <cfRule type="containsText" dxfId="3172" priority="8411" operator="containsText" text="BAJA">
      <formula>NOT(ISERROR(SEARCH("BAJA",F704)))</formula>
    </cfRule>
    <cfRule type="containsText" dxfId="3171" priority="8414" operator="containsText" text="INSTALACION">
      <formula>NOT(ISERROR(SEARCH("INSTALACION",F704)))</formula>
    </cfRule>
  </conditionalFormatting>
  <conditionalFormatting sqref="F704:F707">
    <cfRule type="containsText" dxfId="3170" priority="8385" operator="containsText" text="DES-INSTALACION">
      <formula>NOT(ISERROR(SEARCH("DES-INSTALACION",F704)))</formula>
    </cfRule>
    <cfRule type="containsText" dxfId="3169" priority="8384" operator="containsText" text="RE-INSTALACION">
      <formula>NOT(ISERROR(SEARCH("RE-INSTALACION",F704)))</formula>
    </cfRule>
  </conditionalFormatting>
  <conditionalFormatting sqref="F706">
    <cfRule type="containsText" dxfId="3168" priority="8382" operator="containsText" text="REVISION">
      <formula>NOT(ISERROR(SEARCH("REVISION",F706)))</formula>
    </cfRule>
    <cfRule type="containsText" dxfId="3167" priority="8381" operator="containsText" text="MIGRACION">
      <formula>NOT(ISERROR(SEARCH("MIGRACION",F706)))</formula>
    </cfRule>
    <cfRule type="containsText" dxfId="3166" priority="8380" operator="containsText" text="REVISION">
      <formula>NOT(ISERROR(SEARCH("REVISION",F706)))</formula>
    </cfRule>
    <cfRule type="containsText" dxfId="3165" priority="8377" operator="containsText" text="DES-INSTALACION">
      <formula>NOT(ISERROR(SEARCH("DES-INSTALACION",F706)))</formula>
    </cfRule>
    <cfRule type="containsText" dxfId="3164" priority="8376" operator="containsText" text="RE-INSTALACION">
      <formula>NOT(ISERROR(SEARCH("RE-INSTALACION",F706)))</formula>
    </cfRule>
    <cfRule type="containsText" dxfId="3163" priority="8379" operator="containsText" text="instalacion">
      <formula>NOT(ISERROR(SEARCH("instalacion",F706)))</formula>
    </cfRule>
    <cfRule type="containsText" dxfId="3162" priority="8386" operator="containsText" text="INSTALACION">
      <formula>NOT(ISERROR(SEARCH("INSTALACION",F706)))</formula>
    </cfRule>
    <cfRule type="containsText" dxfId="3161" priority="8383" operator="containsText" text="BAJA">
      <formula>NOT(ISERROR(SEARCH("BAJA",F706)))</formula>
    </cfRule>
  </conditionalFormatting>
  <conditionalFormatting sqref="F708">
    <cfRule type="containsText" dxfId="3160" priority="8268" operator="containsText" text="instalacion">
      <formula>NOT(ISERROR(SEARCH("instalacion",F708)))</formula>
    </cfRule>
    <cfRule type="containsText" dxfId="3159" priority="8275" operator="containsText" text="INSTALACION">
      <formula>NOT(ISERROR(SEARCH("INSTALACION",F708)))</formula>
    </cfRule>
    <cfRule type="containsText" dxfId="3158" priority="8274" operator="containsText" text="DES-INSTALACION">
      <formula>NOT(ISERROR(SEARCH("DES-INSTALACION",F708)))</formula>
    </cfRule>
    <cfRule type="containsText" dxfId="3157" priority="8273" operator="containsText" text="RE-INSTALACION">
      <formula>NOT(ISERROR(SEARCH("RE-INSTALACION",F708)))</formula>
    </cfRule>
    <cfRule type="containsText" dxfId="3156" priority="8272" operator="containsText" text="BAJA">
      <formula>NOT(ISERROR(SEARCH("BAJA",F708)))</formula>
    </cfRule>
    <cfRule type="containsText" dxfId="3155" priority="8271" operator="containsText" text="REVISION">
      <formula>NOT(ISERROR(SEARCH("REVISION",F708)))</formula>
    </cfRule>
    <cfRule type="containsText" dxfId="3154" priority="8266" operator="containsText" text="RE-INSTALACION">
      <formula>NOT(ISERROR(SEARCH("RE-INSTALACION",F708)))</formula>
    </cfRule>
    <cfRule type="containsText" dxfId="3153" priority="8269" operator="containsText" text="REVISION">
      <formula>NOT(ISERROR(SEARCH("REVISION",F708)))</formula>
    </cfRule>
    <cfRule type="containsText" dxfId="3152" priority="8267" operator="containsText" text="DES-INSTALACION">
      <formula>NOT(ISERROR(SEARCH("DES-INSTALACION",F708)))</formula>
    </cfRule>
    <cfRule type="containsText" dxfId="3151" priority="8270" operator="containsText" text="MIGRACION">
      <formula>NOT(ISERROR(SEARCH("MIGRACION",F708)))</formula>
    </cfRule>
  </conditionalFormatting>
  <conditionalFormatting sqref="F709">
    <cfRule type="containsText" dxfId="3150" priority="8308" operator="containsText" text="BAJA">
      <formula>NOT(ISERROR(SEARCH("BAJA",F709)))</formula>
    </cfRule>
    <cfRule type="containsText" dxfId="3149" priority="8309" operator="containsText" text="RE-INSTALACION">
      <formula>NOT(ISERROR(SEARCH("RE-INSTALACION",F709)))</formula>
    </cfRule>
    <cfRule type="containsText" dxfId="3148" priority="8310" operator="containsText" text="DES-INSTALACION">
      <formula>NOT(ISERROR(SEARCH("DES-INSTALACION",F709)))</formula>
    </cfRule>
    <cfRule type="containsText" dxfId="3147" priority="8311" operator="containsText" text="INSTALACION">
      <formula>NOT(ISERROR(SEARCH("INSTALACION",F709)))</formula>
    </cfRule>
    <cfRule type="containsText" dxfId="3146" priority="8304" operator="containsText" text="instalacion">
      <formula>NOT(ISERROR(SEARCH("instalacion",F709)))</formula>
    </cfRule>
    <cfRule type="containsText" dxfId="3145" priority="8305" operator="containsText" text="REVISION">
      <formula>NOT(ISERROR(SEARCH("REVISION",F709)))</formula>
    </cfRule>
    <cfRule type="containsText" dxfId="3144" priority="8306" operator="containsText" text="MIGRACION">
      <formula>NOT(ISERROR(SEARCH("MIGRACION",F709)))</formula>
    </cfRule>
    <cfRule type="containsText" dxfId="3143" priority="8307" operator="containsText" text="REVISION">
      <formula>NOT(ISERROR(SEARCH("REVISION",F709)))</formula>
    </cfRule>
  </conditionalFormatting>
  <conditionalFormatting sqref="F709:F719">
    <cfRule type="containsText" dxfId="3142" priority="8299" operator="containsText" text="DES-INSTALACION">
      <formula>NOT(ISERROR(SEARCH("DES-INSTALACION",F709)))</formula>
    </cfRule>
    <cfRule type="containsText" dxfId="3141" priority="8298" operator="containsText" text="RE-INSTALACION">
      <formula>NOT(ISERROR(SEARCH("RE-INSTALACION",F709)))</formula>
    </cfRule>
  </conditionalFormatting>
  <conditionalFormatting sqref="F710:F719">
    <cfRule type="containsText" dxfId="3140" priority="8300" operator="containsText" text="INSTALACION">
      <formula>NOT(ISERROR(SEARCH("INSTALACION",F710)))</formula>
    </cfRule>
    <cfRule type="containsText" dxfId="3139" priority="8293" operator="containsText" text="instalacion">
      <formula>NOT(ISERROR(SEARCH("instalacion",F710)))</formula>
    </cfRule>
    <cfRule type="containsText" dxfId="3138" priority="8297" operator="containsText" text="BAJA">
      <formula>NOT(ISERROR(SEARCH("BAJA",F710)))</formula>
    </cfRule>
    <cfRule type="containsText" dxfId="3137" priority="8296" operator="containsText" text="REVISION">
      <formula>NOT(ISERROR(SEARCH("REVISION",F710)))</formula>
    </cfRule>
    <cfRule type="containsText" dxfId="3136" priority="8295" operator="containsText" text="MIGRACION">
      <formula>NOT(ISERROR(SEARCH("MIGRACION",F710)))</formula>
    </cfRule>
    <cfRule type="containsText" dxfId="3135" priority="8294" operator="containsText" text="REVISION">
      <formula>NOT(ISERROR(SEARCH("REVISION",F710)))</formula>
    </cfRule>
  </conditionalFormatting>
  <conditionalFormatting sqref="F710:F730">
    <cfRule type="containsText" dxfId="3134" priority="8174" operator="containsText" text="RE-INSTALACION">
      <formula>NOT(ISERROR(SEARCH("RE-INSTALACION",F710)))</formula>
    </cfRule>
    <cfRule type="containsText" dxfId="3133" priority="8175" operator="containsText" text="DES-INSTALACION">
      <formula>NOT(ISERROR(SEARCH("DES-INSTALACION",F710)))</formula>
    </cfRule>
  </conditionalFormatting>
  <conditionalFormatting sqref="F720:F728">
    <cfRule type="containsText" dxfId="3132" priority="8167" operator="containsText" text="RE-INSTALACION">
      <formula>NOT(ISERROR(SEARCH("RE-INSTALACION",F720)))</formula>
    </cfRule>
    <cfRule type="containsText" dxfId="3131" priority="8168" operator="containsText" text="DES-INSTALACION">
      <formula>NOT(ISERROR(SEARCH("DES-INSTALACION",F720)))</formula>
    </cfRule>
    <cfRule type="containsText" dxfId="3130" priority="8169" operator="containsText" text="instalacion">
      <formula>NOT(ISERROR(SEARCH("instalacion",F720)))</formula>
    </cfRule>
    <cfRule type="containsText" dxfId="3129" priority="8170" operator="containsText" text="REVISION">
      <formula>NOT(ISERROR(SEARCH("REVISION",F720)))</formula>
    </cfRule>
    <cfRule type="containsText" dxfId="3128" priority="8171" operator="containsText" text="MIGRACION">
      <formula>NOT(ISERROR(SEARCH("MIGRACION",F720)))</formula>
    </cfRule>
    <cfRule type="containsText" dxfId="3127" priority="8172" operator="containsText" text="REVISION">
      <formula>NOT(ISERROR(SEARCH("REVISION",F720)))</formula>
    </cfRule>
    <cfRule type="containsText" dxfId="3126" priority="8173" operator="containsText" text="BAJA">
      <formula>NOT(ISERROR(SEARCH("BAJA",F720)))</formula>
    </cfRule>
    <cfRule type="containsText" dxfId="3125" priority="8176" operator="containsText" text="INSTALACION">
      <formula>NOT(ISERROR(SEARCH("INSTALACION",F720)))</formula>
    </cfRule>
  </conditionalFormatting>
  <conditionalFormatting sqref="F731:F733">
    <cfRule type="containsText" dxfId="3124" priority="8039" operator="containsText" text="RE-INSTALACION">
      <formula>NOT(ISERROR(SEARCH("RE-INSTALACION",F731)))</formula>
    </cfRule>
    <cfRule type="containsText" dxfId="3123" priority="8034" operator="containsText" text="instalacion">
      <formula>NOT(ISERROR(SEARCH("instalacion",F731)))</formula>
    </cfRule>
    <cfRule type="containsText" dxfId="3122" priority="8035" operator="containsText" text="REVISION">
      <formula>NOT(ISERROR(SEARCH("REVISION",F731)))</formula>
    </cfRule>
    <cfRule type="containsText" dxfId="3121" priority="8036" operator="containsText" text="MIGRACION">
      <formula>NOT(ISERROR(SEARCH("MIGRACION",F731)))</formula>
    </cfRule>
    <cfRule type="containsText" dxfId="3120" priority="8037" operator="containsText" text="REVISION">
      <formula>NOT(ISERROR(SEARCH("REVISION",F731)))</formula>
    </cfRule>
    <cfRule type="containsText" dxfId="3119" priority="8038" operator="containsText" text="BAJA">
      <formula>NOT(ISERROR(SEARCH("BAJA",F731)))</formula>
    </cfRule>
    <cfRule type="containsText" dxfId="3118" priority="8040" operator="containsText" text="DES-INSTALACION">
      <formula>NOT(ISERROR(SEARCH("DES-INSTALACION",F731)))</formula>
    </cfRule>
    <cfRule type="containsText" dxfId="3117" priority="8041" operator="containsText" text="INSTALACION">
      <formula>NOT(ISERROR(SEARCH("INSTALACION",F731)))</formula>
    </cfRule>
  </conditionalFormatting>
  <conditionalFormatting sqref="F731:F735">
    <cfRule type="containsText" dxfId="3116" priority="8013" operator="containsText" text="DES-INSTALACION">
      <formula>NOT(ISERROR(SEARCH("DES-INSTALACION",F731)))</formula>
    </cfRule>
    <cfRule type="containsText" dxfId="3115" priority="8012" operator="containsText" text="RE-INSTALACION">
      <formula>NOT(ISERROR(SEARCH("RE-INSTALACION",F731)))</formula>
    </cfRule>
  </conditionalFormatting>
  <conditionalFormatting sqref="F734">
    <cfRule type="containsText" dxfId="3114" priority="8006" operator="containsText" text="DES-INSTALACION">
      <formula>NOT(ISERROR(SEARCH("DES-INSTALACION",F734)))</formula>
    </cfRule>
    <cfRule type="containsText" dxfId="3113" priority="8014" operator="containsText" text="INSTALACION">
      <formula>NOT(ISERROR(SEARCH("INSTALACION",F734)))</formula>
    </cfRule>
    <cfRule type="containsText" dxfId="3112" priority="8008" operator="containsText" text="REVISION">
      <formula>NOT(ISERROR(SEARCH("REVISION",F734)))</formula>
    </cfRule>
    <cfRule type="containsText" dxfId="3111" priority="8005" operator="containsText" text="RE-INSTALACION">
      <formula>NOT(ISERROR(SEARCH("RE-INSTALACION",F734)))</formula>
    </cfRule>
    <cfRule type="containsText" dxfId="3110" priority="8009" operator="containsText" text="MIGRACION">
      <formula>NOT(ISERROR(SEARCH("MIGRACION",F734)))</formula>
    </cfRule>
    <cfRule type="containsText" dxfId="3109" priority="8011" operator="containsText" text="BAJA">
      <formula>NOT(ISERROR(SEARCH("BAJA",F734)))</formula>
    </cfRule>
    <cfRule type="containsText" dxfId="3108" priority="8007" operator="containsText" text="instalacion">
      <formula>NOT(ISERROR(SEARCH("instalacion",F734)))</formula>
    </cfRule>
    <cfRule type="containsText" dxfId="3107" priority="8010" operator="containsText" text="REVISION">
      <formula>NOT(ISERROR(SEARCH("REVISION",F734)))</formula>
    </cfRule>
  </conditionalFormatting>
  <conditionalFormatting sqref="F736:F737">
    <cfRule type="containsText" dxfId="3106" priority="7986" operator="containsText" text="MIGRACION">
      <formula>NOT(ISERROR(SEARCH("MIGRACION",F736)))</formula>
    </cfRule>
    <cfRule type="containsText" dxfId="3105" priority="7987" operator="containsText" text="REVISION">
      <formula>NOT(ISERROR(SEARCH("REVISION",F736)))</formula>
    </cfRule>
    <cfRule type="containsText" dxfId="3104" priority="7989" operator="containsText" text="RE-INSTALACION">
      <formula>NOT(ISERROR(SEARCH("RE-INSTALACION",F736)))</formula>
    </cfRule>
    <cfRule type="containsText" dxfId="3103" priority="7990" operator="containsText" text="DES-INSTALACION">
      <formula>NOT(ISERROR(SEARCH("DES-INSTALACION",F736)))</formula>
    </cfRule>
    <cfRule type="containsText" dxfId="3102" priority="7991" operator="containsText" text="INSTALACION">
      <formula>NOT(ISERROR(SEARCH("INSTALACION",F736)))</formula>
    </cfRule>
    <cfRule type="containsText" dxfId="3101" priority="7984" operator="containsText" text="instalacion">
      <formula>NOT(ISERROR(SEARCH("instalacion",F736)))</formula>
    </cfRule>
    <cfRule type="containsText" dxfId="3100" priority="7988" operator="containsText" text="BAJA">
      <formula>NOT(ISERROR(SEARCH("BAJA",F736)))</formula>
    </cfRule>
    <cfRule type="containsText" dxfId="3099" priority="7985" operator="containsText" text="REVISION">
      <formula>NOT(ISERROR(SEARCH("REVISION",F736)))</formula>
    </cfRule>
  </conditionalFormatting>
  <conditionalFormatting sqref="F736:F740">
    <cfRule type="containsText" dxfId="3098" priority="7967" operator="containsText" text="DES-INSTALACION">
      <formula>NOT(ISERROR(SEARCH("DES-INSTALACION",F736)))</formula>
    </cfRule>
    <cfRule type="containsText" dxfId="3097" priority="7966" operator="containsText" text="RE-INSTALACION">
      <formula>NOT(ISERROR(SEARCH("RE-INSTALACION",F736)))</formula>
    </cfRule>
  </conditionalFormatting>
  <conditionalFormatting sqref="F738:F740">
    <cfRule type="containsText" dxfId="3096" priority="7964" operator="containsText" text="REVISION">
      <formula>NOT(ISERROR(SEARCH("REVISION",F738)))</formula>
    </cfRule>
    <cfRule type="containsText" dxfId="3095" priority="7963" operator="containsText" text="MIGRACION">
      <formula>NOT(ISERROR(SEARCH("MIGRACION",F738)))</formula>
    </cfRule>
    <cfRule type="containsText" dxfId="3094" priority="7962" operator="containsText" text="REVISION">
      <formula>NOT(ISERROR(SEARCH("REVISION",F738)))</formula>
    </cfRule>
    <cfRule type="containsText" dxfId="3093" priority="7961" operator="containsText" text="instalacion">
      <formula>NOT(ISERROR(SEARCH("instalacion",F738)))</formula>
    </cfRule>
    <cfRule type="containsText" dxfId="3092" priority="7965" operator="containsText" text="BAJA">
      <formula>NOT(ISERROR(SEARCH("BAJA",F738)))</formula>
    </cfRule>
    <cfRule type="containsText" dxfId="3091" priority="7968" operator="containsText" text="INSTALACION">
      <formula>NOT(ISERROR(SEARCH("INSTALACION",F738)))</formula>
    </cfRule>
  </conditionalFormatting>
  <conditionalFormatting sqref="F738:F744">
    <cfRule type="containsText" dxfId="3090" priority="7941" operator="containsText" text="RE-INSTALACION">
      <formula>NOT(ISERROR(SEARCH("RE-INSTALACION",F738)))</formula>
    </cfRule>
    <cfRule type="containsText" dxfId="3089" priority="7942" operator="containsText" text="DES-INSTALACION">
      <formula>NOT(ISERROR(SEARCH("DES-INSTALACION",F738)))</formula>
    </cfRule>
  </conditionalFormatting>
  <conditionalFormatting sqref="F741:F744">
    <cfRule type="containsText" dxfId="3088" priority="7943" operator="containsText" text="INSTALACION">
      <formula>NOT(ISERROR(SEARCH("INSTALACION",F741)))</formula>
    </cfRule>
    <cfRule type="containsText" dxfId="3087" priority="7936" operator="containsText" text="instalacion">
      <formula>NOT(ISERROR(SEARCH("instalacion",F741)))</formula>
    </cfRule>
    <cfRule type="containsText" dxfId="3086" priority="7938" operator="containsText" text="MIGRACION">
      <formula>NOT(ISERROR(SEARCH("MIGRACION",F741)))</formula>
    </cfRule>
    <cfRule type="containsText" dxfId="3085" priority="7939" operator="containsText" text="REVISION">
      <formula>NOT(ISERROR(SEARCH("REVISION",F741)))</formula>
    </cfRule>
    <cfRule type="containsText" dxfId="3084" priority="7940" operator="containsText" text="BAJA">
      <formula>NOT(ISERROR(SEARCH("BAJA",F741)))</formula>
    </cfRule>
    <cfRule type="containsText" dxfId="3083" priority="7937" operator="containsText" text="REVISION">
      <formula>NOT(ISERROR(SEARCH("REVISION",F741)))</formula>
    </cfRule>
  </conditionalFormatting>
  <conditionalFormatting sqref="F741:F746">
    <cfRule type="containsText" dxfId="3082" priority="7912" operator="containsText" text="DES-INSTALACION">
      <formula>NOT(ISERROR(SEARCH("DES-INSTALACION",F741)))</formula>
    </cfRule>
    <cfRule type="containsText" dxfId="3081" priority="7911" operator="containsText" text="RE-INSTALACION">
      <formula>NOT(ISERROR(SEARCH("RE-INSTALACION",F741)))</formula>
    </cfRule>
  </conditionalFormatting>
  <conditionalFormatting sqref="F745:F746">
    <cfRule type="containsText" dxfId="3080" priority="7909" operator="containsText" text="REVISION">
      <formula>NOT(ISERROR(SEARCH("REVISION",F745)))</formula>
    </cfRule>
    <cfRule type="containsText" dxfId="3079" priority="7910" operator="containsText" text="BAJA">
      <formula>NOT(ISERROR(SEARCH("BAJA",F745)))</formula>
    </cfRule>
    <cfRule type="containsText" dxfId="3078" priority="7908" operator="containsText" text="MIGRACION">
      <formula>NOT(ISERROR(SEARCH("MIGRACION",F745)))</formula>
    </cfRule>
    <cfRule type="containsText" dxfId="3077" priority="7907" operator="containsText" text="REVISION">
      <formula>NOT(ISERROR(SEARCH("REVISION",F745)))</formula>
    </cfRule>
    <cfRule type="containsText" dxfId="3076" priority="7913" operator="containsText" text="INSTALACION">
      <formula>NOT(ISERROR(SEARCH("INSTALACION",F745)))</formula>
    </cfRule>
    <cfRule type="containsText" dxfId="3075" priority="7906" operator="containsText" text="instalacion">
      <formula>NOT(ISERROR(SEARCH("instalacion",F745)))</formula>
    </cfRule>
  </conditionalFormatting>
  <conditionalFormatting sqref="F745:F749">
    <cfRule type="containsText" dxfId="3074" priority="7888" operator="containsText" text="DES-INSTALACION">
      <formula>NOT(ISERROR(SEARCH("DES-INSTALACION",F745)))</formula>
    </cfRule>
    <cfRule type="containsText" dxfId="3073" priority="7887" operator="containsText" text="RE-INSTALACION">
      <formula>NOT(ISERROR(SEARCH("RE-INSTALACION",F745)))</formula>
    </cfRule>
  </conditionalFormatting>
  <conditionalFormatting sqref="F747:F749">
    <cfRule type="containsText" dxfId="3072" priority="7882" operator="containsText" text="instalacion">
      <formula>NOT(ISERROR(SEARCH("instalacion",F747)))</formula>
    </cfRule>
    <cfRule type="containsText" dxfId="3071" priority="7883" operator="containsText" text="REVISION">
      <formula>NOT(ISERROR(SEARCH("REVISION",F747)))</formula>
    </cfRule>
    <cfRule type="containsText" dxfId="3070" priority="7884" operator="containsText" text="MIGRACION">
      <formula>NOT(ISERROR(SEARCH("MIGRACION",F747)))</formula>
    </cfRule>
    <cfRule type="containsText" dxfId="3069" priority="7885" operator="containsText" text="REVISION">
      <formula>NOT(ISERROR(SEARCH("REVISION",F747)))</formula>
    </cfRule>
    <cfRule type="containsText" dxfId="3068" priority="7886" operator="containsText" text="BAJA">
      <formula>NOT(ISERROR(SEARCH("BAJA",F747)))</formula>
    </cfRule>
    <cfRule type="containsText" dxfId="3067" priority="7889" operator="containsText" text="INSTALACION">
      <formula>NOT(ISERROR(SEARCH("INSTALACION",F747)))</formula>
    </cfRule>
  </conditionalFormatting>
  <conditionalFormatting sqref="F747:F750">
    <cfRule type="containsText" dxfId="3066" priority="7860" operator="containsText" text="DES-INSTALACION">
      <formula>NOT(ISERROR(SEARCH("DES-INSTALACION",F747)))</formula>
    </cfRule>
    <cfRule type="containsText" dxfId="3065" priority="7859" operator="containsText" text="RE-INSTALACION">
      <formula>NOT(ISERROR(SEARCH("RE-INSTALACION",F747)))</formula>
    </cfRule>
  </conditionalFormatting>
  <conditionalFormatting sqref="F750">
    <cfRule type="containsText" dxfId="3064" priority="7856" operator="containsText" text="MIGRACION">
      <formula>NOT(ISERROR(SEARCH("MIGRACION",F750)))</formula>
    </cfRule>
    <cfRule type="containsText" dxfId="3063" priority="7861" operator="containsText" text="INSTALACION">
      <formula>NOT(ISERROR(SEARCH("INSTALACION",F750)))</formula>
    </cfRule>
    <cfRule type="containsText" dxfId="3062" priority="7857" operator="containsText" text="REVISION">
      <formula>NOT(ISERROR(SEARCH("REVISION",F750)))</formula>
    </cfRule>
    <cfRule type="containsText" dxfId="3061" priority="7858" operator="containsText" text="BAJA">
      <formula>NOT(ISERROR(SEARCH("BAJA",F750)))</formula>
    </cfRule>
    <cfRule type="containsText" dxfId="3060" priority="7855" operator="containsText" text="REVISION">
      <formula>NOT(ISERROR(SEARCH("REVISION",F750)))</formula>
    </cfRule>
    <cfRule type="containsText" dxfId="3059" priority="7854" operator="containsText" text="instalacion">
      <formula>NOT(ISERROR(SEARCH("instalacion",F750)))</formula>
    </cfRule>
  </conditionalFormatting>
  <conditionalFormatting sqref="F750:F753">
    <cfRule type="containsText" dxfId="3058" priority="7837" operator="containsText" text="RE-INSTALACION">
      <formula>NOT(ISERROR(SEARCH("RE-INSTALACION",F750)))</formula>
    </cfRule>
    <cfRule type="containsText" dxfId="3057" priority="7838" operator="containsText" text="DES-INSTALACION">
      <formula>NOT(ISERROR(SEARCH("DES-INSTALACION",F750)))</formula>
    </cfRule>
  </conditionalFormatting>
  <conditionalFormatting sqref="F751:F753">
    <cfRule type="containsText" dxfId="3056" priority="7832" operator="containsText" text="instalacion">
      <formula>NOT(ISERROR(SEARCH("instalacion",F751)))</formula>
    </cfRule>
    <cfRule type="containsText" dxfId="3055" priority="7833" operator="containsText" text="REVISION">
      <formula>NOT(ISERROR(SEARCH("REVISION",F751)))</formula>
    </cfRule>
    <cfRule type="containsText" dxfId="3054" priority="7835" operator="containsText" text="REVISION">
      <formula>NOT(ISERROR(SEARCH("REVISION",F751)))</formula>
    </cfRule>
    <cfRule type="containsText" dxfId="3053" priority="7836" operator="containsText" text="BAJA">
      <formula>NOT(ISERROR(SEARCH("BAJA",F751)))</formula>
    </cfRule>
    <cfRule type="containsText" dxfId="3052" priority="7834" operator="containsText" text="MIGRACION">
      <formula>NOT(ISERROR(SEARCH("MIGRACION",F751)))</formula>
    </cfRule>
    <cfRule type="containsText" dxfId="3051" priority="7839" operator="containsText" text="INSTALACION">
      <formula>NOT(ISERROR(SEARCH("INSTALACION",F751)))</formula>
    </cfRule>
  </conditionalFormatting>
  <conditionalFormatting sqref="F751:F754">
    <cfRule type="containsText" dxfId="3050" priority="7788" operator="containsText" text="DES-INSTALACION">
      <formula>NOT(ISERROR(SEARCH("DES-INSTALACION",F751)))</formula>
    </cfRule>
    <cfRule type="containsText" dxfId="3049" priority="7787" operator="containsText" text="RE-INSTALACION">
      <formula>NOT(ISERROR(SEARCH("RE-INSTALACION",F751)))</formula>
    </cfRule>
  </conditionalFormatting>
  <conditionalFormatting sqref="F754">
    <cfRule type="containsText" dxfId="3048" priority="7789" operator="containsText" text="INSTALACION">
      <formula>NOT(ISERROR(SEARCH("INSTALACION",F754)))</formula>
    </cfRule>
    <cfRule type="containsText" dxfId="3047" priority="7785" operator="containsText" text="REVISION">
      <formula>NOT(ISERROR(SEARCH("REVISION",F754)))</formula>
    </cfRule>
    <cfRule type="containsText" dxfId="3046" priority="7784" operator="containsText" text="MIGRACION">
      <formula>NOT(ISERROR(SEARCH("MIGRACION",F754)))</formula>
    </cfRule>
    <cfRule type="containsText" dxfId="3045" priority="7783" operator="containsText" text="REVISION">
      <formula>NOT(ISERROR(SEARCH("REVISION",F754)))</formula>
    </cfRule>
    <cfRule type="containsText" dxfId="3044" priority="7782" operator="containsText" text="instalacion">
      <formula>NOT(ISERROR(SEARCH("instalacion",F754)))</formula>
    </cfRule>
    <cfRule type="containsText" dxfId="3043" priority="7786" operator="containsText" text="BAJA">
      <formula>NOT(ISERROR(SEARCH("BAJA",F754)))</formula>
    </cfRule>
  </conditionalFormatting>
  <conditionalFormatting sqref="F754:F755 F757:F763 F765">
    <cfRule type="containsText" dxfId="3042" priority="7763" operator="containsText" text="RE-INSTALACION">
      <formula>NOT(ISERROR(SEARCH("RE-INSTALACION",F754)))</formula>
    </cfRule>
    <cfRule type="containsText" dxfId="3041" priority="7764" operator="containsText" text="DES-INSTALACION">
      <formula>NOT(ISERROR(SEARCH("DES-INSTALACION",F754)))</formula>
    </cfRule>
  </conditionalFormatting>
  <conditionalFormatting sqref="F755 F757:F763 F765">
    <cfRule type="containsText" dxfId="3040" priority="7758" operator="containsText" text="instalacion">
      <formula>NOT(ISERROR(SEARCH("instalacion",F755)))</formula>
    </cfRule>
    <cfRule type="containsText" dxfId="3039" priority="7765" operator="containsText" text="INSTALACION">
      <formula>NOT(ISERROR(SEARCH("INSTALACION",F755)))</formula>
    </cfRule>
    <cfRule type="containsText" dxfId="3038" priority="7759" operator="containsText" text="REVISION">
      <formula>NOT(ISERROR(SEARCH("REVISION",F755)))</formula>
    </cfRule>
    <cfRule type="containsText" dxfId="3037" priority="7761" operator="containsText" text="REVISION">
      <formula>NOT(ISERROR(SEARCH("REVISION",F755)))</formula>
    </cfRule>
    <cfRule type="containsText" dxfId="3036" priority="7760" operator="containsText" text="MIGRACION">
      <formula>NOT(ISERROR(SEARCH("MIGRACION",F755)))</formula>
    </cfRule>
    <cfRule type="containsText" dxfId="3035" priority="7762" operator="containsText" text="BAJA">
      <formula>NOT(ISERROR(SEARCH("BAJA",F755)))</formula>
    </cfRule>
  </conditionalFormatting>
  <conditionalFormatting sqref="F755:F763">
    <cfRule type="containsText" dxfId="3034" priority="7748" operator="containsText" text="DES-INSTALACION">
      <formula>NOT(ISERROR(SEARCH("DES-INSTALACION",F755)))</formula>
    </cfRule>
    <cfRule type="containsText" dxfId="3033" priority="7747" operator="containsText" text="RE-INSTALACION">
      <formula>NOT(ISERROR(SEARCH("RE-INSTALACION",F755)))</formula>
    </cfRule>
  </conditionalFormatting>
  <conditionalFormatting sqref="F756">
    <cfRule type="containsText" dxfId="3032" priority="7741" operator="containsText" text="DES-INSTALACION">
      <formula>NOT(ISERROR(SEARCH("DES-INSTALACION",F756)))</formula>
    </cfRule>
    <cfRule type="containsText" dxfId="3031" priority="7749" operator="containsText" text="INSTALACION">
      <formula>NOT(ISERROR(SEARCH("INSTALACION",F756)))</formula>
    </cfRule>
    <cfRule type="containsText" dxfId="3030" priority="7743" operator="containsText" text="REVISION">
      <formula>NOT(ISERROR(SEARCH("REVISION",F756)))</formula>
    </cfRule>
    <cfRule type="containsText" dxfId="3029" priority="7740" operator="containsText" text="RE-INSTALACION">
      <formula>NOT(ISERROR(SEARCH("RE-INSTALACION",F756)))</formula>
    </cfRule>
    <cfRule type="containsText" dxfId="3028" priority="7746" operator="containsText" text="BAJA">
      <formula>NOT(ISERROR(SEARCH("BAJA",F756)))</formula>
    </cfRule>
    <cfRule type="containsText" dxfId="3027" priority="7744" operator="containsText" text="MIGRACION">
      <formula>NOT(ISERROR(SEARCH("MIGRACION",F756)))</formula>
    </cfRule>
    <cfRule type="containsText" dxfId="3026" priority="7742" operator="containsText" text="instalacion">
      <formula>NOT(ISERROR(SEARCH("instalacion",F756)))</formula>
    </cfRule>
    <cfRule type="containsText" dxfId="3025" priority="7745" operator="containsText" text="REVISION">
      <formula>NOT(ISERROR(SEARCH("REVISION",F756)))</formula>
    </cfRule>
  </conditionalFormatting>
  <conditionalFormatting sqref="F764">
    <cfRule type="containsText" dxfId="3024" priority="7706" operator="containsText" text="DES-INSTALACION">
      <formula>NOT(ISERROR(SEARCH("DES-INSTALACION",F764)))</formula>
    </cfRule>
    <cfRule type="containsText" dxfId="3023" priority="7705" operator="containsText" text="RE-INSTALACION">
      <formula>NOT(ISERROR(SEARCH("RE-INSTALACION",F764)))</formula>
    </cfRule>
    <cfRule type="containsText" dxfId="3022" priority="7707" operator="containsText" text="instalacion">
      <formula>NOT(ISERROR(SEARCH("instalacion",F764)))</formula>
    </cfRule>
    <cfRule type="containsText" dxfId="3021" priority="7708" operator="containsText" text="REVISION">
      <formula>NOT(ISERROR(SEARCH("REVISION",F764)))</formula>
    </cfRule>
    <cfRule type="containsText" dxfId="3020" priority="7709" operator="containsText" text="MIGRACION">
      <formula>NOT(ISERROR(SEARCH("MIGRACION",F764)))</formula>
    </cfRule>
    <cfRule type="containsText" dxfId="3019" priority="7710" operator="containsText" text="REVISION">
      <formula>NOT(ISERROR(SEARCH("REVISION",F764)))</formula>
    </cfRule>
    <cfRule type="containsText" dxfId="3018" priority="7711" operator="containsText" text="BAJA">
      <formula>NOT(ISERROR(SEARCH("BAJA",F764)))</formula>
    </cfRule>
    <cfRule type="containsText" dxfId="3017" priority="7714" operator="containsText" text="INSTALACION">
      <formula>NOT(ISERROR(SEARCH("INSTALACION",F764)))</formula>
    </cfRule>
  </conditionalFormatting>
  <conditionalFormatting sqref="F764:F765">
    <cfRule type="containsText" dxfId="3016" priority="7712" operator="containsText" text="RE-INSTALACION">
      <formula>NOT(ISERROR(SEARCH("RE-INSTALACION",F764)))</formula>
    </cfRule>
    <cfRule type="containsText" dxfId="3015" priority="7713" operator="containsText" text="DES-INSTALACION">
      <formula>NOT(ISERROR(SEARCH("DES-INSTALACION",F764)))</formula>
    </cfRule>
  </conditionalFormatting>
  <conditionalFormatting sqref="F766:F769">
    <cfRule type="containsText" dxfId="3014" priority="7683" operator="containsText" text="instalacion">
      <formula>NOT(ISERROR(SEARCH("instalacion",F766)))</formula>
    </cfRule>
    <cfRule type="containsText" dxfId="3013" priority="7684" operator="containsText" text="REVISION">
      <formula>NOT(ISERROR(SEARCH("REVISION",F766)))</formula>
    </cfRule>
    <cfRule type="containsText" dxfId="3012" priority="7685" operator="containsText" text="MIGRACION">
      <formula>NOT(ISERROR(SEARCH("MIGRACION",F766)))</formula>
    </cfRule>
    <cfRule type="containsText" dxfId="3011" priority="7686" operator="containsText" text="REVISION">
      <formula>NOT(ISERROR(SEARCH("REVISION",F766)))</formula>
    </cfRule>
    <cfRule type="containsText" dxfId="3010" priority="7687" operator="containsText" text="BAJA">
      <formula>NOT(ISERROR(SEARCH("BAJA",F766)))</formula>
    </cfRule>
    <cfRule type="containsText" dxfId="3009" priority="7688" operator="containsText" text="RE-INSTALACION">
      <formula>NOT(ISERROR(SEARCH("RE-INSTALACION",F766)))</formula>
    </cfRule>
    <cfRule type="containsText" dxfId="3008" priority="7689" operator="containsText" text="DES-INSTALACION">
      <formula>NOT(ISERROR(SEARCH("DES-INSTALACION",F766)))</formula>
    </cfRule>
    <cfRule type="containsText" dxfId="3007" priority="7690" operator="containsText" text="INSTALACION">
      <formula>NOT(ISERROR(SEARCH("INSTALACION",F766)))</formula>
    </cfRule>
  </conditionalFormatting>
  <conditionalFormatting sqref="F766:F775">
    <cfRule type="containsText" dxfId="3006" priority="7661" operator="containsText" text="DES-INSTALACION">
      <formula>NOT(ISERROR(SEARCH("DES-INSTALACION",F766)))</formula>
    </cfRule>
    <cfRule type="containsText" dxfId="3005" priority="7660" operator="containsText" text="RE-INSTALACION">
      <formula>NOT(ISERROR(SEARCH("RE-INSTALACION",F766)))</formula>
    </cfRule>
  </conditionalFormatting>
  <conditionalFormatting sqref="F770:F775">
    <cfRule type="containsText" dxfId="3004" priority="7658" operator="containsText" text="REVISION">
      <formula>NOT(ISERROR(SEARCH("REVISION",F770)))</formula>
    </cfRule>
    <cfRule type="containsText" dxfId="3003" priority="7657" operator="containsText" text="MIGRACION">
      <formula>NOT(ISERROR(SEARCH("MIGRACION",F770)))</formula>
    </cfRule>
    <cfRule type="containsText" dxfId="3002" priority="7659" operator="containsText" text="BAJA">
      <formula>NOT(ISERROR(SEARCH("BAJA",F770)))</formula>
    </cfRule>
    <cfRule type="containsText" dxfId="3001" priority="7655" operator="containsText" text="instalacion">
      <formula>NOT(ISERROR(SEARCH("instalacion",F770)))</formula>
    </cfRule>
    <cfRule type="containsText" dxfId="3000" priority="7656" operator="containsText" text="REVISION">
      <formula>NOT(ISERROR(SEARCH("REVISION",F770)))</formula>
    </cfRule>
    <cfRule type="containsText" dxfId="2999" priority="7662" operator="containsText" text="INSTALACION">
      <formula>NOT(ISERROR(SEARCH("INSTALACION",F770)))</formula>
    </cfRule>
  </conditionalFormatting>
  <conditionalFormatting sqref="F770:F777">
    <cfRule type="containsText" dxfId="2998" priority="7623" operator="containsText" text="RE-INSTALACION">
      <formula>NOT(ISERROR(SEARCH("RE-INSTALACION",F770)))</formula>
    </cfRule>
    <cfRule type="containsText" dxfId="2997" priority="7624" operator="containsText" text="DES-INSTALACION">
      <formula>NOT(ISERROR(SEARCH("DES-INSTALACION",F770)))</formula>
    </cfRule>
  </conditionalFormatting>
  <conditionalFormatting sqref="F776:F777">
    <cfRule type="containsText" dxfId="2996" priority="7618" operator="containsText" text="instalacion">
      <formula>NOT(ISERROR(SEARCH("instalacion",F776)))</formula>
    </cfRule>
    <cfRule type="containsText" dxfId="2995" priority="7621" operator="containsText" text="REVISION">
      <formula>NOT(ISERROR(SEARCH("REVISION",F776)))</formula>
    </cfRule>
    <cfRule type="containsText" dxfId="2994" priority="7620" operator="containsText" text="MIGRACION">
      <formula>NOT(ISERROR(SEARCH("MIGRACION",F776)))</formula>
    </cfRule>
    <cfRule type="containsText" dxfId="2993" priority="7625" operator="containsText" text="INSTALACION">
      <formula>NOT(ISERROR(SEARCH("INSTALACION",F776)))</formula>
    </cfRule>
    <cfRule type="containsText" dxfId="2992" priority="7619" operator="containsText" text="REVISION">
      <formula>NOT(ISERROR(SEARCH("REVISION",F776)))</formula>
    </cfRule>
    <cfRule type="containsText" dxfId="2991" priority="7622" operator="containsText" text="BAJA">
      <formula>NOT(ISERROR(SEARCH("BAJA",F776)))</formula>
    </cfRule>
  </conditionalFormatting>
  <conditionalFormatting sqref="F776:F780 F782">
    <cfRule type="containsText" dxfId="2990" priority="7610" operator="containsText" text="DES-INSTALACION">
      <formula>NOT(ISERROR(SEARCH("DES-INSTALACION",F776)))</formula>
    </cfRule>
    <cfRule type="containsText" dxfId="2989" priority="7609" operator="containsText" text="RE-INSTALACION">
      <formula>NOT(ISERROR(SEARCH("RE-INSTALACION",F776)))</formula>
    </cfRule>
  </conditionalFormatting>
  <conditionalFormatting sqref="F778:F780 F782">
    <cfRule type="containsText" dxfId="2988" priority="7611" operator="containsText" text="INSTALACION">
      <formula>NOT(ISERROR(SEARCH("INSTALACION",F778)))</formula>
    </cfRule>
    <cfRule type="containsText" dxfId="2987" priority="7608" operator="containsText" text="BAJA">
      <formula>NOT(ISERROR(SEARCH("BAJA",F778)))</formula>
    </cfRule>
    <cfRule type="containsText" dxfId="2986" priority="7607" operator="containsText" text="REVISION">
      <formula>NOT(ISERROR(SEARCH("REVISION",F778)))</formula>
    </cfRule>
    <cfRule type="containsText" dxfId="2985" priority="7606" operator="containsText" text="MIGRACION">
      <formula>NOT(ISERROR(SEARCH("MIGRACION",F778)))</formula>
    </cfRule>
    <cfRule type="containsText" dxfId="2984" priority="7605" operator="containsText" text="REVISION">
      <formula>NOT(ISERROR(SEARCH("REVISION",F778)))</formula>
    </cfRule>
    <cfRule type="containsText" dxfId="2983" priority="7604" operator="containsText" text="instalacion">
      <formula>NOT(ISERROR(SEARCH("instalacion",F778)))</formula>
    </cfRule>
  </conditionalFormatting>
  <conditionalFormatting sqref="F778:F782">
    <cfRule type="containsText" dxfId="2982" priority="7584" operator="containsText" text="DES-INSTALACION">
      <formula>NOT(ISERROR(SEARCH("DES-INSTALACION",F778)))</formula>
    </cfRule>
    <cfRule type="containsText" dxfId="2981" priority="7583" operator="containsText" text="RE-INSTALACION">
      <formula>NOT(ISERROR(SEARCH("RE-INSTALACION",F778)))</formula>
    </cfRule>
  </conditionalFormatting>
  <conditionalFormatting sqref="F781">
    <cfRule type="containsText" dxfId="2980" priority="7585" operator="containsText" text="INSTALACION">
      <formula>NOT(ISERROR(SEARCH("INSTALACION",F781)))</formula>
    </cfRule>
    <cfRule type="containsText" dxfId="2979" priority="7582" operator="containsText" text="BAJA">
      <formula>NOT(ISERROR(SEARCH("BAJA",F781)))</formula>
    </cfRule>
    <cfRule type="containsText" dxfId="2978" priority="7580" operator="containsText" text="MIGRACION">
      <formula>NOT(ISERROR(SEARCH("MIGRACION",F781)))</formula>
    </cfRule>
    <cfRule type="containsText" dxfId="2977" priority="7579" operator="containsText" text="REVISION">
      <formula>NOT(ISERROR(SEARCH("REVISION",F781)))</formula>
    </cfRule>
    <cfRule type="containsText" dxfId="2976" priority="7578" operator="containsText" text="instalacion">
      <formula>NOT(ISERROR(SEARCH("instalacion",F781)))</formula>
    </cfRule>
    <cfRule type="containsText" dxfId="2975" priority="7577" operator="containsText" text="DES-INSTALACION">
      <formula>NOT(ISERROR(SEARCH("DES-INSTALACION",F781)))</formula>
    </cfRule>
    <cfRule type="containsText" dxfId="2974" priority="7576" operator="containsText" text="RE-INSTALACION">
      <formula>NOT(ISERROR(SEARCH("RE-INSTALACION",F781)))</formula>
    </cfRule>
    <cfRule type="containsText" dxfId="2973" priority="7581" operator="containsText" text="REVISION">
      <formula>NOT(ISERROR(SEARCH("REVISION",F781)))</formula>
    </cfRule>
  </conditionalFormatting>
  <conditionalFormatting sqref="F783:F784">
    <cfRule type="containsText" dxfId="2972" priority="7556" operator="containsText" text="MIGRACION">
      <formula>NOT(ISERROR(SEARCH("MIGRACION",F783)))</formula>
    </cfRule>
    <cfRule type="containsText" dxfId="2971" priority="7555" operator="containsText" text="REVISION">
      <formula>NOT(ISERROR(SEARCH("REVISION",F783)))</formula>
    </cfRule>
    <cfRule type="containsText" dxfId="2970" priority="7554" operator="containsText" text="instalacion">
      <formula>NOT(ISERROR(SEARCH("instalacion",F783)))</formula>
    </cfRule>
    <cfRule type="containsText" dxfId="2969" priority="7558" operator="containsText" text="BAJA">
      <formula>NOT(ISERROR(SEARCH("BAJA",F783)))</formula>
    </cfRule>
    <cfRule type="containsText" dxfId="2968" priority="7561" operator="containsText" text="INSTALACION">
      <formula>NOT(ISERROR(SEARCH("INSTALACION",F783)))</formula>
    </cfRule>
    <cfRule type="containsText" dxfId="2967" priority="7560" operator="containsText" text="DES-INSTALACION">
      <formula>NOT(ISERROR(SEARCH("DES-INSTALACION",F783)))</formula>
    </cfRule>
    <cfRule type="containsText" dxfId="2966" priority="7559" operator="containsText" text="RE-INSTALACION">
      <formula>NOT(ISERROR(SEARCH("RE-INSTALACION",F783)))</formula>
    </cfRule>
    <cfRule type="containsText" dxfId="2965" priority="7557" operator="containsText" text="REVISION">
      <formula>NOT(ISERROR(SEARCH("REVISION",F783)))</formula>
    </cfRule>
  </conditionalFormatting>
  <conditionalFormatting sqref="F783:F786">
    <cfRule type="containsText" dxfId="2964" priority="7535" operator="containsText" text="RE-INSTALACION">
      <formula>NOT(ISERROR(SEARCH("RE-INSTALACION",F783)))</formula>
    </cfRule>
    <cfRule type="containsText" dxfId="2963" priority="7536" operator="containsText" text="DES-INSTALACION">
      <formula>NOT(ISERROR(SEARCH("DES-INSTALACION",F783)))</formula>
    </cfRule>
  </conditionalFormatting>
  <conditionalFormatting sqref="F785:F786">
    <cfRule type="containsText" dxfId="2962" priority="7532" operator="containsText" text="MIGRACION">
      <formula>NOT(ISERROR(SEARCH("MIGRACION",F785)))</formula>
    </cfRule>
    <cfRule type="containsText" dxfId="2961" priority="7537" operator="containsText" text="INSTALACION">
      <formula>NOT(ISERROR(SEARCH("INSTALACION",F785)))</formula>
    </cfRule>
    <cfRule type="containsText" dxfId="2960" priority="7531" operator="containsText" text="REVISION">
      <formula>NOT(ISERROR(SEARCH("REVISION",F785)))</formula>
    </cfRule>
    <cfRule type="containsText" dxfId="2959" priority="7534" operator="containsText" text="BAJA">
      <formula>NOT(ISERROR(SEARCH("BAJA",F785)))</formula>
    </cfRule>
    <cfRule type="containsText" dxfId="2958" priority="7533" operator="containsText" text="REVISION">
      <formula>NOT(ISERROR(SEARCH("REVISION",F785)))</formula>
    </cfRule>
    <cfRule type="containsText" dxfId="2957" priority="7530" operator="containsText" text="instalacion">
      <formula>NOT(ISERROR(SEARCH("instalacion",F785)))</formula>
    </cfRule>
  </conditionalFormatting>
  <conditionalFormatting sqref="F785:F789">
    <cfRule type="containsText" dxfId="2956" priority="7512" operator="containsText" text="DES-INSTALACION">
      <formula>NOT(ISERROR(SEARCH("DES-INSTALACION",F785)))</formula>
    </cfRule>
    <cfRule type="containsText" dxfId="2955" priority="7511" operator="containsText" text="RE-INSTALACION">
      <formula>NOT(ISERROR(SEARCH("RE-INSTALACION",F785)))</formula>
    </cfRule>
  </conditionalFormatting>
  <conditionalFormatting sqref="F787:F789">
    <cfRule type="containsText" dxfId="2954" priority="7510" operator="containsText" text="BAJA">
      <formula>NOT(ISERROR(SEARCH("BAJA",F787)))</formula>
    </cfRule>
    <cfRule type="containsText" dxfId="2953" priority="7509" operator="containsText" text="REVISION">
      <formula>NOT(ISERROR(SEARCH("REVISION",F787)))</formula>
    </cfRule>
    <cfRule type="containsText" dxfId="2952" priority="7508" operator="containsText" text="MIGRACION">
      <formula>NOT(ISERROR(SEARCH("MIGRACION",F787)))</formula>
    </cfRule>
    <cfRule type="containsText" dxfId="2951" priority="7507" operator="containsText" text="REVISION">
      <formula>NOT(ISERROR(SEARCH("REVISION",F787)))</formula>
    </cfRule>
    <cfRule type="containsText" dxfId="2950" priority="7506" operator="containsText" text="instalacion">
      <formula>NOT(ISERROR(SEARCH("instalacion",F787)))</formula>
    </cfRule>
    <cfRule type="containsText" dxfId="2949" priority="7513" operator="containsText" text="INSTALACION">
      <formula>NOT(ISERROR(SEARCH("INSTALACION",F787)))</formula>
    </cfRule>
  </conditionalFormatting>
  <conditionalFormatting sqref="F787:F801">
    <cfRule type="containsText" dxfId="2948" priority="7482" operator="containsText" text="DES-INSTALACION">
      <formula>NOT(ISERROR(SEARCH("DES-INSTALACION",F787)))</formula>
    </cfRule>
    <cfRule type="containsText" dxfId="2947" priority="7481" operator="containsText" text="RE-INSTALACION">
      <formula>NOT(ISERROR(SEARCH("RE-INSTALACION",F787)))</formula>
    </cfRule>
  </conditionalFormatting>
  <conditionalFormatting sqref="F790:F801">
    <cfRule type="containsText" dxfId="2946" priority="7483" operator="containsText" text="INSTALACION">
      <formula>NOT(ISERROR(SEARCH("INSTALACION",F790)))</formula>
    </cfRule>
    <cfRule type="containsText" dxfId="2945" priority="7480" operator="containsText" text="BAJA">
      <formula>NOT(ISERROR(SEARCH("BAJA",F790)))</formula>
    </cfRule>
    <cfRule type="containsText" dxfId="2944" priority="7479" operator="containsText" text="REVISION">
      <formula>NOT(ISERROR(SEARCH("REVISION",F790)))</formula>
    </cfRule>
    <cfRule type="containsText" dxfId="2943" priority="7478" operator="containsText" text="MIGRACION">
      <formula>NOT(ISERROR(SEARCH("MIGRACION",F790)))</formula>
    </cfRule>
    <cfRule type="containsText" dxfId="2942" priority="7476" operator="containsText" text="instalacion">
      <formula>NOT(ISERROR(SEARCH("instalacion",F790)))</formula>
    </cfRule>
    <cfRule type="containsText" dxfId="2941" priority="7477" operator="containsText" text="REVISION">
      <formula>NOT(ISERROR(SEARCH("REVISION",F790)))</formula>
    </cfRule>
  </conditionalFormatting>
  <conditionalFormatting sqref="F790:F804">
    <cfRule type="containsText" dxfId="2940" priority="7442" operator="containsText" text="DES-INSTALACION">
      <formula>NOT(ISERROR(SEARCH("DES-INSTALACION",F790)))</formula>
    </cfRule>
    <cfRule type="containsText" dxfId="2939" priority="7441" operator="containsText" text="RE-INSTALACION">
      <formula>NOT(ISERROR(SEARCH("RE-INSTALACION",F790)))</formula>
    </cfRule>
  </conditionalFormatting>
  <conditionalFormatting sqref="F802:F804">
    <cfRule type="containsText" dxfId="2938" priority="7440" operator="containsText" text="BAJA">
      <formula>NOT(ISERROR(SEARCH("BAJA",F802)))</formula>
    </cfRule>
    <cfRule type="containsText" dxfId="2937" priority="7439" operator="containsText" text="REVISION">
      <formula>NOT(ISERROR(SEARCH("REVISION",F802)))</formula>
    </cfRule>
    <cfRule type="containsText" dxfId="2936" priority="7443" operator="containsText" text="INSTALACION">
      <formula>NOT(ISERROR(SEARCH("INSTALACION",F802)))</formula>
    </cfRule>
    <cfRule type="containsText" dxfId="2935" priority="7438" operator="containsText" text="MIGRACION">
      <formula>NOT(ISERROR(SEARCH("MIGRACION",F802)))</formula>
    </cfRule>
    <cfRule type="containsText" dxfId="2934" priority="7437" operator="containsText" text="REVISION">
      <formula>NOT(ISERROR(SEARCH("REVISION",F802)))</formula>
    </cfRule>
    <cfRule type="containsText" dxfId="2933" priority="7436" operator="containsText" text="instalacion">
      <formula>NOT(ISERROR(SEARCH("instalacion",F802)))</formula>
    </cfRule>
  </conditionalFormatting>
  <conditionalFormatting sqref="F802:F812">
    <cfRule type="containsText" dxfId="2932" priority="7414" operator="containsText" text="DES-INSTALACION">
      <formula>NOT(ISERROR(SEARCH("DES-INSTALACION",F802)))</formula>
    </cfRule>
    <cfRule type="containsText" dxfId="2931" priority="7413" operator="containsText" text="RE-INSTALACION">
      <formula>NOT(ISERROR(SEARCH("RE-INSTALACION",F802)))</formula>
    </cfRule>
  </conditionalFormatting>
  <conditionalFormatting sqref="F805:F807">
    <cfRule type="containsText" dxfId="2930" priority="7415" operator="containsText" text="INSTALACION">
      <formula>NOT(ISERROR(SEARCH("INSTALACION",F805)))</formula>
    </cfRule>
    <cfRule type="containsText" dxfId="2929" priority="7411" operator="containsText" text="REVISION">
      <formula>NOT(ISERROR(SEARCH("REVISION",F805)))</formula>
    </cfRule>
    <cfRule type="containsText" dxfId="2928" priority="7410" operator="containsText" text="MIGRACION">
      <formula>NOT(ISERROR(SEARCH("MIGRACION",F805)))</formula>
    </cfRule>
    <cfRule type="containsText" dxfId="2927" priority="7409" operator="containsText" text="REVISION">
      <formula>NOT(ISERROR(SEARCH("REVISION",F805)))</formula>
    </cfRule>
    <cfRule type="containsText" dxfId="2926" priority="7408" operator="containsText" text="instalacion">
      <formula>NOT(ISERROR(SEARCH("instalacion",F805)))</formula>
    </cfRule>
    <cfRule type="containsText" dxfId="2925" priority="7412" operator="containsText" text="BAJA">
      <formula>NOT(ISERROR(SEARCH("BAJA",F805)))</formula>
    </cfRule>
    <cfRule type="containsText" dxfId="2924" priority="7406" operator="containsText" text="RE-INSTALACION">
      <formula>NOT(ISERROR(SEARCH("RE-INSTALACION",F805)))</formula>
    </cfRule>
    <cfRule type="containsText" dxfId="2923" priority="7407" operator="containsText" text="DES-INSTALACION">
      <formula>NOT(ISERROR(SEARCH("DES-INSTALACION",F805)))</formula>
    </cfRule>
  </conditionalFormatting>
  <conditionalFormatting sqref="F813">
    <cfRule type="containsText" dxfId="2922" priority="7360" operator="containsText" text="BAJA">
      <formula>NOT(ISERROR(SEARCH("BAJA",F813)))</formula>
    </cfRule>
    <cfRule type="containsText" dxfId="2921" priority="7361" operator="containsText" text="RE-INSTALACION">
      <formula>NOT(ISERROR(SEARCH("RE-INSTALACION",F813)))</formula>
    </cfRule>
    <cfRule type="containsText" dxfId="2920" priority="7362" operator="containsText" text="DES-INSTALACION">
      <formula>NOT(ISERROR(SEARCH("DES-INSTALACION",F813)))</formula>
    </cfRule>
    <cfRule type="containsText" dxfId="2919" priority="7363" operator="containsText" text="INSTALACION">
      <formula>NOT(ISERROR(SEARCH("INSTALACION",F813)))</formula>
    </cfRule>
    <cfRule type="containsText" dxfId="2918" priority="7356" operator="containsText" text="instalacion">
      <formula>NOT(ISERROR(SEARCH("instalacion",F813)))</formula>
    </cfRule>
    <cfRule type="containsText" dxfId="2917" priority="7357" operator="containsText" text="REVISION">
      <formula>NOT(ISERROR(SEARCH("REVISION",F813)))</formula>
    </cfRule>
    <cfRule type="containsText" dxfId="2916" priority="7358" operator="containsText" text="MIGRACION">
      <formula>NOT(ISERROR(SEARCH("MIGRACION",F813)))</formula>
    </cfRule>
    <cfRule type="containsText" dxfId="2915" priority="7359" operator="containsText" text="REVISION">
      <formula>NOT(ISERROR(SEARCH("REVISION",F813)))</formula>
    </cfRule>
  </conditionalFormatting>
  <conditionalFormatting sqref="F813:F814 F820:F830">
    <cfRule type="containsText" dxfId="2914" priority="7340" operator="containsText" text="RE-INSTALACION">
      <formula>NOT(ISERROR(SEARCH("RE-INSTALACION",F813)))</formula>
    </cfRule>
    <cfRule type="containsText" dxfId="2913" priority="7341" operator="containsText" text="DES-INSTALACION">
      <formula>NOT(ISERROR(SEARCH("DES-INSTALACION",F813)))</formula>
    </cfRule>
  </conditionalFormatting>
  <conditionalFormatting sqref="F814 F820:F830">
    <cfRule type="containsText" dxfId="2912" priority="7338" operator="containsText" text="REVISION">
      <formula>NOT(ISERROR(SEARCH("REVISION",F814)))</formula>
    </cfRule>
    <cfRule type="containsText" dxfId="2911" priority="7337" operator="containsText" text="MIGRACION">
      <formula>NOT(ISERROR(SEARCH("MIGRACION",F814)))</formula>
    </cfRule>
    <cfRule type="containsText" dxfId="2910" priority="7336" operator="containsText" text="REVISION">
      <formula>NOT(ISERROR(SEARCH("REVISION",F814)))</formula>
    </cfRule>
    <cfRule type="containsText" dxfId="2909" priority="7335" operator="containsText" text="instalacion">
      <formula>NOT(ISERROR(SEARCH("instalacion",F814)))</formula>
    </cfRule>
    <cfRule type="containsText" dxfId="2908" priority="7342" operator="containsText" text="INSTALACION">
      <formula>NOT(ISERROR(SEARCH("INSTALACION",F814)))</formula>
    </cfRule>
    <cfRule type="containsText" dxfId="2907" priority="7339" operator="containsText" text="BAJA">
      <formula>NOT(ISERROR(SEARCH("BAJA",F814)))</formula>
    </cfRule>
  </conditionalFormatting>
  <conditionalFormatting sqref="F814:F815">
    <cfRule type="containsText" dxfId="2906" priority="7318" operator="containsText" text="DES-INSTALACION">
      <formula>NOT(ISERROR(SEARCH("DES-INSTALACION",F814)))</formula>
    </cfRule>
    <cfRule type="containsText" dxfId="2905" priority="7317" operator="containsText" text="RE-INSTALACION">
      <formula>NOT(ISERROR(SEARCH("RE-INSTALACION",F814)))</formula>
    </cfRule>
  </conditionalFormatting>
  <conditionalFormatting sqref="F815">
    <cfRule type="containsText" dxfId="2904" priority="7315" operator="containsText" text="REVISION">
      <formula>NOT(ISERROR(SEARCH("REVISION",F815)))</formula>
    </cfRule>
    <cfRule type="containsText" dxfId="2903" priority="7314" operator="containsText" text="MIGRACION">
      <formula>NOT(ISERROR(SEARCH("MIGRACION",F815)))</formula>
    </cfRule>
    <cfRule type="containsText" dxfId="2902" priority="7313" operator="containsText" text="REVISION">
      <formula>NOT(ISERROR(SEARCH("REVISION",F815)))</formula>
    </cfRule>
    <cfRule type="containsText" dxfId="2901" priority="7312" operator="containsText" text="instalacion">
      <formula>NOT(ISERROR(SEARCH("instalacion",F815)))</formula>
    </cfRule>
    <cfRule type="containsText" dxfId="2900" priority="7319" operator="containsText" text="INSTALACION">
      <formula>NOT(ISERROR(SEARCH("INSTALACION",F815)))</formula>
    </cfRule>
    <cfRule type="containsText" dxfId="2899" priority="7316" operator="containsText" text="BAJA">
      <formula>NOT(ISERROR(SEARCH("BAJA",F815)))</formula>
    </cfRule>
  </conditionalFormatting>
  <conditionalFormatting sqref="F815:F816">
    <cfRule type="containsText" dxfId="2898" priority="7294" operator="containsText" text="RE-INSTALACION">
      <formula>NOT(ISERROR(SEARCH("RE-INSTALACION",F815)))</formula>
    </cfRule>
    <cfRule type="containsText" dxfId="2897" priority="7295" operator="containsText" text="DES-INSTALACION">
      <formula>NOT(ISERROR(SEARCH("DES-INSTALACION",F815)))</formula>
    </cfRule>
  </conditionalFormatting>
  <conditionalFormatting sqref="F816">
    <cfRule type="containsText" dxfId="2896" priority="7290" operator="containsText" text="REVISION">
      <formula>NOT(ISERROR(SEARCH("REVISION",F816)))</formula>
    </cfRule>
    <cfRule type="containsText" dxfId="2895" priority="7291" operator="containsText" text="MIGRACION">
      <formula>NOT(ISERROR(SEARCH("MIGRACION",F816)))</formula>
    </cfRule>
    <cfRule type="containsText" dxfId="2894" priority="7293" operator="containsText" text="BAJA">
      <formula>NOT(ISERROR(SEARCH("BAJA",F816)))</formula>
    </cfRule>
    <cfRule type="containsText" dxfId="2893" priority="7292" operator="containsText" text="REVISION">
      <formula>NOT(ISERROR(SEARCH("REVISION",F816)))</formula>
    </cfRule>
    <cfRule type="containsText" dxfId="2892" priority="7296" operator="containsText" text="INSTALACION">
      <formula>NOT(ISERROR(SEARCH("INSTALACION",F816)))</formula>
    </cfRule>
    <cfRule type="containsText" dxfId="2891" priority="7289" operator="containsText" text="instalacion">
      <formula>NOT(ISERROR(SEARCH("instalacion",F816)))</formula>
    </cfRule>
  </conditionalFormatting>
  <conditionalFormatting sqref="F816:F817">
    <cfRule type="containsText" dxfId="2890" priority="7271" operator="containsText" text="RE-INSTALACION">
      <formula>NOT(ISERROR(SEARCH("RE-INSTALACION",F816)))</formula>
    </cfRule>
    <cfRule type="containsText" dxfId="2889" priority="7272" operator="containsText" text="DES-INSTALACION">
      <formula>NOT(ISERROR(SEARCH("DES-INSTALACION",F816)))</formula>
    </cfRule>
  </conditionalFormatting>
  <conditionalFormatting sqref="F817">
    <cfRule type="containsText" dxfId="2888" priority="7269" operator="containsText" text="REVISION">
      <formula>NOT(ISERROR(SEARCH("REVISION",F817)))</formula>
    </cfRule>
    <cfRule type="containsText" dxfId="2887" priority="7268" operator="containsText" text="MIGRACION">
      <formula>NOT(ISERROR(SEARCH("MIGRACION",F817)))</formula>
    </cfRule>
    <cfRule type="containsText" dxfId="2886" priority="7267" operator="containsText" text="REVISION">
      <formula>NOT(ISERROR(SEARCH("REVISION",F817)))</formula>
    </cfRule>
    <cfRule type="containsText" dxfId="2885" priority="7266" operator="containsText" text="instalacion">
      <formula>NOT(ISERROR(SEARCH("instalacion",F817)))</formula>
    </cfRule>
    <cfRule type="containsText" dxfId="2884" priority="7270" operator="containsText" text="BAJA">
      <formula>NOT(ISERROR(SEARCH("BAJA",F817)))</formula>
    </cfRule>
    <cfRule type="containsText" dxfId="2883" priority="7273" operator="containsText" text="INSTALACION">
      <formula>NOT(ISERROR(SEARCH("INSTALACION",F817)))</formula>
    </cfRule>
  </conditionalFormatting>
  <conditionalFormatting sqref="F817:F818">
    <cfRule type="containsText" dxfId="2882" priority="7254" operator="containsText" text="RE-INSTALACION">
      <formula>NOT(ISERROR(SEARCH("RE-INSTALACION",F817)))</formula>
    </cfRule>
    <cfRule type="containsText" dxfId="2881" priority="7255" operator="containsText" text="DES-INSTALACION">
      <formula>NOT(ISERROR(SEARCH("DES-INSTALACION",F817)))</formula>
    </cfRule>
  </conditionalFormatting>
  <conditionalFormatting sqref="F818">
    <cfRule type="containsText" dxfId="2880" priority="7253" operator="containsText" text="BAJA">
      <formula>NOT(ISERROR(SEARCH("BAJA",F818)))</formula>
    </cfRule>
    <cfRule type="containsText" dxfId="2879" priority="7249" operator="containsText" text="instalacion">
      <formula>NOT(ISERROR(SEARCH("instalacion",F818)))</formula>
    </cfRule>
    <cfRule type="containsText" dxfId="2878" priority="7252" operator="containsText" text="REVISION">
      <formula>NOT(ISERROR(SEARCH("REVISION",F818)))</formula>
    </cfRule>
    <cfRule type="containsText" dxfId="2877" priority="7250" operator="containsText" text="REVISION">
      <formula>NOT(ISERROR(SEARCH("REVISION",F818)))</formula>
    </cfRule>
    <cfRule type="containsText" dxfId="2876" priority="7251" operator="containsText" text="MIGRACION">
      <formula>NOT(ISERROR(SEARCH("MIGRACION",F818)))</formula>
    </cfRule>
    <cfRule type="containsText" dxfId="2875" priority="7256" operator="containsText" text="INSTALACION">
      <formula>NOT(ISERROR(SEARCH("INSTALACION",F818)))</formula>
    </cfRule>
  </conditionalFormatting>
  <conditionalFormatting sqref="F818:F830">
    <cfRule type="containsText" dxfId="2874" priority="7225" operator="containsText" text="RE-INSTALACION">
      <formula>NOT(ISERROR(SEARCH("RE-INSTALACION",F818)))</formula>
    </cfRule>
    <cfRule type="containsText" dxfId="2873" priority="7226" operator="containsText" text="DES-INSTALACION">
      <formula>NOT(ISERROR(SEARCH("DES-INSTALACION",F818)))</formula>
    </cfRule>
  </conditionalFormatting>
  <conditionalFormatting sqref="F819">
    <cfRule type="containsText" dxfId="2872" priority="7218" operator="containsText" text="DES-INSTALACION">
      <formula>NOT(ISERROR(SEARCH("DES-INSTALACION",F819)))</formula>
    </cfRule>
    <cfRule type="containsText" dxfId="2871" priority="7227" operator="containsText" text="INSTALACION">
      <formula>NOT(ISERROR(SEARCH("INSTALACION",F819)))</formula>
    </cfRule>
    <cfRule type="containsText" dxfId="2870" priority="7217" operator="containsText" text="RE-INSTALACION">
      <formula>NOT(ISERROR(SEARCH("RE-INSTALACION",F819)))</formula>
    </cfRule>
    <cfRule type="containsText" dxfId="2869" priority="7224" operator="containsText" text="BAJA">
      <formula>NOT(ISERROR(SEARCH("BAJA",F819)))</formula>
    </cfRule>
    <cfRule type="containsText" dxfId="2868" priority="7220" operator="containsText" text="instalacion">
      <formula>NOT(ISERROR(SEARCH("instalacion",F819)))</formula>
    </cfRule>
    <cfRule type="containsText" dxfId="2867" priority="7221" operator="containsText" text="REVISION">
      <formula>NOT(ISERROR(SEARCH("REVISION",F819)))</formula>
    </cfRule>
    <cfRule type="containsText" dxfId="2866" priority="7222" operator="containsText" text="MIGRACION">
      <formula>NOT(ISERROR(SEARCH("MIGRACION",F819)))</formula>
    </cfRule>
    <cfRule type="containsText" dxfId="2865" priority="7223" operator="containsText" text="REVISION">
      <formula>NOT(ISERROR(SEARCH("REVISION",F819)))</formula>
    </cfRule>
  </conditionalFormatting>
  <conditionalFormatting sqref="F831">
    <cfRule type="containsText" dxfId="2864" priority="7187" operator="containsText" text="DES-INSTALACION">
      <formula>NOT(ISERROR(SEARCH("DES-INSTALACION",F831)))</formula>
    </cfRule>
    <cfRule type="containsText" dxfId="2863" priority="7188" operator="containsText" text="INSTALACION">
      <formula>NOT(ISERROR(SEARCH("INSTALACION",F831)))</formula>
    </cfRule>
    <cfRule type="containsText" dxfId="2862" priority="7185" operator="containsText" text="BAJA">
      <formula>NOT(ISERROR(SEARCH("BAJA",F831)))</formula>
    </cfRule>
    <cfRule type="containsText" dxfId="2861" priority="7184" operator="containsText" text="REVISION">
      <formula>NOT(ISERROR(SEARCH("REVISION",F831)))</formula>
    </cfRule>
    <cfRule type="containsText" dxfId="2860" priority="7183" operator="containsText" text="MIGRACION">
      <formula>NOT(ISERROR(SEARCH("MIGRACION",F831)))</formula>
    </cfRule>
    <cfRule type="containsText" dxfId="2859" priority="7182" operator="containsText" text="REVISION">
      <formula>NOT(ISERROR(SEARCH("REVISION",F831)))</formula>
    </cfRule>
    <cfRule type="containsText" dxfId="2858" priority="7181" operator="containsText" text="instalacion">
      <formula>NOT(ISERROR(SEARCH("instalacion",F831)))</formula>
    </cfRule>
    <cfRule type="containsText" dxfId="2857" priority="7186" operator="containsText" text="RE-INSTALACION">
      <formula>NOT(ISERROR(SEARCH("RE-INSTALACION",F831)))</formula>
    </cfRule>
  </conditionalFormatting>
  <conditionalFormatting sqref="F831:F832">
    <cfRule type="containsText" dxfId="2856" priority="7168" operator="containsText" text="RE-INSTALACION">
      <formula>NOT(ISERROR(SEARCH("RE-INSTALACION",F831)))</formula>
    </cfRule>
    <cfRule type="containsText" dxfId="2855" priority="7169" operator="containsText" text="DES-INSTALACION">
      <formula>NOT(ISERROR(SEARCH("DES-INSTALACION",F831)))</formula>
    </cfRule>
  </conditionalFormatting>
  <conditionalFormatting sqref="F832">
    <cfRule type="containsText" dxfId="2854" priority="7170" operator="containsText" text="INSTALACION">
      <formula>NOT(ISERROR(SEARCH("INSTALACION",F832)))</formula>
    </cfRule>
    <cfRule type="containsText" dxfId="2853" priority="7167" operator="containsText" text="BAJA">
      <formula>NOT(ISERROR(SEARCH("BAJA",F832)))</formula>
    </cfRule>
    <cfRule type="containsText" dxfId="2852" priority="7166" operator="containsText" text="REVISION">
      <formula>NOT(ISERROR(SEARCH("REVISION",F832)))</formula>
    </cfRule>
    <cfRule type="containsText" dxfId="2851" priority="7165" operator="containsText" text="MIGRACION">
      <formula>NOT(ISERROR(SEARCH("MIGRACION",F832)))</formula>
    </cfRule>
    <cfRule type="containsText" dxfId="2850" priority="7164" operator="containsText" text="REVISION">
      <formula>NOT(ISERROR(SEARCH("REVISION",F832)))</formula>
    </cfRule>
    <cfRule type="containsText" dxfId="2849" priority="7163" operator="containsText" text="instalacion">
      <formula>NOT(ISERROR(SEARCH("instalacion",F832)))</formula>
    </cfRule>
  </conditionalFormatting>
  <conditionalFormatting sqref="F832:F835">
    <cfRule type="containsText" dxfId="2848" priority="7143" operator="containsText" text="DES-INSTALACION">
      <formula>NOT(ISERROR(SEARCH("DES-INSTALACION",F832)))</formula>
    </cfRule>
    <cfRule type="containsText" dxfId="2847" priority="7142" operator="containsText" text="RE-INSTALACION">
      <formula>NOT(ISERROR(SEARCH("RE-INSTALACION",F832)))</formula>
    </cfRule>
  </conditionalFormatting>
  <conditionalFormatting sqref="F833:F835">
    <cfRule type="containsText" dxfId="2846" priority="7140" operator="containsText" text="REVISION">
      <formula>NOT(ISERROR(SEARCH("REVISION",F833)))</formula>
    </cfRule>
    <cfRule type="containsText" dxfId="2845" priority="7144" operator="containsText" text="INSTALACION">
      <formula>NOT(ISERROR(SEARCH("INSTALACION",F833)))</formula>
    </cfRule>
    <cfRule type="containsText" dxfId="2844" priority="7141" operator="containsText" text="BAJA">
      <formula>NOT(ISERROR(SEARCH("BAJA",F833)))</formula>
    </cfRule>
    <cfRule type="containsText" dxfId="2843" priority="7139" operator="containsText" text="MIGRACION">
      <formula>NOT(ISERROR(SEARCH("MIGRACION",F833)))</formula>
    </cfRule>
    <cfRule type="containsText" dxfId="2842" priority="7138" operator="containsText" text="REVISION">
      <formula>NOT(ISERROR(SEARCH("REVISION",F833)))</formula>
    </cfRule>
    <cfRule type="containsText" dxfId="2841" priority="7137" operator="containsText" text="instalacion">
      <formula>NOT(ISERROR(SEARCH("instalacion",F833)))</formula>
    </cfRule>
  </conditionalFormatting>
  <conditionalFormatting sqref="F833:F839">
    <cfRule type="containsText" dxfId="2840" priority="7118" operator="containsText" text="DES-INSTALACION">
      <formula>NOT(ISERROR(SEARCH("DES-INSTALACION",F833)))</formula>
    </cfRule>
    <cfRule type="containsText" dxfId="2839" priority="7117" operator="containsText" text="RE-INSTALACION">
      <formula>NOT(ISERROR(SEARCH("RE-INSTALACION",F833)))</formula>
    </cfRule>
  </conditionalFormatting>
  <conditionalFormatting sqref="F836:F839">
    <cfRule type="containsText" dxfId="2838" priority="7114" operator="containsText" text="MIGRACION">
      <formula>NOT(ISERROR(SEARCH("MIGRACION",F836)))</formula>
    </cfRule>
    <cfRule type="containsText" dxfId="2837" priority="7119" operator="containsText" text="INSTALACION">
      <formula>NOT(ISERROR(SEARCH("INSTALACION",F836)))</formula>
    </cfRule>
    <cfRule type="containsText" dxfId="2836" priority="7115" operator="containsText" text="REVISION">
      <formula>NOT(ISERROR(SEARCH("REVISION",F836)))</formula>
    </cfRule>
    <cfRule type="containsText" dxfId="2835" priority="7113" operator="containsText" text="REVISION">
      <formula>NOT(ISERROR(SEARCH("REVISION",F836)))</formula>
    </cfRule>
    <cfRule type="containsText" dxfId="2834" priority="7112" operator="containsText" text="instalacion">
      <formula>NOT(ISERROR(SEARCH("instalacion",F836)))</formula>
    </cfRule>
    <cfRule type="containsText" dxfId="2833" priority="7116" operator="containsText" text="BAJA">
      <formula>NOT(ISERROR(SEARCH("BAJA",F836)))</formula>
    </cfRule>
  </conditionalFormatting>
  <conditionalFormatting sqref="F836:F842">
    <cfRule type="containsText" dxfId="2832" priority="7074" operator="containsText" text="RE-INSTALACION">
      <formula>NOT(ISERROR(SEARCH("RE-INSTALACION",F836)))</formula>
    </cfRule>
    <cfRule type="containsText" dxfId="2831" priority="7075" operator="containsText" text="DES-INSTALACION">
      <formula>NOT(ISERROR(SEARCH("DES-INSTALACION",F836)))</formula>
    </cfRule>
  </conditionalFormatting>
  <conditionalFormatting sqref="F840">
    <cfRule type="containsText" dxfId="2830" priority="7073" operator="containsText" text="BAJA">
      <formula>NOT(ISERROR(SEARCH("BAJA",F840)))</formula>
    </cfRule>
    <cfRule type="containsText" dxfId="2829" priority="7072" operator="containsText" text="REVISION">
      <formula>NOT(ISERROR(SEARCH("REVISION",F840)))</formula>
    </cfRule>
    <cfRule type="containsText" dxfId="2828" priority="7067" operator="containsText" text="RE-INSTALACION">
      <formula>NOT(ISERROR(SEARCH("RE-INSTALACION",F840)))</formula>
    </cfRule>
    <cfRule type="containsText" dxfId="2827" priority="7076" operator="containsText" text="INSTALACION">
      <formula>NOT(ISERROR(SEARCH("INSTALACION",F840)))</formula>
    </cfRule>
    <cfRule type="containsText" dxfId="2826" priority="7068" operator="containsText" text="DES-INSTALACION">
      <formula>NOT(ISERROR(SEARCH("DES-INSTALACION",F840)))</formula>
    </cfRule>
    <cfRule type="containsText" dxfId="2825" priority="7069" operator="containsText" text="instalacion">
      <formula>NOT(ISERROR(SEARCH("instalacion",F840)))</formula>
    </cfRule>
    <cfRule type="containsText" dxfId="2824" priority="7070" operator="containsText" text="REVISION">
      <formula>NOT(ISERROR(SEARCH("REVISION",F840)))</formula>
    </cfRule>
    <cfRule type="containsText" dxfId="2823" priority="7071" operator="containsText" text="MIGRACION">
      <formula>NOT(ISERROR(SEARCH("MIGRACION",F840)))</formula>
    </cfRule>
  </conditionalFormatting>
  <conditionalFormatting sqref="F841:F842 F887:F890 F892 F894:F899 F901:F903 F924:F926 F928:F933 F935:F939 F941:F942 F944:F945 F948:F949 F951:F952 F954 F1045 F1047:F1054 F1057:F1058 F1061:F1063 F1066:F1073 F1075:F1076 F1078:F1080 F1082:F1093 F1095:F1110">
    <cfRule type="containsText" dxfId="2822" priority="7098" operator="containsText" text="DES-INSTALACION">
      <formula>NOT(ISERROR(SEARCH("DES-INSTALACION",F841)))</formula>
    </cfRule>
    <cfRule type="containsText" dxfId="2821" priority="7097" operator="containsText" text="RE-INSTALACION">
      <formula>NOT(ISERROR(SEARCH("RE-INSTALACION",F841)))</formula>
    </cfRule>
  </conditionalFormatting>
  <conditionalFormatting sqref="F841:F842 F887:F890 F892 F894:F899 F901:F903 F926 F928:F933 F935:F939 F941:F942 F944:F945 F948:F949 F951:F952 F954 F1045 F1047:F1054 F1057:F1058 F1061:F1063 F1066:F1073 F1075:F1076 F1078:F1080 F1082:F1093 F1095:F1109">
    <cfRule type="containsText" dxfId="2820" priority="7096" operator="containsText" text="BAJA">
      <formula>NOT(ISERROR(SEARCH("BAJA",F841)))</formula>
    </cfRule>
    <cfRule type="containsText" dxfId="2819" priority="7095" operator="containsText" text="REVISION">
      <formula>NOT(ISERROR(SEARCH("REVISION",F841)))</formula>
    </cfRule>
    <cfRule type="containsText" dxfId="2818" priority="7094" operator="containsText" text="MIGRACION">
      <formula>NOT(ISERROR(SEARCH("MIGRACION",F841)))</formula>
    </cfRule>
    <cfRule type="containsText" dxfId="2817" priority="7099" operator="containsText" text="INSTALACION">
      <formula>NOT(ISERROR(SEARCH("INSTALACION",F841)))</formula>
    </cfRule>
    <cfRule type="containsText" dxfId="2816" priority="7093" operator="containsText" text="REVISION">
      <formula>NOT(ISERROR(SEARCH("REVISION",F841)))</formula>
    </cfRule>
    <cfRule type="containsText" dxfId="2815" priority="7092" operator="containsText" text="instalacion">
      <formula>NOT(ISERROR(SEARCH("instalacion",F841)))</formula>
    </cfRule>
  </conditionalFormatting>
  <conditionalFormatting sqref="F843">
    <cfRule type="containsText" dxfId="2814" priority="7019" operator="containsText" text="BAJA">
      <formula>NOT(ISERROR(SEARCH("BAJA",F843)))</formula>
    </cfRule>
    <cfRule type="containsText" dxfId="2813" priority="7015" operator="containsText" text="instalacion">
      <formula>NOT(ISERROR(SEARCH("instalacion",F843)))</formula>
    </cfRule>
    <cfRule type="containsText" dxfId="2812" priority="7021" operator="containsText" text="DES-INSTALACION">
      <formula>NOT(ISERROR(SEARCH("DES-INSTALACION",F843)))</formula>
    </cfRule>
    <cfRule type="containsText" dxfId="2811" priority="7022" operator="containsText" text="INSTALACION">
      <formula>NOT(ISERROR(SEARCH("INSTALACION",F843)))</formula>
    </cfRule>
    <cfRule type="containsText" dxfId="2810" priority="7020" operator="containsText" text="RE-INSTALACION">
      <formula>NOT(ISERROR(SEARCH("RE-INSTALACION",F843)))</formula>
    </cfRule>
    <cfRule type="containsText" dxfId="2809" priority="7018" operator="containsText" text="REVISION">
      <formula>NOT(ISERROR(SEARCH("REVISION",F843)))</formula>
    </cfRule>
    <cfRule type="containsText" dxfId="2808" priority="7017" operator="containsText" text="MIGRACION">
      <formula>NOT(ISERROR(SEARCH("MIGRACION",F843)))</formula>
    </cfRule>
    <cfRule type="containsText" dxfId="2807" priority="7016" operator="containsText" text="REVISION">
      <formula>NOT(ISERROR(SEARCH("REVISION",F843)))</formula>
    </cfRule>
  </conditionalFormatting>
  <conditionalFormatting sqref="F843:F844">
    <cfRule type="containsText" dxfId="2806" priority="6997" operator="containsText" text="RE-INSTALACION">
      <formula>NOT(ISERROR(SEARCH("RE-INSTALACION",F843)))</formula>
    </cfRule>
    <cfRule type="containsText" dxfId="2805" priority="6998" operator="containsText" text="DES-INSTALACION">
      <formula>NOT(ISERROR(SEARCH("DES-INSTALACION",F843)))</formula>
    </cfRule>
  </conditionalFormatting>
  <conditionalFormatting sqref="F844">
    <cfRule type="containsText" dxfId="2804" priority="6996" operator="containsText" text="BAJA">
      <formula>NOT(ISERROR(SEARCH("BAJA",F844)))</formula>
    </cfRule>
    <cfRule type="containsText" dxfId="2803" priority="6995" operator="containsText" text="REVISION">
      <formula>NOT(ISERROR(SEARCH("REVISION",F844)))</formula>
    </cfRule>
    <cfRule type="containsText" dxfId="2802" priority="6994" operator="containsText" text="MIGRACION">
      <formula>NOT(ISERROR(SEARCH("MIGRACION",F844)))</formula>
    </cfRule>
    <cfRule type="containsText" dxfId="2801" priority="6993" operator="containsText" text="REVISION">
      <formula>NOT(ISERROR(SEARCH("REVISION",F844)))</formula>
    </cfRule>
    <cfRule type="containsText" dxfId="2800" priority="6992" operator="containsText" text="instalacion">
      <formula>NOT(ISERROR(SEARCH("instalacion",F844)))</formula>
    </cfRule>
    <cfRule type="containsText" dxfId="2799" priority="6999" operator="containsText" text="INSTALACION">
      <formula>NOT(ISERROR(SEARCH("INSTALACION",F844)))</formula>
    </cfRule>
  </conditionalFormatting>
  <conditionalFormatting sqref="F844:F845">
    <cfRule type="containsText" dxfId="2798" priority="6946" operator="containsText" text="DES-INSTALACION">
      <formula>NOT(ISERROR(SEARCH("DES-INSTALACION",F844)))</formula>
    </cfRule>
    <cfRule type="containsText" dxfId="2797" priority="6945" operator="containsText" text="RE-INSTALACION">
      <formula>NOT(ISERROR(SEARCH("RE-INSTALACION",F844)))</formula>
    </cfRule>
  </conditionalFormatting>
  <conditionalFormatting sqref="F845">
    <cfRule type="containsText" dxfId="2796" priority="6943" operator="containsText" text="REVISION">
      <formula>NOT(ISERROR(SEARCH("REVISION",F845)))</formula>
    </cfRule>
    <cfRule type="containsText" dxfId="2795" priority="6944" operator="containsText" text="BAJA">
      <formula>NOT(ISERROR(SEARCH("BAJA",F845)))</formula>
    </cfRule>
    <cfRule type="containsText" dxfId="2794" priority="6940" operator="containsText" text="instalacion">
      <formula>NOT(ISERROR(SEARCH("instalacion",F845)))</formula>
    </cfRule>
    <cfRule type="containsText" dxfId="2793" priority="6942" operator="containsText" text="MIGRACION">
      <formula>NOT(ISERROR(SEARCH("MIGRACION",F845)))</formula>
    </cfRule>
    <cfRule type="containsText" dxfId="2792" priority="6947" operator="containsText" text="INSTALACION">
      <formula>NOT(ISERROR(SEARCH("INSTALACION",F845)))</formula>
    </cfRule>
    <cfRule type="containsText" dxfId="2791" priority="6941" operator="containsText" text="REVISION">
      <formula>NOT(ISERROR(SEARCH("REVISION",F845)))</formula>
    </cfRule>
  </conditionalFormatting>
  <conditionalFormatting sqref="F845:F846">
    <cfRule type="containsText" dxfId="2790" priority="6912" operator="containsText" text="DES-INSTALACION">
      <formula>NOT(ISERROR(SEARCH("DES-INSTALACION",F845)))</formula>
    </cfRule>
    <cfRule type="containsText" dxfId="2789" priority="6911" operator="containsText" text="RE-INSTALACION">
      <formula>NOT(ISERROR(SEARCH("RE-INSTALACION",F845)))</formula>
    </cfRule>
  </conditionalFormatting>
  <conditionalFormatting sqref="F846">
    <cfRule type="containsText" dxfId="2788" priority="6909" operator="containsText" text="REVISION">
      <formula>NOT(ISERROR(SEARCH("REVISION",F846)))</formula>
    </cfRule>
    <cfRule type="containsText" dxfId="2787" priority="6908" operator="containsText" text="MIGRACION">
      <formula>NOT(ISERROR(SEARCH("MIGRACION",F846)))</formula>
    </cfRule>
    <cfRule type="containsText" dxfId="2786" priority="6910" operator="containsText" text="BAJA">
      <formula>NOT(ISERROR(SEARCH("BAJA",F846)))</formula>
    </cfRule>
    <cfRule type="containsText" dxfId="2785" priority="6913" operator="containsText" text="INSTALACION">
      <formula>NOT(ISERROR(SEARCH("INSTALACION",F846)))</formula>
    </cfRule>
    <cfRule type="containsText" dxfId="2784" priority="6906" operator="containsText" text="instalacion">
      <formula>NOT(ISERROR(SEARCH("instalacion",F846)))</formula>
    </cfRule>
    <cfRule type="containsText" dxfId="2783" priority="6907" operator="containsText" text="REVISION">
      <formula>NOT(ISERROR(SEARCH("REVISION",F846)))</formula>
    </cfRule>
  </conditionalFormatting>
  <conditionalFormatting sqref="F846:F847">
    <cfRule type="containsText" dxfId="2782" priority="6878" operator="containsText" text="DES-INSTALACION">
      <formula>NOT(ISERROR(SEARCH("DES-INSTALACION",F846)))</formula>
    </cfRule>
    <cfRule type="containsText" dxfId="2781" priority="6877" operator="containsText" text="RE-INSTALACION">
      <formula>NOT(ISERROR(SEARCH("RE-INSTALACION",F846)))</formula>
    </cfRule>
  </conditionalFormatting>
  <conditionalFormatting sqref="F847">
    <cfRule type="containsText" dxfId="2780" priority="6874" operator="containsText" text="MIGRACION">
      <formula>NOT(ISERROR(SEARCH("MIGRACION",F847)))</formula>
    </cfRule>
    <cfRule type="containsText" dxfId="2779" priority="6873" operator="containsText" text="REVISION">
      <formula>NOT(ISERROR(SEARCH("REVISION",F847)))</formula>
    </cfRule>
    <cfRule type="containsText" dxfId="2778" priority="6879" operator="containsText" text="INSTALACION">
      <formula>NOT(ISERROR(SEARCH("INSTALACION",F847)))</formula>
    </cfRule>
    <cfRule type="containsText" dxfId="2777" priority="6872" operator="containsText" text="instalacion">
      <formula>NOT(ISERROR(SEARCH("instalacion",F847)))</formula>
    </cfRule>
    <cfRule type="containsText" dxfId="2776" priority="6876" operator="containsText" text="BAJA">
      <formula>NOT(ISERROR(SEARCH("BAJA",F847)))</formula>
    </cfRule>
    <cfRule type="containsText" dxfId="2775" priority="6875" operator="containsText" text="REVISION">
      <formula>NOT(ISERROR(SEARCH("REVISION",F847)))</formula>
    </cfRule>
  </conditionalFormatting>
  <conditionalFormatting sqref="F847:F848">
    <cfRule type="containsText" dxfId="2774" priority="6843" operator="containsText" text="RE-INSTALACION">
      <formula>NOT(ISERROR(SEARCH("RE-INSTALACION",F847)))</formula>
    </cfRule>
    <cfRule type="containsText" dxfId="2773" priority="6844" operator="containsText" text="DES-INSTALACION">
      <formula>NOT(ISERROR(SEARCH("DES-INSTALACION",F847)))</formula>
    </cfRule>
  </conditionalFormatting>
  <conditionalFormatting sqref="F848">
    <cfRule type="containsText" dxfId="2772" priority="6838" operator="containsText" text="instalacion">
      <formula>NOT(ISERROR(SEARCH("instalacion",F848)))</formula>
    </cfRule>
    <cfRule type="containsText" dxfId="2771" priority="6839" operator="containsText" text="REVISION">
      <formula>NOT(ISERROR(SEARCH("REVISION",F848)))</formula>
    </cfRule>
    <cfRule type="containsText" dxfId="2770" priority="6840" operator="containsText" text="MIGRACION">
      <formula>NOT(ISERROR(SEARCH("MIGRACION",F848)))</formula>
    </cfRule>
    <cfRule type="containsText" dxfId="2769" priority="6841" operator="containsText" text="REVISION">
      <formula>NOT(ISERROR(SEARCH("REVISION",F848)))</formula>
    </cfRule>
    <cfRule type="containsText" dxfId="2768" priority="6842" operator="containsText" text="BAJA">
      <formula>NOT(ISERROR(SEARCH("BAJA",F848)))</formula>
    </cfRule>
    <cfRule type="containsText" dxfId="2767" priority="6845" operator="containsText" text="INSTALACION">
      <formula>NOT(ISERROR(SEARCH("INSTALACION",F848)))</formula>
    </cfRule>
  </conditionalFormatting>
  <conditionalFormatting sqref="F848:F849">
    <cfRule type="containsText" dxfId="2766" priority="6809" operator="containsText" text="RE-INSTALACION">
      <formula>NOT(ISERROR(SEARCH("RE-INSTALACION",F848)))</formula>
    </cfRule>
    <cfRule type="containsText" dxfId="2765" priority="6810" operator="containsText" text="DES-INSTALACION">
      <formula>NOT(ISERROR(SEARCH("DES-INSTALACION",F848)))</formula>
    </cfRule>
  </conditionalFormatting>
  <conditionalFormatting sqref="F849">
    <cfRule type="containsText" dxfId="2764" priority="6811" operator="containsText" text="INSTALACION">
      <formula>NOT(ISERROR(SEARCH("INSTALACION",F849)))</formula>
    </cfRule>
    <cfRule type="containsText" dxfId="2763" priority="6808" operator="containsText" text="BAJA">
      <formula>NOT(ISERROR(SEARCH("BAJA",F849)))</formula>
    </cfRule>
    <cfRule type="containsText" dxfId="2762" priority="6807" operator="containsText" text="REVISION">
      <formula>NOT(ISERROR(SEARCH("REVISION",F849)))</formula>
    </cfRule>
    <cfRule type="containsText" dxfId="2761" priority="6806" operator="containsText" text="MIGRACION">
      <formula>NOT(ISERROR(SEARCH("MIGRACION",F849)))</formula>
    </cfRule>
    <cfRule type="containsText" dxfId="2760" priority="6804" operator="containsText" text="instalacion">
      <formula>NOT(ISERROR(SEARCH("instalacion",F849)))</formula>
    </cfRule>
    <cfRule type="containsText" dxfId="2759" priority="6805" operator="containsText" text="REVISION">
      <formula>NOT(ISERROR(SEARCH("REVISION",F849)))</formula>
    </cfRule>
  </conditionalFormatting>
  <conditionalFormatting sqref="F849:F850">
    <cfRule type="containsText" dxfId="2758" priority="6778" operator="containsText" text="DES-INSTALACION">
      <formula>NOT(ISERROR(SEARCH("DES-INSTALACION",F849)))</formula>
    </cfRule>
    <cfRule type="containsText" dxfId="2757" priority="6777" operator="containsText" text="RE-INSTALACION">
      <formula>NOT(ISERROR(SEARCH("RE-INSTALACION",F849)))</formula>
    </cfRule>
  </conditionalFormatting>
  <conditionalFormatting sqref="F850">
    <cfRule type="containsText" dxfId="2756" priority="6779" operator="containsText" text="INSTALACION">
      <formula>NOT(ISERROR(SEARCH("INSTALACION",F850)))</formula>
    </cfRule>
    <cfRule type="containsText" dxfId="2755" priority="6776" operator="containsText" text="BAJA">
      <formula>NOT(ISERROR(SEARCH("BAJA",F850)))</formula>
    </cfRule>
    <cfRule type="containsText" dxfId="2754" priority="6772" operator="containsText" text="instalacion">
      <formula>NOT(ISERROR(SEARCH("instalacion",F850)))</formula>
    </cfRule>
    <cfRule type="containsText" dxfId="2753" priority="6773" operator="containsText" text="REVISION">
      <formula>NOT(ISERROR(SEARCH("REVISION",F850)))</formula>
    </cfRule>
    <cfRule type="containsText" dxfId="2752" priority="6774" operator="containsText" text="MIGRACION">
      <formula>NOT(ISERROR(SEARCH("MIGRACION",F850)))</formula>
    </cfRule>
    <cfRule type="containsText" dxfId="2751" priority="6775" operator="containsText" text="REVISION">
      <formula>NOT(ISERROR(SEARCH("REVISION",F850)))</formula>
    </cfRule>
  </conditionalFormatting>
  <conditionalFormatting sqref="F850:F851">
    <cfRule type="containsText" dxfId="2750" priority="6743" operator="containsText" text="RE-INSTALACION">
      <formula>NOT(ISERROR(SEARCH("RE-INSTALACION",F850)))</formula>
    </cfRule>
    <cfRule type="containsText" dxfId="2749" priority="6744" operator="containsText" text="DES-INSTALACION">
      <formula>NOT(ISERROR(SEARCH("DES-INSTALACION",F850)))</formula>
    </cfRule>
  </conditionalFormatting>
  <conditionalFormatting sqref="F851">
    <cfRule type="containsText" dxfId="2748" priority="6745" operator="containsText" text="INSTALACION">
      <formula>NOT(ISERROR(SEARCH("INSTALACION",F851)))</formula>
    </cfRule>
    <cfRule type="containsText" dxfId="2747" priority="6738" operator="containsText" text="instalacion">
      <formula>NOT(ISERROR(SEARCH("instalacion",F851)))</formula>
    </cfRule>
    <cfRule type="containsText" dxfId="2746" priority="6742" operator="containsText" text="BAJA">
      <formula>NOT(ISERROR(SEARCH("BAJA",F851)))</formula>
    </cfRule>
    <cfRule type="containsText" dxfId="2745" priority="6741" operator="containsText" text="REVISION">
      <formula>NOT(ISERROR(SEARCH("REVISION",F851)))</formula>
    </cfRule>
    <cfRule type="containsText" dxfId="2744" priority="6740" operator="containsText" text="MIGRACION">
      <formula>NOT(ISERROR(SEARCH("MIGRACION",F851)))</formula>
    </cfRule>
    <cfRule type="containsText" dxfId="2743" priority="6739" operator="containsText" text="REVISION">
      <formula>NOT(ISERROR(SEARCH("REVISION",F851)))</formula>
    </cfRule>
  </conditionalFormatting>
  <conditionalFormatting sqref="F851:F852">
    <cfRule type="containsText" dxfId="2742" priority="6709" operator="containsText" text="RE-INSTALACION">
      <formula>NOT(ISERROR(SEARCH("RE-INSTALACION",F851)))</formula>
    </cfRule>
    <cfRule type="containsText" dxfId="2741" priority="6710" operator="containsText" text="DES-INSTALACION">
      <formula>NOT(ISERROR(SEARCH("DES-INSTALACION",F851)))</formula>
    </cfRule>
  </conditionalFormatting>
  <conditionalFormatting sqref="F852">
    <cfRule type="containsText" dxfId="2740" priority="6705" operator="containsText" text="REVISION">
      <formula>NOT(ISERROR(SEARCH("REVISION",F852)))</formula>
    </cfRule>
    <cfRule type="containsText" dxfId="2739" priority="6706" operator="containsText" text="MIGRACION">
      <formula>NOT(ISERROR(SEARCH("MIGRACION",F852)))</formula>
    </cfRule>
    <cfRule type="containsText" dxfId="2738" priority="6708" operator="containsText" text="BAJA">
      <formula>NOT(ISERROR(SEARCH("BAJA",F852)))</formula>
    </cfRule>
    <cfRule type="containsText" dxfId="2737" priority="6704" operator="containsText" text="instalacion">
      <formula>NOT(ISERROR(SEARCH("instalacion",F852)))</formula>
    </cfRule>
    <cfRule type="containsText" dxfId="2736" priority="6711" operator="containsText" text="INSTALACION">
      <formula>NOT(ISERROR(SEARCH("INSTALACION",F852)))</formula>
    </cfRule>
    <cfRule type="containsText" dxfId="2735" priority="6707" operator="containsText" text="REVISION">
      <formula>NOT(ISERROR(SEARCH("REVISION",F852)))</formula>
    </cfRule>
  </conditionalFormatting>
  <conditionalFormatting sqref="F852:F853">
    <cfRule type="containsText" dxfId="2734" priority="6662" operator="containsText" text="RE-INSTALACION">
      <formula>NOT(ISERROR(SEARCH("RE-INSTALACION",F852)))</formula>
    </cfRule>
    <cfRule type="containsText" dxfId="2733" priority="6663" operator="containsText" text="DES-INSTALACION">
      <formula>NOT(ISERROR(SEARCH("DES-INSTALACION",F852)))</formula>
    </cfRule>
  </conditionalFormatting>
  <conditionalFormatting sqref="F853">
    <cfRule type="containsText" dxfId="2732" priority="6657" operator="containsText" text="instalacion">
      <formula>NOT(ISERROR(SEARCH("instalacion",F853)))</formula>
    </cfRule>
    <cfRule type="containsText" dxfId="2731" priority="6658" operator="containsText" text="REVISION">
      <formula>NOT(ISERROR(SEARCH("REVISION",F853)))</formula>
    </cfRule>
    <cfRule type="containsText" dxfId="2730" priority="6661" operator="containsText" text="BAJA">
      <formula>NOT(ISERROR(SEARCH("BAJA",F853)))</formula>
    </cfRule>
    <cfRule type="containsText" dxfId="2729" priority="6660" operator="containsText" text="REVISION">
      <formula>NOT(ISERROR(SEARCH("REVISION",F853)))</formula>
    </cfRule>
    <cfRule type="containsText" dxfId="2728" priority="6664" operator="containsText" text="INSTALACION">
      <formula>NOT(ISERROR(SEARCH("INSTALACION",F853)))</formula>
    </cfRule>
    <cfRule type="containsText" dxfId="2727" priority="6659" operator="containsText" text="MIGRACION">
      <formula>NOT(ISERROR(SEARCH("MIGRACION",F853)))</formula>
    </cfRule>
  </conditionalFormatting>
  <conditionalFormatting sqref="F853:F854">
    <cfRule type="containsText" dxfId="2726" priority="5930" operator="containsText" text="DES-INSTALACION">
      <formula>NOT(ISERROR(SEARCH("DES-INSTALACION",F853)))</formula>
    </cfRule>
    <cfRule type="containsText" dxfId="2725" priority="5929" operator="containsText" text="RE-INSTALACION">
      <formula>NOT(ISERROR(SEARCH("RE-INSTALACION",F853)))</formula>
    </cfRule>
  </conditionalFormatting>
  <conditionalFormatting sqref="F854">
    <cfRule type="containsText" dxfId="2724" priority="5931" operator="containsText" text="INSTALACION">
      <formula>NOT(ISERROR(SEARCH("INSTALACION",F854)))</formula>
    </cfRule>
    <cfRule type="containsText" dxfId="2723" priority="5925" operator="containsText" text="REVISION">
      <formula>NOT(ISERROR(SEARCH("REVISION",F854)))</formula>
    </cfRule>
    <cfRule type="containsText" dxfId="2722" priority="5928" operator="containsText" text="BAJA">
      <formula>NOT(ISERROR(SEARCH("BAJA",F854)))</formula>
    </cfRule>
    <cfRule type="containsText" dxfId="2721" priority="5927" operator="containsText" text="REVISION">
      <formula>NOT(ISERROR(SEARCH("REVISION",F854)))</formula>
    </cfRule>
    <cfRule type="containsText" dxfId="2720" priority="5922" operator="containsText" text="RE-INSTALACION">
      <formula>NOT(ISERROR(SEARCH("RE-INSTALACION",F854)))</formula>
    </cfRule>
    <cfRule type="containsText" dxfId="2719" priority="5923" operator="containsText" text="DES-INSTALACION">
      <formula>NOT(ISERROR(SEARCH("DES-INSTALACION",F854)))</formula>
    </cfRule>
    <cfRule type="containsText" dxfId="2718" priority="5924" operator="containsText" text="instalacion">
      <formula>NOT(ISERROR(SEARCH("instalacion",F854)))</formula>
    </cfRule>
    <cfRule type="containsText" dxfId="2717" priority="5926" operator="containsText" text="MIGRACION">
      <formula>NOT(ISERROR(SEARCH("MIGRACION",F854)))</formula>
    </cfRule>
  </conditionalFormatting>
  <conditionalFormatting sqref="F855">
    <cfRule type="containsText" dxfId="2716" priority="6629" operator="containsText" text="BAJA">
      <formula>NOT(ISERROR(SEARCH("BAJA",F855)))</formula>
    </cfRule>
    <cfRule type="containsText" dxfId="2715" priority="6628" operator="containsText" text="REVISION">
      <formula>NOT(ISERROR(SEARCH("REVISION",F855)))</formula>
    </cfRule>
    <cfRule type="containsText" dxfId="2714" priority="6627" operator="containsText" text="MIGRACION">
      <formula>NOT(ISERROR(SEARCH("MIGRACION",F855)))</formula>
    </cfRule>
    <cfRule type="containsText" dxfId="2713" priority="6632" operator="containsText" text="INSTALACION">
      <formula>NOT(ISERROR(SEARCH("INSTALACION",F855)))</formula>
    </cfRule>
    <cfRule type="containsText" dxfId="2712" priority="6631" operator="containsText" text="DES-INSTALACION">
      <formula>NOT(ISERROR(SEARCH("DES-INSTALACION",F855)))</formula>
    </cfRule>
    <cfRule type="containsText" dxfId="2711" priority="6630" operator="containsText" text="RE-INSTALACION">
      <formula>NOT(ISERROR(SEARCH("RE-INSTALACION",F855)))</formula>
    </cfRule>
    <cfRule type="containsText" dxfId="2710" priority="6625" operator="containsText" text="instalacion">
      <formula>NOT(ISERROR(SEARCH("instalacion",F855)))</formula>
    </cfRule>
    <cfRule type="containsText" dxfId="2709" priority="6626" operator="containsText" text="REVISION">
      <formula>NOT(ISERROR(SEARCH("REVISION",F855)))</formula>
    </cfRule>
  </conditionalFormatting>
  <conditionalFormatting sqref="F855:F856">
    <cfRule type="containsText" dxfId="2708" priority="6598" operator="containsText" text="RE-INSTALACION">
      <formula>NOT(ISERROR(SEARCH("RE-INSTALACION",F855)))</formula>
    </cfRule>
    <cfRule type="containsText" dxfId="2707" priority="6599" operator="containsText" text="DES-INSTALACION">
      <formula>NOT(ISERROR(SEARCH("DES-INSTALACION",F855)))</formula>
    </cfRule>
  </conditionalFormatting>
  <conditionalFormatting sqref="F856">
    <cfRule type="containsText" dxfId="2706" priority="6593" operator="containsText" text="instalacion">
      <formula>NOT(ISERROR(SEARCH("instalacion",F856)))</formula>
    </cfRule>
    <cfRule type="containsText" dxfId="2705" priority="6595" operator="containsText" text="MIGRACION">
      <formula>NOT(ISERROR(SEARCH("MIGRACION",F856)))</formula>
    </cfRule>
    <cfRule type="containsText" dxfId="2704" priority="6594" operator="containsText" text="REVISION">
      <formula>NOT(ISERROR(SEARCH("REVISION",F856)))</formula>
    </cfRule>
    <cfRule type="containsText" dxfId="2703" priority="6596" operator="containsText" text="REVISION">
      <formula>NOT(ISERROR(SEARCH("REVISION",F856)))</formula>
    </cfRule>
    <cfRule type="containsText" dxfId="2702" priority="6597" operator="containsText" text="BAJA">
      <formula>NOT(ISERROR(SEARCH("BAJA",F856)))</formula>
    </cfRule>
    <cfRule type="containsText" dxfId="2701" priority="6600" operator="containsText" text="INSTALACION">
      <formula>NOT(ISERROR(SEARCH("INSTALACION",F856)))</formula>
    </cfRule>
  </conditionalFormatting>
  <conditionalFormatting sqref="F856:F857">
    <cfRule type="containsText" dxfId="2700" priority="6566" operator="containsText" text="RE-INSTALACION">
      <formula>NOT(ISERROR(SEARCH("RE-INSTALACION",F856)))</formula>
    </cfRule>
    <cfRule type="containsText" dxfId="2699" priority="6567" operator="containsText" text="DES-INSTALACION">
      <formula>NOT(ISERROR(SEARCH("DES-INSTALACION",F856)))</formula>
    </cfRule>
  </conditionalFormatting>
  <conditionalFormatting sqref="F857">
    <cfRule type="containsText" dxfId="2698" priority="6568" operator="containsText" text="INSTALACION">
      <formula>NOT(ISERROR(SEARCH("INSTALACION",F857)))</formula>
    </cfRule>
    <cfRule type="containsText" dxfId="2697" priority="6561" operator="containsText" text="instalacion">
      <formula>NOT(ISERROR(SEARCH("instalacion",F857)))</formula>
    </cfRule>
    <cfRule type="containsText" dxfId="2696" priority="6562" operator="containsText" text="REVISION">
      <formula>NOT(ISERROR(SEARCH("REVISION",F857)))</formula>
    </cfRule>
    <cfRule type="containsText" dxfId="2695" priority="6563" operator="containsText" text="MIGRACION">
      <formula>NOT(ISERROR(SEARCH("MIGRACION",F857)))</formula>
    </cfRule>
    <cfRule type="containsText" dxfId="2694" priority="6564" operator="containsText" text="REVISION">
      <formula>NOT(ISERROR(SEARCH("REVISION",F857)))</formula>
    </cfRule>
    <cfRule type="containsText" dxfId="2693" priority="6565" operator="containsText" text="BAJA">
      <formula>NOT(ISERROR(SEARCH("BAJA",F857)))</formula>
    </cfRule>
  </conditionalFormatting>
  <conditionalFormatting sqref="F857:F858">
    <cfRule type="containsText" dxfId="2692" priority="6546" operator="containsText" text="DES-INSTALACION">
      <formula>NOT(ISERROR(SEARCH("DES-INSTALACION",F857)))</formula>
    </cfRule>
    <cfRule type="containsText" dxfId="2691" priority="6545" operator="containsText" text="RE-INSTALACION">
      <formula>NOT(ISERROR(SEARCH("RE-INSTALACION",F857)))</formula>
    </cfRule>
  </conditionalFormatting>
  <conditionalFormatting sqref="F858">
    <cfRule type="containsText" dxfId="2690" priority="6547" operator="containsText" text="INSTALACION">
      <formula>NOT(ISERROR(SEARCH("INSTALACION",F858)))</formula>
    </cfRule>
    <cfRule type="containsText" dxfId="2689" priority="6544" operator="containsText" text="BAJA">
      <formula>NOT(ISERROR(SEARCH("BAJA",F858)))</formula>
    </cfRule>
    <cfRule type="containsText" dxfId="2688" priority="6543" operator="containsText" text="REVISION">
      <formula>NOT(ISERROR(SEARCH("REVISION",F858)))</formula>
    </cfRule>
    <cfRule type="containsText" dxfId="2687" priority="6542" operator="containsText" text="MIGRACION">
      <formula>NOT(ISERROR(SEARCH("MIGRACION",F858)))</formula>
    </cfRule>
    <cfRule type="containsText" dxfId="2686" priority="6541" operator="containsText" text="REVISION">
      <formula>NOT(ISERROR(SEARCH("REVISION",F858)))</formula>
    </cfRule>
    <cfRule type="containsText" dxfId="2685" priority="6540" operator="containsText" text="instalacion">
      <formula>NOT(ISERROR(SEARCH("instalacion",F858)))</formula>
    </cfRule>
  </conditionalFormatting>
  <conditionalFormatting sqref="F858:F859">
    <cfRule type="containsText" dxfId="2684" priority="6468" operator="containsText" text="RE-INSTALACION">
      <formula>NOT(ISERROR(SEARCH("RE-INSTALACION",F858)))</formula>
    </cfRule>
    <cfRule type="containsText" dxfId="2683" priority="6469" operator="containsText" text="DES-INSTALACION">
      <formula>NOT(ISERROR(SEARCH("DES-INSTALACION",F858)))</formula>
    </cfRule>
  </conditionalFormatting>
  <conditionalFormatting sqref="F859">
    <cfRule type="containsText" dxfId="2682" priority="6470" operator="containsText" text="INSTALACION">
      <formula>NOT(ISERROR(SEARCH("INSTALACION",F859)))</formula>
    </cfRule>
    <cfRule type="containsText" dxfId="2681" priority="6466" operator="containsText" text="REVISION">
      <formula>NOT(ISERROR(SEARCH("REVISION",F859)))</formula>
    </cfRule>
    <cfRule type="containsText" dxfId="2680" priority="6467" operator="containsText" text="BAJA">
      <formula>NOT(ISERROR(SEARCH("BAJA",F859)))</formula>
    </cfRule>
    <cfRule type="containsText" dxfId="2679" priority="6465" operator="containsText" text="MIGRACION">
      <formula>NOT(ISERROR(SEARCH("MIGRACION",F859)))</formula>
    </cfRule>
    <cfRule type="containsText" dxfId="2678" priority="6464" operator="containsText" text="REVISION">
      <formula>NOT(ISERROR(SEARCH("REVISION",F859)))</formula>
    </cfRule>
    <cfRule type="containsText" dxfId="2677" priority="6463" operator="containsText" text="instalacion">
      <formula>NOT(ISERROR(SEARCH("instalacion",F859)))</formula>
    </cfRule>
  </conditionalFormatting>
  <conditionalFormatting sqref="F859:F861">
    <cfRule type="containsText" dxfId="2676" priority="6446" operator="containsText" text="DES-INSTALACION">
      <formula>NOT(ISERROR(SEARCH("DES-INSTALACION",F859)))</formula>
    </cfRule>
    <cfRule type="containsText" dxfId="2675" priority="6445" operator="containsText" text="RE-INSTALACION">
      <formula>NOT(ISERROR(SEARCH("RE-INSTALACION",F859)))</formula>
    </cfRule>
  </conditionalFormatting>
  <conditionalFormatting sqref="F860">
    <cfRule type="containsText" dxfId="2674" priority="6438" operator="containsText" text="RE-INSTALACION">
      <formula>NOT(ISERROR(SEARCH("RE-INSTALACION",F860)))</formula>
    </cfRule>
    <cfRule type="containsText" dxfId="2673" priority="6447" operator="containsText" text="INSTALACION">
      <formula>NOT(ISERROR(SEARCH("INSTALACION",F860)))</formula>
    </cfRule>
    <cfRule type="containsText" dxfId="2672" priority="6442" operator="containsText" text="MIGRACION">
      <formula>NOT(ISERROR(SEARCH("MIGRACION",F860)))</formula>
    </cfRule>
    <cfRule type="containsText" dxfId="2671" priority="6444" operator="containsText" text="BAJA">
      <formula>NOT(ISERROR(SEARCH("BAJA",F860)))</formula>
    </cfRule>
    <cfRule type="containsText" dxfId="2670" priority="6443" operator="containsText" text="REVISION">
      <formula>NOT(ISERROR(SEARCH("REVISION",F860)))</formula>
    </cfRule>
    <cfRule type="containsText" dxfId="2669" priority="6440" operator="containsText" text="instalacion">
      <formula>NOT(ISERROR(SEARCH("instalacion",F860)))</formula>
    </cfRule>
    <cfRule type="containsText" dxfId="2668" priority="6439" operator="containsText" text="DES-INSTALACION">
      <formula>NOT(ISERROR(SEARCH("DES-INSTALACION",F860)))</formula>
    </cfRule>
    <cfRule type="containsText" dxfId="2667" priority="6441" operator="containsText" text="REVISION">
      <formula>NOT(ISERROR(SEARCH("REVISION",F860)))</formula>
    </cfRule>
  </conditionalFormatting>
  <conditionalFormatting sqref="F861">
    <cfRule type="containsText" dxfId="2666" priority="6523" operator="containsText" text="BAJA">
      <formula>NOT(ISERROR(SEARCH("BAJA",F861)))</formula>
    </cfRule>
    <cfRule type="containsText" dxfId="2665" priority="6520" operator="containsText" text="REVISION">
      <formula>NOT(ISERROR(SEARCH("REVISION",F861)))</formula>
    </cfRule>
    <cfRule type="containsText" dxfId="2664" priority="6521" operator="containsText" text="MIGRACION">
      <formula>NOT(ISERROR(SEARCH("MIGRACION",F861)))</formula>
    </cfRule>
    <cfRule type="containsText" dxfId="2663" priority="6522" operator="containsText" text="REVISION">
      <formula>NOT(ISERROR(SEARCH("REVISION",F861)))</formula>
    </cfRule>
    <cfRule type="containsText" dxfId="2662" priority="6524" operator="containsText" text="RE-INSTALACION">
      <formula>NOT(ISERROR(SEARCH("RE-INSTALACION",F861)))</formula>
    </cfRule>
    <cfRule type="containsText" dxfId="2661" priority="6525" operator="containsText" text="DES-INSTALACION">
      <formula>NOT(ISERROR(SEARCH("DES-INSTALACION",F861)))</formula>
    </cfRule>
    <cfRule type="containsText" dxfId="2660" priority="6526" operator="containsText" text="INSTALACION">
      <formula>NOT(ISERROR(SEARCH("INSTALACION",F861)))</formula>
    </cfRule>
    <cfRule type="containsText" dxfId="2659" priority="6519" operator="containsText" text="instalacion">
      <formula>NOT(ISERROR(SEARCH("instalacion",F861)))</formula>
    </cfRule>
  </conditionalFormatting>
  <conditionalFormatting sqref="F862">
    <cfRule type="containsText" dxfId="2658" priority="6415" operator="containsText" text="INSTALACION">
      <formula>NOT(ISERROR(SEARCH("INSTALACION",F862)))</formula>
    </cfRule>
    <cfRule type="containsText" dxfId="2657" priority="6408" operator="containsText" text="instalacion">
      <formula>NOT(ISERROR(SEARCH("instalacion",F862)))</formula>
    </cfRule>
    <cfRule type="containsText" dxfId="2656" priority="6409" operator="containsText" text="REVISION">
      <formula>NOT(ISERROR(SEARCH("REVISION",F862)))</formula>
    </cfRule>
    <cfRule type="containsText" dxfId="2655" priority="6410" operator="containsText" text="MIGRACION">
      <formula>NOT(ISERROR(SEARCH("MIGRACION",F862)))</formula>
    </cfRule>
    <cfRule type="containsText" dxfId="2654" priority="6412" operator="containsText" text="BAJA">
      <formula>NOT(ISERROR(SEARCH("BAJA",F862)))</formula>
    </cfRule>
    <cfRule type="containsText" dxfId="2653" priority="6413" operator="containsText" text="RE-INSTALACION">
      <formula>NOT(ISERROR(SEARCH("RE-INSTALACION",F862)))</formula>
    </cfRule>
    <cfRule type="containsText" dxfId="2652" priority="6414" operator="containsText" text="DES-INSTALACION">
      <formula>NOT(ISERROR(SEARCH("DES-INSTALACION",F862)))</formula>
    </cfRule>
    <cfRule type="containsText" dxfId="2651" priority="6411" operator="containsText" text="REVISION">
      <formula>NOT(ISERROR(SEARCH("REVISION",F862)))</formula>
    </cfRule>
  </conditionalFormatting>
  <conditionalFormatting sqref="F862:F863">
    <cfRule type="containsText" dxfId="2650" priority="6392" operator="containsText" text="RE-INSTALACION">
      <formula>NOT(ISERROR(SEARCH("RE-INSTALACION",F862)))</formula>
    </cfRule>
    <cfRule type="containsText" dxfId="2649" priority="6393" operator="containsText" text="DES-INSTALACION">
      <formula>NOT(ISERROR(SEARCH("DES-INSTALACION",F862)))</formula>
    </cfRule>
  </conditionalFormatting>
  <conditionalFormatting sqref="F863">
    <cfRule type="containsText" dxfId="2648" priority="6391" operator="containsText" text="BAJA">
      <formula>NOT(ISERROR(SEARCH("BAJA",F863)))</formula>
    </cfRule>
    <cfRule type="containsText" dxfId="2647" priority="6394" operator="containsText" text="INSTALACION">
      <formula>NOT(ISERROR(SEARCH("INSTALACION",F863)))</formula>
    </cfRule>
    <cfRule type="containsText" dxfId="2646" priority="6390" operator="containsText" text="REVISION">
      <formula>NOT(ISERROR(SEARCH("REVISION",F863)))</formula>
    </cfRule>
    <cfRule type="containsText" dxfId="2645" priority="6387" operator="containsText" text="instalacion">
      <formula>NOT(ISERROR(SEARCH("instalacion",F863)))</formula>
    </cfRule>
    <cfRule type="containsText" dxfId="2644" priority="6388" operator="containsText" text="REVISION">
      <formula>NOT(ISERROR(SEARCH("REVISION",F863)))</formula>
    </cfRule>
    <cfRule type="containsText" dxfId="2643" priority="6389" operator="containsText" text="MIGRACION">
      <formula>NOT(ISERROR(SEARCH("MIGRACION",F863)))</formula>
    </cfRule>
  </conditionalFormatting>
  <conditionalFormatting sqref="F863:F864">
    <cfRule type="containsText" dxfId="2642" priority="6371" operator="containsText" text="RE-INSTALACION">
      <formula>NOT(ISERROR(SEARCH("RE-INSTALACION",F863)))</formula>
    </cfRule>
    <cfRule type="containsText" dxfId="2641" priority="6372" operator="containsText" text="DES-INSTALACION">
      <formula>NOT(ISERROR(SEARCH("DES-INSTALACION",F863)))</formula>
    </cfRule>
  </conditionalFormatting>
  <conditionalFormatting sqref="F864">
    <cfRule type="containsText" dxfId="2640" priority="6369" operator="containsText" text="REVISION">
      <formula>NOT(ISERROR(SEARCH("REVISION",F864)))</formula>
    </cfRule>
    <cfRule type="containsText" dxfId="2639" priority="6368" operator="containsText" text="MIGRACION">
      <formula>NOT(ISERROR(SEARCH("MIGRACION",F864)))</formula>
    </cfRule>
    <cfRule type="containsText" dxfId="2638" priority="6367" operator="containsText" text="REVISION">
      <formula>NOT(ISERROR(SEARCH("REVISION",F864)))</formula>
    </cfRule>
    <cfRule type="containsText" dxfId="2637" priority="6366" operator="containsText" text="instalacion">
      <formula>NOT(ISERROR(SEARCH("instalacion",F864)))</formula>
    </cfRule>
    <cfRule type="containsText" dxfId="2636" priority="6370" operator="containsText" text="BAJA">
      <formula>NOT(ISERROR(SEARCH("BAJA",F864)))</formula>
    </cfRule>
    <cfRule type="containsText" dxfId="2635" priority="6373" operator="containsText" text="INSTALACION">
      <formula>NOT(ISERROR(SEARCH("INSTALACION",F864)))</formula>
    </cfRule>
  </conditionalFormatting>
  <conditionalFormatting sqref="F864:F865">
    <cfRule type="containsText" dxfId="2634" priority="6351" operator="containsText" text="DES-INSTALACION">
      <formula>NOT(ISERROR(SEARCH("DES-INSTALACION",F864)))</formula>
    </cfRule>
    <cfRule type="containsText" dxfId="2633" priority="6350" operator="containsText" text="RE-INSTALACION">
      <formula>NOT(ISERROR(SEARCH("RE-INSTALACION",F864)))</formula>
    </cfRule>
  </conditionalFormatting>
  <conditionalFormatting sqref="F865">
    <cfRule type="containsText" dxfId="2632" priority="6345" operator="containsText" text="instalacion">
      <formula>NOT(ISERROR(SEARCH("instalacion",F865)))</formula>
    </cfRule>
    <cfRule type="containsText" dxfId="2631" priority="6346" operator="containsText" text="REVISION">
      <formula>NOT(ISERROR(SEARCH("REVISION",F865)))</formula>
    </cfRule>
    <cfRule type="containsText" dxfId="2630" priority="6347" operator="containsText" text="MIGRACION">
      <formula>NOT(ISERROR(SEARCH("MIGRACION",F865)))</formula>
    </cfRule>
    <cfRule type="containsText" dxfId="2629" priority="6352" operator="containsText" text="INSTALACION">
      <formula>NOT(ISERROR(SEARCH("INSTALACION",F865)))</formula>
    </cfRule>
    <cfRule type="containsText" dxfId="2628" priority="6349" operator="containsText" text="BAJA">
      <formula>NOT(ISERROR(SEARCH("BAJA",F865)))</formula>
    </cfRule>
    <cfRule type="containsText" dxfId="2627" priority="6348" operator="containsText" text="REVISION">
      <formula>NOT(ISERROR(SEARCH("REVISION",F865)))</formula>
    </cfRule>
  </conditionalFormatting>
  <conditionalFormatting sqref="F865:F866">
    <cfRule type="containsText" dxfId="2626" priority="6329" operator="containsText" text="RE-INSTALACION">
      <formula>NOT(ISERROR(SEARCH("RE-INSTALACION",F865)))</formula>
    </cfRule>
    <cfRule type="containsText" dxfId="2625" priority="6330" operator="containsText" text="DES-INSTALACION">
      <formula>NOT(ISERROR(SEARCH("DES-INSTALACION",F865)))</formula>
    </cfRule>
  </conditionalFormatting>
  <conditionalFormatting sqref="F866">
    <cfRule type="containsText" dxfId="2624" priority="6331" operator="containsText" text="INSTALACION">
      <formula>NOT(ISERROR(SEARCH("INSTALACION",F866)))</formula>
    </cfRule>
    <cfRule type="containsText" dxfId="2623" priority="6328" operator="containsText" text="BAJA">
      <formula>NOT(ISERROR(SEARCH("BAJA",F866)))</formula>
    </cfRule>
    <cfRule type="containsText" dxfId="2622" priority="6324" operator="containsText" text="instalacion">
      <formula>NOT(ISERROR(SEARCH("instalacion",F866)))</formula>
    </cfRule>
    <cfRule type="containsText" dxfId="2621" priority="6325" operator="containsText" text="REVISION">
      <formula>NOT(ISERROR(SEARCH("REVISION",F866)))</formula>
    </cfRule>
    <cfRule type="containsText" dxfId="2620" priority="6326" operator="containsText" text="MIGRACION">
      <formula>NOT(ISERROR(SEARCH("MIGRACION",F866)))</formula>
    </cfRule>
    <cfRule type="containsText" dxfId="2619" priority="6327" operator="containsText" text="REVISION">
      <formula>NOT(ISERROR(SEARCH("REVISION",F866)))</formula>
    </cfRule>
  </conditionalFormatting>
  <conditionalFormatting sqref="F866:F867">
    <cfRule type="containsText" dxfId="2618" priority="6308" operator="containsText" text="RE-INSTALACION">
      <formula>NOT(ISERROR(SEARCH("RE-INSTALACION",F866)))</formula>
    </cfRule>
    <cfRule type="containsText" dxfId="2617" priority="6309" operator="containsText" text="DES-INSTALACION">
      <formula>NOT(ISERROR(SEARCH("DES-INSTALACION",F866)))</formula>
    </cfRule>
  </conditionalFormatting>
  <conditionalFormatting sqref="F867">
    <cfRule type="containsText" dxfId="2616" priority="6306" operator="containsText" text="REVISION">
      <formula>NOT(ISERROR(SEARCH("REVISION",F867)))</formula>
    </cfRule>
    <cfRule type="containsText" dxfId="2615" priority="6310" operator="containsText" text="INSTALACION">
      <formula>NOT(ISERROR(SEARCH("INSTALACION",F867)))</formula>
    </cfRule>
    <cfRule type="containsText" dxfId="2614" priority="6303" operator="containsText" text="instalacion">
      <formula>NOT(ISERROR(SEARCH("instalacion",F867)))</formula>
    </cfRule>
    <cfRule type="containsText" dxfId="2613" priority="6304" operator="containsText" text="REVISION">
      <formula>NOT(ISERROR(SEARCH("REVISION",F867)))</formula>
    </cfRule>
    <cfRule type="containsText" dxfId="2612" priority="6305" operator="containsText" text="MIGRACION">
      <formula>NOT(ISERROR(SEARCH("MIGRACION",F867)))</formula>
    </cfRule>
    <cfRule type="containsText" dxfId="2611" priority="6307" operator="containsText" text="BAJA">
      <formula>NOT(ISERROR(SEARCH("BAJA",F867)))</formula>
    </cfRule>
  </conditionalFormatting>
  <conditionalFormatting sqref="F867:F868">
    <cfRule type="containsText" dxfId="2610" priority="6228" operator="containsText" text="RE-INSTALACION">
      <formula>NOT(ISERROR(SEARCH("RE-INSTALACION",F867)))</formula>
    </cfRule>
    <cfRule type="containsText" dxfId="2609" priority="6229" operator="containsText" text="DES-INSTALACION">
      <formula>NOT(ISERROR(SEARCH("DES-INSTALACION",F867)))</formula>
    </cfRule>
  </conditionalFormatting>
  <conditionalFormatting sqref="F868">
    <cfRule type="containsText" dxfId="2608" priority="6230" operator="containsText" text="INSTALACION">
      <formula>NOT(ISERROR(SEARCH("INSTALACION",F868)))</formula>
    </cfRule>
    <cfRule type="containsText" dxfId="2607" priority="6227" operator="containsText" text="BAJA">
      <formula>NOT(ISERROR(SEARCH("BAJA",F868)))</formula>
    </cfRule>
    <cfRule type="containsText" dxfId="2606" priority="6226" operator="containsText" text="REVISION">
      <formula>NOT(ISERROR(SEARCH("REVISION",F868)))</formula>
    </cfRule>
    <cfRule type="containsText" dxfId="2605" priority="6225" operator="containsText" text="MIGRACION">
      <formula>NOT(ISERROR(SEARCH("MIGRACION",F868)))</formula>
    </cfRule>
    <cfRule type="containsText" dxfId="2604" priority="6224" operator="containsText" text="REVISION">
      <formula>NOT(ISERROR(SEARCH("REVISION",F868)))</formula>
    </cfRule>
    <cfRule type="containsText" dxfId="2603" priority="6223" operator="containsText" text="instalacion">
      <formula>NOT(ISERROR(SEARCH("instalacion",F868)))</formula>
    </cfRule>
  </conditionalFormatting>
  <conditionalFormatting sqref="F868:F886">
    <cfRule type="containsText" dxfId="2602" priority="6164" operator="containsText" text="DES-INSTALACION">
      <formula>NOT(ISERROR(SEARCH("DES-INSTALACION",F868)))</formula>
    </cfRule>
    <cfRule type="containsText" dxfId="2601" priority="6163" operator="containsText" text="RE-INSTALACION">
      <formula>NOT(ISERROR(SEARCH("RE-INSTALACION",F868)))</formula>
    </cfRule>
  </conditionalFormatting>
  <conditionalFormatting sqref="F869:F886">
    <cfRule type="containsText" dxfId="2600" priority="6157" operator="containsText" text="DES-INSTALACION">
      <formula>NOT(ISERROR(SEARCH("DES-INSTALACION",F869)))</formula>
    </cfRule>
    <cfRule type="containsText" dxfId="2599" priority="6165" operator="containsText" text="INSTALACION">
      <formula>NOT(ISERROR(SEARCH("INSTALACION",F869)))</formula>
    </cfRule>
    <cfRule type="containsText" dxfId="2598" priority="6161" operator="containsText" text="REVISION">
      <formula>NOT(ISERROR(SEARCH("REVISION",F869)))</formula>
    </cfRule>
    <cfRule type="containsText" dxfId="2597" priority="6159" operator="containsText" text="REVISION">
      <formula>NOT(ISERROR(SEARCH("REVISION",F869)))</formula>
    </cfRule>
    <cfRule type="containsText" dxfId="2596" priority="6160" operator="containsText" text="MIGRACION">
      <formula>NOT(ISERROR(SEARCH("MIGRACION",F869)))</formula>
    </cfRule>
    <cfRule type="containsText" dxfId="2595" priority="6156" operator="containsText" text="RE-INSTALACION">
      <formula>NOT(ISERROR(SEARCH("RE-INSTALACION",F869)))</formula>
    </cfRule>
    <cfRule type="containsText" dxfId="2594" priority="6162" operator="containsText" text="BAJA">
      <formula>NOT(ISERROR(SEARCH("BAJA",F869)))</formula>
    </cfRule>
    <cfRule type="containsText" dxfId="2593" priority="6158" operator="containsText" text="instalacion">
      <formula>NOT(ISERROR(SEARCH("instalacion",F869)))</formula>
    </cfRule>
  </conditionalFormatting>
  <conditionalFormatting sqref="F887:F892">
    <cfRule type="containsText" dxfId="2592" priority="7045" operator="containsText" text="RE-INSTALACION">
      <formula>NOT(ISERROR(SEARCH("RE-INSTALACION",F887)))</formula>
    </cfRule>
    <cfRule type="containsText" dxfId="2591" priority="7046" operator="containsText" text="DES-INSTALACION">
      <formula>NOT(ISERROR(SEARCH("DES-INSTALACION",F887)))</formula>
    </cfRule>
  </conditionalFormatting>
  <conditionalFormatting sqref="F891">
    <cfRule type="containsText" dxfId="2590" priority="7038" operator="containsText" text="RE-INSTALACION">
      <formula>NOT(ISERROR(SEARCH("RE-INSTALACION",F891)))</formula>
    </cfRule>
    <cfRule type="containsText" dxfId="2589" priority="7039" operator="containsText" text="DES-INSTALACION">
      <formula>NOT(ISERROR(SEARCH("DES-INSTALACION",F891)))</formula>
    </cfRule>
    <cfRule type="containsText" dxfId="2588" priority="7040" operator="containsText" text="instalacion">
      <formula>NOT(ISERROR(SEARCH("instalacion",F891)))</formula>
    </cfRule>
    <cfRule type="containsText" dxfId="2587" priority="7047" operator="containsText" text="INSTALACION">
      <formula>NOT(ISERROR(SEARCH("INSTALACION",F891)))</formula>
    </cfRule>
    <cfRule type="containsText" dxfId="2586" priority="7044" operator="containsText" text="BAJA">
      <formula>NOT(ISERROR(SEARCH("BAJA",F891)))</formula>
    </cfRule>
    <cfRule type="containsText" dxfId="2585" priority="7043" operator="containsText" text="REVISION">
      <formula>NOT(ISERROR(SEARCH("REVISION",F891)))</formula>
    </cfRule>
    <cfRule type="containsText" dxfId="2584" priority="7042" operator="containsText" text="MIGRACION">
      <formula>NOT(ISERROR(SEARCH("MIGRACION",F891)))</formula>
    </cfRule>
    <cfRule type="containsText" dxfId="2583" priority="7041" operator="containsText" text="REVISION">
      <formula>NOT(ISERROR(SEARCH("REVISION",F891)))</formula>
    </cfRule>
  </conditionalFormatting>
  <conditionalFormatting sqref="F893">
    <cfRule type="containsText" dxfId="2582" priority="6277" operator="containsText" text="INSTALACION">
      <formula>NOT(ISERROR(SEARCH("INSTALACION",F893)))</formula>
    </cfRule>
    <cfRule type="containsText" dxfId="2581" priority="6273" operator="containsText" text="REVISION">
      <formula>NOT(ISERROR(SEARCH("REVISION",F893)))</formula>
    </cfRule>
    <cfRule type="containsText" dxfId="2580" priority="6270" operator="containsText" text="instalacion">
      <formula>NOT(ISERROR(SEARCH("instalacion",F893)))</formula>
    </cfRule>
    <cfRule type="containsText" dxfId="2579" priority="6271" operator="containsText" text="REVISION">
      <formula>NOT(ISERROR(SEARCH("REVISION",F893)))</formula>
    </cfRule>
    <cfRule type="containsText" dxfId="2578" priority="6269" operator="containsText" text="DES-INSTALACION">
      <formula>NOT(ISERROR(SEARCH("DES-INSTALACION",F893)))</formula>
    </cfRule>
    <cfRule type="containsText" dxfId="2577" priority="6268" operator="containsText" text="RE-INSTALACION">
      <formula>NOT(ISERROR(SEARCH("RE-INSTALACION",F893)))</formula>
    </cfRule>
    <cfRule type="containsText" dxfId="2576" priority="6274" operator="containsText" text="BAJA">
      <formula>NOT(ISERROR(SEARCH("BAJA",F893)))</formula>
    </cfRule>
    <cfRule type="containsText" dxfId="2575" priority="6272" operator="containsText" text="MIGRACION">
      <formula>NOT(ISERROR(SEARCH("MIGRACION",F893)))</formula>
    </cfRule>
  </conditionalFormatting>
  <conditionalFormatting sqref="F893:F899">
    <cfRule type="containsText" dxfId="2574" priority="6276" operator="containsText" text="DES-INSTALACION">
      <formula>NOT(ISERROR(SEARCH("DES-INSTALACION",F893)))</formula>
    </cfRule>
    <cfRule type="containsText" dxfId="2573" priority="6275" operator="containsText" text="RE-INSTALACION">
      <formula>NOT(ISERROR(SEARCH("RE-INSTALACION",F893)))</formula>
    </cfRule>
  </conditionalFormatting>
  <conditionalFormatting sqref="F900">
    <cfRule type="containsText" dxfId="2572" priority="6140" operator="containsText" text="INSTALACION">
      <formula>NOT(ISERROR(SEARCH("INSTALACION",F900)))</formula>
    </cfRule>
    <cfRule type="containsText" dxfId="2571" priority="6132" operator="containsText" text="DES-INSTALACION">
      <formula>NOT(ISERROR(SEARCH("DES-INSTALACION",F900)))</formula>
    </cfRule>
    <cfRule type="containsText" dxfId="2570" priority="6131" operator="containsText" text="RE-INSTALACION">
      <formula>NOT(ISERROR(SEARCH("RE-INSTALACION",F900)))</formula>
    </cfRule>
    <cfRule type="containsText" dxfId="2569" priority="6133" operator="containsText" text="instalacion">
      <formula>NOT(ISERROR(SEARCH("instalacion",F900)))</formula>
    </cfRule>
    <cfRule type="containsText" dxfId="2568" priority="6134" operator="containsText" text="REVISION">
      <formula>NOT(ISERROR(SEARCH("REVISION",F900)))</formula>
    </cfRule>
    <cfRule type="containsText" dxfId="2567" priority="6135" operator="containsText" text="MIGRACION">
      <formula>NOT(ISERROR(SEARCH("MIGRACION",F900)))</formula>
    </cfRule>
    <cfRule type="containsText" dxfId="2566" priority="6136" operator="containsText" text="REVISION">
      <formula>NOT(ISERROR(SEARCH("REVISION",F900)))</formula>
    </cfRule>
    <cfRule type="containsText" dxfId="2565" priority="6137" operator="containsText" text="BAJA">
      <formula>NOT(ISERROR(SEARCH("BAJA",F900)))</formula>
    </cfRule>
  </conditionalFormatting>
  <conditionalFormatting sqref="F900:F903">
    <cfRule type="containsText" dxfId="2564" priority="6138" operator="containsText" text="RE-INSTALACION">
      <formula>NOT(ISERROR(SEARCH("RE-INSTALACION",F900)))</formula>
    </cfRule>
    <cfRule type="containsText" dxfId="2563" priority="6139" operator="containsText" text="DES-INSTALACION">
      <formula>NOT(ISERROR(SEARCH("DES-INSTALACION",F900)))</formula>
    </cfRule>
  </conditionalFormatting>
  <conditionalFormatting sqref="F904:F907">
    <cfRule type="containsText" dxfId="2562" priority="6014" operator="containsText" text="BAJA">
      <formula>NOT(ISERROR(SEARCH("BAJA",F904)))</formula>
    </cfRule>
    <cfRule type="containsText" dxfId="2561" priority="6013" operator="containsText" text="REVISION">
      <formula>NOT(ISERROR(SEARCH("REVISION",F904)))</formula>
    </cfRule>
    <cfRule type="containsText" dxfId="2560" priority="6012" operator="containsText" text="MIGRACION">
      <formula>NOT(ISERROR(SEARCH("MIGRACION",F904)))</formula>
    </cfRule>
    <cfRule type="containsText" dxfId="2559" priority="6011" operator="containsText" text="REVISION">
      <formula>NOT(ISERROR(SEARCH("REVISION",F904)))</formula>
    </cfRule>
    <cfRule type="containsText" dxfId="2558" priority="6010" operator="containsText" text="instalacion">
      <formula>NOT(ISERROR(SEARCH("instalacion",F904)))</formula>
    </cfRule>
    <cfRule type="containsText" dxfId="2557" priority="6009" operator="containsText" text="DES-INSTALACION">
      <formula>NOT(ISERROR(SEARCH("DES-INSTALACION",F904)))</formula>
    </cfRule>
    <cfRule type="containsText" dxfId="2556" priority="6008" operator="containsText" text="RE-INSTALACION">
      <formula>NOT(ISERROR(SEARCH("RE-INSTALACION",F904)))</formula>
    </cfRule>
    <cfRule type="containsText" dxfId="2555" priority="6017" operator="containsText" text="INSTALACION">
      <formula>NOT(ISERROR(SEARCH("INSTALACION",F904)))</formula>
    </cfRule>
  </conditionalFormatting>
  <conditionalFormatting sqref="F904:F911">
    <cfRule type="containsText" dxfId="2554" priority="6016" operator="containsText" text="DES-INSTALACION">
      <formula>NOT(ISERROR(SEARCH("DES-INSTALACION",F904)))</formula>
    </cfRule>
    <cfRule type="containsText" dxfId="2553" priority="6015" operator="containsText" text="RE-INSTALACION">
      <formula>NOT(ISERROR(SEARCH("RE-INSTALACION",F904)))</formula>
    </cfRule>
  </conditionalFormatting>
  <conditionalFormatting sqref="F912">
    <cfRule type="containsText" dxfId="2552" priority="5827" operator="containsText" text="RE-INSTALACION">
      <formula>NOT(ISERROR(SEARCH("RE-INSTALACION",F912)))</formula>
    </cfRule>
    <cfRule type="containsText" dxfId="2551" priority="5833" operator="containsText" text="BAJA">
      <formula>NOT(ISERROR(SEARCH("BAJA",F912)))</formula>
    </cfRule>
    <cfRule type="containsText" dxfId="2550" priority="5829" operator="containsText" text="instalacion">
      <formula>NOT(ISERROR(SEARCH("instalacion",F912)))</formula>
    </cfRule>
    <cfRule type="containsText" dxfId="2549" priority="5836" operator="containsText" text="INSTALACION">
      <formula>NOT(ISERROR(SEARCH("INSTALACION",F912)))</formula>
    </cfRule>
    <cfRule type="containsText" dxfId="2548" priority="5828" operator="containsText" text="DES-INSTALACION">
      <formula>NOT(ISERROR(SEARCH("DES-INSTALACION",F912)))</formula>
    </cfRule>
    <cfRule type="containsText" dxfId="2547" priority="5832" operator="containsText" text="REVISION">
      <formula>NOT(ISERROR(SEARCH("REVISION",F912)))</formula>
    </cfRule>
    <cfRule type="containsText" dxfId="2546" priority="5831" operator="containsText" text="MIGRACION">
      <formula>NOT(ISERROR(SEARCH("MIGRACION",F912)))</formula>
    </cfRule>
    <cfRule type="containsText" dxfId="2545" priority="5830" operator="containsText" text="REVISION">
      <formula>NOT(ISERROR(SEARCH("REVISION",F912)))</formula>
    </cfRule>
  </conditionalFormatting>
  <conditionalFormatting sqref="F912:F913">
    <cfRule type="containsText" dxfId="2544" priority="5835" operator="containsText" text="DES-INSTALACION">
      <formula>NOT(ISERROR(SEARCH("DES-INSTALACION",F912)))</formula>
    </cfRule>
    <cfRule type="containsText" dxfId="2543" priority="5834" operator="containsText" text="RE-INSTALACION">
      <formula>NOT(ISERROR(SEARCH("RE-INSTALACION",F912)))</formula>
    </cfRule>
  </conditionalFormatting>
  <conditionalFormatting sqref="F914">
    <cfRule type="containsText" dxfId="2542" priority="5806" operator="containsText" text="instalacion">
      <formula>NOT(ISERROR(SEARCH("instalacion",F914)))</formula>
    </cfRule>
    <cfRule type="containsText" dxfId="2541" priority="5807" operator="containsText" text="REVISION">
      <formula>NOT(ISERROR(SEARCH("REVISION",F914)))</formula>
    </cfRule>
    <cfRule type="containsText" dxfId="2540" priority="5808" operator="containsText" text="MIGRACION">
      <formula>NOT(ISERROR(SEARCH("MIGRACION",F914)))</formula>
    </cfRule>
    <cfRule type="containsText" dxfId="2539" priority="5813" operator="containsText" text="INSTALACION">
      <formula>NOT(ISERROR(SEARCH("INSTALACION",F914)))</formula>
    </cfRule>
    <cfRule type="containsText" dxfId="2538" priority="5804" operator="containsText" text="RE-INSTALACION">
      <formula>NOT(ISERROR(SEARCH("RE-INSTALACION",F914)))</formula>
    </cfRule>
    <cfRule type="containsText" dxfId="2537" priority="5810" operator="containsText" text="BAJA">
      <formula>NOT(ISERROR(SEARCH("BAJA",F914)))</formula>
    </cfRule>
    <cfRule type="containsText" dxfId="2536" priority="5809" operator="containsText" text="REVISION">
      <formula>NOT(ISERROR(SEARCH("REVISION",F914)))</formula>
    </cfRule>
    <cfRule type="containsText" dxfId="2535" priority="5805" operator="containsText" text="DES-INSTALACION">
      <formula>NOT(ISERROR(SEARCH("DES-INSTALACION",F914)))</formula>
    </cfRule>
  </conditionalFormatting>
  <conditionalFormatting sqref="F914:F921">
    <cfRule type="containsText" dxfId="2534" priority="5812" operator="containsText" text="DES-INSTALACION">
      <formula>NOT(ISERROR(SEARCH("DES-INSTALACION",F914)))</formula>
    </cfRule>
    <cfRule type="containsText" dxfId="2533" priority="5811" operator="containsText" text="RE-INSTALACION">
      <formula>NOT(ISERROR(SEARCH("RE-INSTALACION",F914)))</formula>
    </cfRule>
  </conditionalFormatting>
  <conditionalFormatting sqref="F922">
    <cfRule type="containsText" dxfId="2532" priority="5766" operator="containsText" text="instalacion">
      <formula>NOT(ISERROR(SEARCH("instalacion",F922)))</formula>
    </cfRule>
    <cfRule type="containsText" dxfId="2531" priority="5767" operator="containsText" text="REVISION">
      <formula>NOT(ISERROR(SEARCH("REVISION",F922)))</formula>
    </cfRule>
    <cfRule type="containsText" dxfId="2530" priority="5771" operator="containsText" text="RE-INSTALACION">
      <formula>NOT(ISERROR(SEARCH("RE-INSTALACION",F922)))</formula>
    </cfRule>
    <cfRule type="containsText" dxfId="2529" priority="5773" operator="containsText" text="INSTALACION">
      <formula>NOT(ISERROR(SEARCH("INSTALACION",F922)))</formula>
    </cfRule>
    <cfRule type="containsText" dxfId="2528" priority="5772" operator="containsText" text="DES-INSTALACION">
      <formula>NOT(ISERROR(SEARCH("DES-INSTALACION",F922)))</formula>
    </cfRule>
    <cfRule type="containsText" dxfId="2527" priority="5768" operator="containsText" text="MIGRACION">
      <formula>NOT(ISERROR(SEARCH("MIGRACION",F922)))</formula>
    </cfRule>
    <cfRule type="containsText" dxfId="2526" priority="5769" operator="containsText" text="REVISION">
      <formula>NOT(ISERROR(SEARCH("REVISION",F922)))</formula>
    </cfRule>
    <cfRule type="containsText" dxfId="2525" priority="5770" operator="containsText" text="BAJA">
      <formula>NOT(ISERROR(SEARCH("BAJA",F922)))</formula>
    </cfRule>
  </conditionalFormatting>
  <conditionalFormatting sqref="F922:F923">
    <cfRule type="containsText" dxfId="2524" priority="5748" operator="containsText" text="RE-INSTALACION">
      <formula>NOT(ISERROR(SEARCH("RE-INSTALACION",F922)))</formula>
    </cfRule>
    <cfRule type="containsText" dxfId="2523" priority="5749" operator="containsText" text="DES-INSTALACION">
      <formula>NOT(ISERROR(SEARCH("DES-INSTALACION",F922)))</formula>
    </cfRule>
  </conditionalFormatting>
  <conditionalFormatting sqref="F923">
    <cfRule type="containsText" dxfId="2522" priority="5742" operator="containsText" text="DES-INSTALACION">
      <formula>NOT(ISERROR(SEARCH("DES-INSTALACION",F923)))</formula>
    </cfRule>
    <cfRule type="containsText" dxfId="2521" priority="5743" operator="containsText" text="instalacion">
      <formula>NOT(ISERROR(SEARCH("instalacion",F923)))</formula>
    </cfRule>
    <cfRule type="containsText" dxfId="2520" priority="5744" operator="containsText" text="REVISION">
      <formula>NOT(ISERROR(SEARCH("REVISION",F923)))</formula>
    </cfRule>
    <cfRule type="containsText" dxfId="2519" priority="5745" operator="containsText" text="MIGRACION">
      <formula>NOT(ISERROR(SEARCH("MIGRACION",F923)))</formula>
    </cfRule>
    <cfRule type="containsText" dxfId="2518" priority="5746" operator="containsText" text="REVISION">
      <formula>NOT(ISERROR(SEARCH("REVISION",F923)))</formula>
    </cfRule>
    <cfRule type="containsText" dxfId="2517" priority="5747" operator="containsText" text="BAJA">
      <formula>NOT(ISERROR(SEARCH("BAJA",F923)))</formula>
    </cfRule>
    <cfRule type="containsText" dxfId="2516" priority="5741" operator="containsText" text="RE-INSTALACION">
      <formula>NOT(ISERROR(SEARCH("RE-INSTALACION",F923)))</formula>
    </cfRule>
    <cfRule type="containsText" dxfId="2515" priority="5750" operator="containsText" text="INSTALACION">
      <formula>NOT(ISERROR(SEARCH("INSTALACION",F923)))</formula>
    </cfRule>
  </conditionalFormatting>
  <conditionalFormatting sqref="F926:F933">
    <cfRule type="containsText" dxfId="2514" priority="5713" operator="containsText" text="DES-INSTALACION">
      <formula>NOT(ISERROR(SEARCH("DES-INSTALACION",F926)))</formula>
    </cfRule>
    <cfRule type="containsText" dxfId="2513" priority="5712" operator="containsText" text="RE-INSTALACION">
      <formula>NOT(ISERROR(SEARCH("RE-INSTALACION",F926)))</formula>
    </cfRule>
  </conditionalFormatting>
  <conditionalFormatting sqref="F927">
    <cfRule type="containsText" dxfId="2512" priority="5714" operator="containsText" text="INSTALACION">
      <formula>NOT(ISERROR(SEARCH("INSTALACION",F927)))</formula>
    </cfRule>
    <cfRule type="containsText" dxfId="2511" priority="5705" operator="containsText" text="RE-INSTALACION">
      <formula>NOT(ISERROR(SEARCH("RE-INSTALACION",F927)))</formula>
    </cfRule>
    <cfRule type="containsText" dxfId="2510" priority="5706" operator="containsText" text="DES-INSTALACION">
      <formula>NOT(ISERROR(SEARCH("DES-INSTALACION",F927)))</formula>
    </cfRule>
    <cfRule type="containsText" dxfId="2509" priority="5707" operator="containsText" text="instalacion">
      <formula>NOT(ISERROR(SEARCH("instalacion",F927)))</formula>
    </cfRule>
    <cfRule type="containsText" dxfId="2508" priority="5708" operator="containsText" text="REVISION">
      <formula>NOT(ISERROR(SEARCH("REVISION",F927)))</formula>
    </cfRule>
    <cfRule type="containsText" dxfId="2507" priority="5709" operator="containsText" text="MIGRACION">
      <formula>NOT(ISERROR(SEARCH("MIGRACION",F927)))</formula>
    </cfRule>
    <cfRule type="containsText" dxfId="2506" priority="5710" operator="containsText" text="REVISION">
      <formula>NOT(ISERROR(SEARCH("REVISION",F927)))</formula>
    </cfRule>
    <cfRule type="containsText" dxfId="2505" priority="5711" operator="containsText" text="BAJA">
      <formula>NOT(ISERROR(SEARCH("BAJA",F927)))</formula>
    </cfRule>
  </conditionalFormatting>
  <conditionalFormatting sqref="F934">
    <cfRule type="containsText" dxfId="2504" priority="5672" operator="containsText" text="instalacion">
      <formula>NOT(ISERROR(SEARCH("instalacion",F934)))</formula>
    </cfRule>
    <cfRule type="containsText" dxfId="2503" priority="5676" operator="containsText" text="BAJA">
      <formula>NOT(ISERROR(SEARCH("BAJA",F934)))</formula>
    </cfRule>
    <cfRule type="containsText" dxfId="2502" priority="5675" operator="containsText" text="REVISION">
      <formula>NOT(ISERROR(SEARCH("REVISION",F934)))</formula>
    </cfRule>
    <cfRule type="containsText" dxfId="2501" priority="5674" operator="containsText" text="MIGRACION">
      <formula>NOT(ISERROR(SEARCH("MIGRACION",F934)))</formula>
    </cfRule>
    <cfRule type="containsText" dxfId="2500" priority="5673" operator="containsText" text="REVISION">
      <formula>NOT(ISERROR(SEARCH("REVISION",F934)))</formula>
    </cfRule>
    <cfRule type="containsText" dxfId="2499" priority="5671" operator="containsText" text="DES-INSTALACION">
      <formula>NOT(ISERROR(SEARCH("DES-INSTALACION",F934)))</formula>
    </cfRule>
    <cfRule type="containsText" dxfId="2498" priority="5670" operator="containsText" text="RE-INSTALACION">
      <formula>NOT(ISERROR(SEARCH("RE-INSTALACION",F934)))</formula>
    </cfRule>
    <cfRule type="containsText" dxfId="2497" priority="5679" operator="containsText" text="INSTALACION">
      <formula>NOT(ISERROR(SEARCH("INSTALACION",F934)))</formula>
    </cfRule>
  </conditionalFormatting>
  <conditionalFormatting sqref="F934:F939">
    <cfRule type="containsText" dxfId="2496" priority="5677" operator="containsText" text="RE-INSTALACION">
      <formula>NOT(ISERROR(SEARCH("RE-INSTALACION",F934)))</formula>
    </cfRule>
    <cfRule type="containsText" dxfId="2495" priority="5678" operator="containsText" text="DES-INSTALACION">
      <formula>NOT(ISERROR(SEARCH("DES-INSTALACION",F934)))</formula>
    </cfRule>
  </conditionalFormatting>
  <conditionalFormatting sqref="F940">
    <cfRule type="containsText" dxfId="2494" priority="5633" operator="containsText" text="REVISION">
      <formula>NOT(ISERROR(SEARCH("REVISION",F940)))</formula>
    </cfRule>
    <cfRule type="containsText" dxfId="2493" priority="5632" operator="containsText" text="MIGRACION">
      <formula>NOT(ISERROR(SEARCH("MIGRACION",F940)))</formula>
    </cfRule>
    <cfRule type="containsText" dxfId="2492" priority="5631" operator="containsText" text="REVISION">
      <formula>NOT(ISERROR(SEARCH("REVISION",F940)))</formula>
    </cfRule>
    <cfRule type="containsText" dxfId="2491" priority="5630" operator="containsText" text="instalacion">
      <formula>NOT(ISERROR(SEARCH("instalacion",F940)))</formula>
    </cfRule>
    <cfRule type="containsText" dxfId="2490" priority="5628" operator="containsText" text="RE-INSTALACION">
      <formula>NOT(ISERROR(SEARCH("RE-INSTALACION",F940)))</formula>
    </cfRule>
    <cfRule type="containsText" dxfId="2489" priority="5629" operator="containsText" text="DES-INSTALACION">
      <formula>NOT(ISERROR(SEARCH("DES-INSTALACION",F940)))</formula>
    </cfRule>
    <cfRule type="containsText" dxfId="2488" priority="5637" operator="containsText" text="INSTALACION">
      <formula>NOT(ISERROR(SEARCH("INSTALACION",F940)))</formula>
    </cfRule>
    <cfRule type="containsText" dxfId="2487" priority="5634" operator="containsText" text="BAJA">
      <formula>NOT(ISERROR(SEARCH("BAJA",F940)))</formula>
    </cfRule>
  </conditionalFormatting>
  <conditionalFormatting sqref="F940:F942">
    <cfRule type="containsText" dxfId="2486" priority="5635" operator="containsText" text="RE-INSTALACION">
      <formula>NOT(ISERROR(SEARCH("RE-INSTALACION",F940)))</formula>
    </cfRule>
    <cfRule type="containsText" dxfId="2485" priority="5636" operator="containsText" text="DES-INSTALACION">
      <formula>NOT(ISERROR(SEARCH("DES-INSTALACION",F940)))</formula>
    </cfRule>
  </conditionalFormatting>
  <conditionalFormatting sqref="F943">
    <cfRule type="containsText" dxfId="2484" priority="5605" operator="containsText" text="instalacion">
      <formula>NOT(ISERROR(SEARCH("instalacion",F943)))</formula>
    </cfRule>
    <cfRule type="containsText" dxfId="2483" priority="5609" operator="containsText" text="BAJA">
      <formula>NOT(ISERROR(SEARCH("BAJA",F943)))</formula>
    </cfRule>
    <cfRule type="containsText" dxfId="2482" priority="5606" operator="containsText" text="REVISION">
      <formula>NOT(ISERROR(SEARCH("REVISION",F943)))</formula>
    </cfRule>
    <cfRule type="containsText" dxfId="2481" priority="5608" operator="containsText" text="REVISION">
      <formula>NOT(ISERROR(SEARCH("REVISION",F943)))</formula>
    </cfRule>
    <cfRule type="containsText" dxfId="2480" priority="5607" operator="containsText" text="MIGRACION">
      <formula>NOT(ISERROR(SEARCH("MIGRACION",F943)))</formula>
    </cfRule>
    <cfRule type="containsText" dxfId="2479" priority="5612" operator="containsText" text="INSTALACION">
      <formula>NOT(ISERROR(SEARCH("INSTALACION",F943)))</formula>
    </cfRule>
    <cfRule type="containsText" dxfId="2478" priority="5603" operator="containsText" text="RE-INSTALACION">
      <formula>NOT(ISERROR(SEARCH("RE-INSTALACION",F943)))</formula>
    </cfRule>
    <cfRule type="containsText" dxfId="2477" priority="5604" operator="containsText" text="DES-INSTALACION">
      <formula>NOT(ISERROR(SEARCH("DES-INSTALACION",F943)))</formula>
    </cfRule>
  </conditionalFormatting>
  <conditionalFormatting sqref="F943:F945">
    <cfRule type="containsText" dxfId="2476" priority="5611" operator="containsText" text="DES-INSTALACION">
      <formula>NOT(ISERROR(SEARCH("DES-INSTALACION",F943)))</formula>
    </cfRule>
    <cfRule type="containsText" dxfId="2475" priority="5610" operator="containsText" text="RE-INSTALACION">
      <formula>NOT(ISERROR(SEARCH("RE-INSTALACION",F943)))</formula>
    </cfRule>
  </conditionalFormatting>
  <conditionalFormatting sqref="F946">
    <cfRule type="containsText" dxfId="2474" priority="5587" operator="containsText" text="INSTALACION">
      <formula>NOT(ISERROR(SEARCH("INSTALACION",F946)))</formula>
    </cfRule>
    <cfRule type="containsText" dxfId="2473" priority="5586" operator="containsText" text="DES-INSTALACION">
      <formula>NOT(ISERROR(SEARCH("DES-INSTALACION",F946)))</formula>
    </cfRule>
    <cfRule type="containsText" dxfId="2472" priority="5585" operator="containsText" text="RE-INSTALACION">
      <formula>NOT(ISERROR(SEARCH("RE-INSTALACION",F946)))</formula>
    </cfRule>
    <cfRule type="containsText" dxfId="2471" priority="5584" operator="containsText" text="BAJA">
      <formula>NOT(ISERROR(SEARCH("BAJA",F946)))</formula>
    </cfRule>
    <cfRule type="containsText" dxfId="2470" priority="5583" operator="containsText" text="REVISION">
      <formula>NOT(ISERROR(SEARCH("REVISION",F946)))</formula>
    </cfRule>
    <cfRule type="containsText" dxfId="2469" priority="5582" operator="containsText" text="MIGRACION">
      <formula>NOT(ISERROR(SEARCH("MIGRACION",F946)))</formula>
    </cfRule>
    <cfRule type="containsText" dxfId="2468" priority="5581" operator="containsText" text="REVISION">
      <formula>NOT(ISERROR(SEARCH("REVISION",F946)))</formula>
    </cfRule>
    <cfRule type="containsText" dxfId="2467" priority="5580" operator="containsText" text="instalacion">
      <formula>NOT(ISERROR(SEARCH("instalacion",F946)))</formula>
    </cfRule>
  </conditionalFormatting>
  <conditionalFormatting sqref="F946:F949">
    <cfRule type="containsText" dxfId="2466" priority="5563" operator="containsText" text="DES-INSTALACION">
      <formula>NOT(ISERROR(SEARCH("DES-INSTALACION",F946)))</formula>
    </cfRule>
    <cfRule type="containsText" dxfId="2465" priority="5562" operator="containsText" text="RE-INSTALACION">
      <formula>NOT(ISERROR(SEARCH("RE-INSTALACION",F946)))</formula>
    </cfRule>
  </conditionalFormatting>
  <conditionalFormatting sqref="F947">
    <cfRule type="containsText" dxfId="2464" priority="5560" operator="containsText" text="REVISION">
      <formula>NOT(ISERROR(SEARCH("REVISION",F947)))</formula>
    </cfRule>
    <cfRule type="containsText" dxfId="2463" priority="5561" operator="containsText" text="BAJA">
      <formula>NOT(ISERROR(SEARCH("BAJA",F947)))</formula>
    </cfRule>
    <cfRule type="containsText" dxfId="2462" priority="5564" operator="containsText" text="INSTALACION">
      <formula>NOT(ISERROR(SEARCH("INSTALACION",F947)))</formula>
    </cfRule>
    <cfRule type="containsText" dxfId="2461" priority="5555" operator="containsText" text="RE-INSTALACION">
      <formula>NOT(ISERROR(SEARCH("RE-INSTALACION",F947)))</formula>
    </cfRule>
    <cfRule type="containsText" dxfId="2460" priority="5556" operator="containsText" text="DES-INSTALACION">
      <formula>NOT(ISERROR(SEARCH("DES-INSTALACION",F947)))</formula>
    </cfRule>
    <cfRule type="containsText" dxfId="2459" priority="5557" operator="containsText" text="instalacion">
      <formula>NOT(ISERROR(SEARCH("instalacion",F947)))</formula>
    </cfRule>
    <cfRule type="containsText" dxfId="2458" priority="5558" operator="containsText" text="REVISION">
      <formula>NOT(ISERROR(SEARCH("REVISION",F947)))</formula>
    </cfRule>
    <cfRule type="containsText" dxfId="2457" priority="5559" operator="containsText" text="MIGRACION">
      <formula>NOT(ISERROR(SEARCH("MIGRACION",F947)))</formula>
    </cfRule>
  </conditionalFormatting>
  <conditionalFormatting sqref="F950">
    <cfRule type="containsText" dxfId="2456" priority="5531" operator="containsText" text="REVISION">
      <formula>NOT(ISERROR(SEARCH("REVISION",F950)))</formula>
    </cfRule>
    <cfRule type="containsText" dxfId="2455" priority="5530" operator="containsText" text="instalacion">
      <formula>NOT(ISERROR(SEARCH("instalacion",F950)))</formula>
    </cfRule>
    <cfRule type="containsText" dxfId="2454" priority="5528" operator="containsText" text="DES-INSTALACION">
      <formula>NOT(ISERROR(SEARCH("DES-INSTALACION",F950)))</formula>
    </cfRule>
    <cfRule type="containsText" dxfId="2453" priority="5527" operator="containsText" text="RE-INSTALACION">
      <formula>NOT(ISERROR(SEARCH("RE-INSTALACION",F950)))</formula>
    </cfRule>
    <cfRule type="containsText" dxfId="2452" priority="5532" operator="containsText" text="MIGRACION">
      <formula>NOT(ISERROR(SEARCH("MIGRACION",F950)))</formula>
    </cfRule>
    <cfRule type="containsText" dxfId="2451" priority="5533" operator="containsText" text="REVISION">
      <formula>NOT(ISERROR(SEARCH("REVISION",F950)))</formula>
    </cfRule>
    <cfRule type="containsText" dxfId="2450" priority="5534" operator="containsText" text="BAJA">
      <formula>NOT(ISERROR(SEARCH("BAJA",F950)))</formula>
    </cfRule>
    <cfRule type="containsText" dxfId="2449" priority="5537" operator="containsText" text="INSTALACION">
      <formula>NOT(ISERROR(SEARCH("INSTALACION",F950)))</formula>
    </cfRule>
  </conditionalFormatting>
  <conditionalFormatting sqref="F950:F952">
    <cfRule type="containsText" dxfId="2448" priority="5536" operator="containsText" text="DES-INSTALACION">
      <formula>NOT(ISERROR(SEARCH("DES-INSTALACION",F950)))</formula>
    </cfRule>
    <cfRule type="containsText" dxfId="2447" priority="5535" operator="containsText" text="RE-INSTALACION">
      <formula>NOT(ISERROR(SEARCH("RE-INSTALACION",F950)))</formula>
    </cfRule>
  </conditionalFormatting>
  <conditionalFormatting sqref="F953">
    <cfRule type="containsText" dxfId="2446" priority="5474" operator="containsText" text="RE-INSTALACION">
      <formula>NOT(ISERROR(SEARCH("RE-INSTALACION",F953)))</formula>
    </cfRule>
    <cfRule type="containsText" dxfId="2445" priority="5483" operator="containsText" text="INSTALACION">
      <formula>NOT(ISERROR(SEARCH("INSTALACION",F953)))</formula>
    </cfRule>
    <cfRule type="containsText" dxfId="2444" priority="5480" operator="containsText" text="BAJA">
      <formula>NOT(ISERROR(SEARCH("BAJA",F953)))</formula>
    </cfRule>
    <cfRule type="containsText" dxfId="2443" priority="5479" operator="containsText" text="REVISION">
      <formula>NOT(ISERROR(SEARCH("REVISION",F953)))</formula>
    </cfRule>
    <cfRule type="containsText" dxfId="2442" priority="5478" operator="containsText" text="MIGRACION">
      <formula>NOT(ISERROR(SEARCH("MIGRACION",F953)))</formula>
    </cfRule>
    <cfRule type="containsText" dxfId="2441" priority="5477" operator="containsText" text="REVISION">
      <formula>NOT(ISERROR(SEARCH("REVISION",F953)))</formula>
    </cfRule>
    <cfRule type="containsText" dxfId="2440" priority="5476" operator="containsText" text="instalacion">
      <formula>NOT(ISERROR(SEARCH("instalacion",F953)))</formula>
    </cfRule>
    <cfRule type="containsText" dxfId="2439" priority="5475" operator="containsText" text="DES-INSTALACION">
      <formula>NOT(ISERROR(SEARCH("DES-INSTALACION",F953)))</formula>
    </cfRule>
  </conditionalFormatting>
  <conditionalFormatting sqref="F953:F954">
    <cfRule type="containsText" dxfId="2438" priority="5481" operator="containsText" text="RE-INSTALACION">
      <formula>NOT(ISERROR(SEARCH("RE-INSTALACION",F953)))</formula>
    </cfRule>
    <cfRule type="containsText" dxfId="2437" priority="5482" operator="containsText" text="DES-INSTALACION">
      <formula>NOT(ISERROR(SEARCH("DES-INSTALACION",F953)))</formula>
    </cfRule>
  </conditionalFormatting>
  <conditionalFormatting sqref="F955:F996">
    <cfRule type="containsText" dxfId="2436" priority="5464" operator="containsText" text="DES-INSTALACION">
      <formula>NOT(ISERROR(SEARCH("DES-INSTALACION",F955)))</formula>
    </cfRule>
    <cfRule type="containsText" dxfId="2435" priority="5465" operator="containsText" text="INSTALACION">
      <formula>NOT(ISERROR(SEARCH("INSTALACION",F955)))</formula>
    </cfRule>
    <cfRule type="containsText" dxfId="2434" priority="5463" operator="containsText" text="RE-INSTALACION">
      <formula>NOT(ISERROR(SEARCH("RE-INSTALACION",F955)))</formula>
    </cfRule>
    <cfRule type="containsText" dxfId="2433" priority="5462" operator="containsText" text="BAJA">
      <formula>NOT(ISERROR(SEARCH("BAJA",F955)))</formula>
    </cfRule>
    <cfRule type="containsText" dxfId="2432" priority="5461" operator="containsText" text="REVISION">
      <formula>NOT(ISERROR(SEARCH("REVISION",F955)))</formula>
    </cfRule>
    <cfRule type="containsText" dxfId="2431" priority="5460" operator="containsText" text="MIGRACION">
      <formula>NOT(ISERROR(SEARCH("MIGRACION",F955)))</formula>
    </cfRule>
    <cfRule type="containsText" dxfId="2430" priority="5459" operator="containsText" text="REVISION">
      <formula>NOT(ISERROR(SEARCH("REVISION",F955)))</formula>
    </cfRule>
    <cfRule type="containsText" dxfId="2429" priority="5458" operator="containsText" text="instalacion">
      <formula>NOT(ISERROR(SEARCH("instalacion",F955)))</formula>
    </cfRule>
  </conditionalFormatting>
  <conditionalFormatting sqref="F955:F998">
    <cfRule type="containsText" dxfId="2428" priority="5102" operator="containsText" text="RE-INSTALACION">
      <formula>NOT(ISERROR(SEARCH("RE-INSTALACION",F955)))</formula>
    </cfRule>
    <cfRule type="containsText" dxfId="2427" priority="5103" operator="containsText" text="DES-INSTALACION">
      <formula>NOT(ISERROR(SEARCH("DES-INSTALACION",F955)))</formula>
    </cfRule>
  </conditionalFormatting>
  <conditionalFormatting sqref="F997">
    <cfRule type="containsText" dxfId="2426" priority="5098" operator="containsText" text="REVISION">
      <formula>NOT(ISERROR(SEARCH("REVISION",F997)))</formula>
    </cfRule>
    <cfRule type="containsText" dxfId="2425" priority="5099" operator="containsText" text="MIGRACION">
      <formula>NOT(ISERROR(SEARCH("MIGRACION",F997)))</formula>
    </cfRule>
    <cfRule type="containsText" dxfId="2424" priority="5100" operator="containsText" text="REVISION">
      <formula>NOT(ISERROR(SEARCH("REVISION",F997)))</formula>
    </cfRule>
    <cfRule type="containsText" dxfId="2423" priority="5101" operator="containsText" text="BAJA">
      <formula>NOT(ISERROR(SEARCH("BAJA",F997)))</formula>
    </cfRule>
    <cfRule type="containsText" dxfId="2422" priority="5104" operator="containsText" text="INSTALACION">
      <formula>NOT(ISERROR(SEARCH("INSTALACION",F997)))</formula>
    </cfRule>
    <cfRule type="containsText" dxfId="2421" priority="5095" operator="containsText" text="RE-INSTALACION">
      <formula>NOT(ISERROR(SEARCH("RE-INSTALACION",F997)))</formula>
    </cfRule>
    <cfRule type="containsText" dxfId="2420" priority="5096" operator="containsText" text="DES-INSTALACION">
      <formula>NOT(ISERROR(SEARCH("DES-INSTALACION",F997)))</formula>
    </cfRule>
    <cfRule type="containsText" dxfId="2419" priority="5097" operator="containsText" text="instalacion">
      <formula>NOT(ISERROR(SEARCH("instalacion",F997)))</formula>
    </cfRule>
  </conditionalFormatting>
  <conditionalFormatting sqref="F998">
    <cfRule type="containsText" dxfId="2418" priority="5123" operator="containsText" text="BAJA">
      <formula>NOT(ISERROR(SEARCH("BAJA",F998)))</formula>
    </cfRule>
    <cfRule type="containsText" dxfId="2417" priority="5122" operator="containsText" text="REVISION">
      <formula>NOT(ISERROR(SEARCH("REVISION",F998)))</formula>
    </cfRule>
    <cfRule type="containsText" dxfId="2416" priority="5121" operator="containsText" text="MIGRACION">
      <formula>NOT(ISERROR(SEARCH("MIGRACION",F998)))</formula>
    </cfRule>
    <cfRule type="containsText" dxfId="2415" priority="5119" operator="containsText" text="instalacion">
      <formula>NOT(ISERROR(SEARCH("instalacion",F998)))</formula>
    </cfRule>
    <cfRule type="containsText" dxfId="2414" priority="5126" operator="containsText" text="INSTALACION">
      <formula>NOT(ISERROR(SEARCH("INSTALACION",F998)))</formula>
    </cfRule>
    <cfRule type="containsText" dxfId="2413" priority="5120" operator="containsText" text="REVISION">
      <formula>NOT(ISERROR(SEARCH("REVISION",F998)))</formula>
    </cfRule>
  </conditionalFormatting>
  <conditionalFormatting sqref="F998:F1023">
    <cfRule type="containsText" dxfId="2412" priority="5124" operator="containsText" text="RE-INSTALACION">
      <formula>NOT(ISERROR(SEARCH("RE-INSTALACION",F998)))</formula>
    </cfRule>
    <cfRule type="containsText" dxfId="2411" priority="5125" operator="containsText" text="DES-INSTALACION">
      <formula>NOT(ISERROR(SEARCH("DES-INSTALACION",F998)))</formula>
    </cfRule>
  </conditionalFormatting>
  <conditionalFormatting sqref="F1024:F1044">
    <cfRule type="containsText" dxfId="2410" priority="4907" operator="containsText" text="instalacion">
      <formula>NOT(ISERROR(SEARCH("instalacion",F1024)))</formula>
    </cfRule>
    <cfRule type="containsText" dxfId="2409" priority="4911" operator="containsText" text="BAJA">
      <formula>NOT(ISERROR(SEARCH("BAJA",F1024)))</formula>
    </cfRule>
    <cfRule type="containsText" dxfId="2408" priority="4910" operator="containsText" text="REVISION">
      <formula>NOT(ISERROR(SEARCH("REVISION",F1024)))</formula>
    </cfRule>
    <cfRule type="containsText" dxfId="2407" priority="4909" operator="containsText" text="MIGRACION">
      <formula>NOT(ISERROR(SEARCH("MIGRACION",F1024)))</formula>
    </cfRule>
    <cfRule type="containsText" dxfId="2406" priority="4906" operator="containsText" text="DES-INSTALACION">
      <formula>NOT(ISERROR(SEARCH("DES-INSTALACION",F1024)))</formula>
    </cfRule>
    <cfRule type="containsText" dxfId="2405" priority="4905" operator="containsText" text="RE-INSTALACION">
      <formula>NOT(ISERROR(SEARCH("RE-INSTALACION",F1024)))</formula>
    </cfRule>
    <cfRule type="containsText" dxfId="2404" priority="4908" operator="containsText" text="REVISION">
      <formula>NOT(ISERROR(SEARCH("REVISION",F1024)))</formula>
    </cfRule>
    <cfRule type="containsText" dxfId="2403" priority="4914" operator="containsText" text="INSTALACION">
      <formula>NOT(ISERROR(SEARCH("INSTALACION",F1024)))</formula>
    </cfRule>
  </conditionalFormatting>
  <conditionalFormatting sqref="F1024:F1045">
    <cfRule type="containsText" dxfId="2402" priority="4913" operator="containsText" text="DES-INSTALACION">
      <formula>NOT(ISERROR(SEARCH("DES-INSTALACION",F1024)))</formula>
    </cfRule>
    <cfRule type="containsText" dxfId="2401" priority="4912" operator="containsText" text="RE-INSTALACION">
      <formula>NOT(ISERROR(SEARCH("RE-INSTALACION",F1024)))</formula>
    </cfRule>
  </conditionalFormatting>
  <conditionalFormatting sqref="F1046">
    <cfRule type="containsText" dxfId="2400" priority="4765" operator="containsText" text="RE-INSTALACION">
      <formula>NOT(ISERROR(SEARCH("RE-INSTALACION",F1046)))</formula>
    </cfRule>
    <cfRule type="containsText" dxfId="2399" priority="4766" operator="containsText" text="DES-INSTALACION">
      <formula>NOT(ISERROR(SEARCH("DES-INSTALACION",F1046)))</formula>
    </cfRule>
    <cfRule type="containsText" dxfId="2398" priority="4767" operator="containsText" text="instalacion">
      <formula>NOT(ISERROR(SEARCH("instalacion",F1046)))</formula>
    </cfRule>
    <cfRule type="containsText" dxfId="2397" priority="4768" operator="containsText" text="REVISION">
      <formula>NOT(ISERROR(SEARCH("REVISION",F1046)))</formula>
    </cfRule>
    <cfRule type="containsText" dxfId="2396" priority="4769" operator="containsText" text="MIGRACION">
      <formula>NOT(ISERROR(SEARCH("MIGRACION",F1046)))</formula>
    </cfRule>
    <cfRule type="containsText" dxfId="2395" priority="4770" operator="containsText" text="REVISION">
      <formula>NOT(ISERROR(SEARCH("REVISION",F1046)))</formula>
    </cfRule>
    <cfRule type="containsText" dxfId="2394" priority="4774" operator="containsText" text="INSTALACION">
      <formula>NOT(ISERROR(SEARCH("INSTALACION",F1046)))</formula>
    </cfRule>
    <cfRule type="containsText" dxfId="2393" priority="4771" operator="containsText" text="BAJA">
      <formula>NOT(ISERROR(SEARCH("BAJA",F1046)))</formula>
    </cfRule>
  </conditionalFormatting>
  <conditionalFormatting sqref="F1046:F1054">
    <cfRule type="containsText" dxfId="2392" priority="4773" operator="containsText" text="DES-INSTALACION">
      <formula>NOT(ISERROR(SEARCH("DES-INSTALACION",F1046)))</formula>
    </cfRule>
    <cfRule type="containsText" dxfId="2391" priority="4772" operator="containsText" text="RE-INSTALACION">
      <formula>NOT(ISERROR(SEARCH("RE-INSTALACION",F1046)))</formula>
    </cfRule>
  </conditionalFormatting>
  <conditionalFormatting sqref="F1055">
    <cfRule type="containsText" dxfId="2390" priority="4734" operator="containsText" text="BAJA">
      <formula>NOT(ISERROR(SEARCH("BAJA",F1055)))</formula>
    </cfRule>
    <cfRule type="containsText" dxfId="2389" priority="4731" operator="containsText" text="REVISION">
      <formula>NOT(ISERROR(SEARCH("REVISION",F1055)))</formula>
    </cfRule>
    <cfRule type="containsText" dxfId="2388" priority="4730" operator="containsText" text="instalacion">
      <formula>NOT(ISERROR(SEARCH("instalacion",F1055)))</formula>
    </cfRule>
    <cfRule type="containsText" dxfId="2387" priority="4735" operator="containsText" text="RE-INSTALACION">
      <formula>NOT(ISERROR(SEARCH("RE-INSTALACION",F1055)))</formula>
    </cfRule>
    <cfRule type="containsText" dxfId="2386" priority="4737" operator="containsText" text="INSTALACION">
      <formula>NOT(ISERROR(SEARCH("INSTALACION",F1055)))</formula>
    </cfRule>
    <cfRule type="containsText" dxfId="2385" priority="4736" operator="containsText" text="DES-INSTALACION">
      <formula>NOT(ISERROR(SEARCH("DES-INSTALACION",F1055)))</formula>
    </cfRule>
    <cfRule type="containsText" dxfId="2384" priority="4732" operator="containsText" text="MIGRACION">
      <formula>NOT(ISERROR(SEARCH("MIGRACION",F1055)))</formula>
    </cfRule>
    <cfRule type="containsText" dxfId="2383" priority="4733" operator="containsText" text="REVISION">
      <formula>NOT(ISERROR(SEARCH("REVISION",F1055)))</formula>
    </cfRule>
  </conditionalFormatting>
  <conditionalFormatting sqref="F1055:F1058">
    <cfRule type="containsText" dxfId="2382" priority="4712" operator="containsText" text="DES-INSTALACION">
      <formula>NOT(ISERROR(SEARCH("DES-INSTALACION",F1055)))</formula>
    </cfRule>
    <cfRule type="containsText" dxfId="2381" priority="4711" operator="containsText" text="RE-INSTALACION">
      <formula>NOT(ISERROR(SEARCH("RE-INSTALACION",F1055)))</formula>
    </cfRule>
  </conditionalFormatting>
  <conditionalFormatting sqref="F1056">
    <cfRule type="containsText" dxfId="2380" priority="4713" operator="containsText" text="INSTALACION">
      <formula>NOT(ISERROR(SEARCH("INSTALACION",F1056)))</formula>
    </cfRule>
    <cfRule type="containsText" dxfId="2379" priority="4708" operator="containsText" text="MIGRACION">
      <formula>NOT(ISERROR(SEARCH("MIGRACION",F1056)))</formula>
    </cfRule>
    <cfRule type="containsText" dxfId="2378" priority="4704" operator="containsText" text="RE-INSTALACION">
      <formula>NOT(ISERROR(SEARCH("RE-INSTALACION",F1056)))</formula>
    </cfRule>
    <cfRule type="containsText" dxfId="2377" priority="4705" operator="containsText" text="DES-INSTALACION">
      <formula>NOT(ISERROR(SEARCH("DES-INSTALACION",F1056)))</formula>
    </cfRule>
    <cfRule type="containsText" dxfId="2376" priority="4706" operator="containsText" text="instalacion">
      <formula>NOT(ISERROR(SEARCH("instalacion",F1056)))</formula>
    </cfRule>
    <cfRule type="containsText" dxfId="2375" priority="4707" operator="containsText" text="REVISION">
      <formula>NOT(ISERROR(SEARCH("REVISION",F1056)))</formula>
    </cfRule>
    <cfRule type="containsText" dxfId="2374" priority="4710" operator="containsText" text="BAJA">
      <formula>NOT(ISERROR(SEARCH("BAJA",F1056)))</formula>
    </cfRule>
    <cfRule type="containsText" dxfId="2373" priority="4709" operator="containsText" text="REVISION">
      <formula>NOT(ISERROR(SEARCH("REVISION",F1056)))</formula>
    </cfRule>
  </conditionalFormatting>
  <conditionalFormatting sqref="F1059:F1060">
    <cfRule type="containsText" dxfId="2372" priority="4680" operator="containsText" text="instalacion">
      <formula>NOT(ISERROR(SEARCH("instalacion",F1059)))</formula>
    </cfRule>
    <cfRule type="containsText" dxfId="2371" priority="4678" operator="containsText" text="RE-INSTALACION">
      <formula>NOT(ISERROR(SEARCH("RE-INSTALACION",F1059)))</formula>
    </cfRule>
    <cfRule type="containsText" dxfId="2370" priority="4679" operator="containsText" text="DES-INSTALACION">
      <formula>NOT(ISERROR(SEARCH("DES-INSTALACION",F1059)))</formula>
    </cfRule>
    <cfRule type="containsText" dxfId="2369" priority="4687" operator="containsText" text="INSTALACION">
      <formula>NOT(ISERROR(SEARCH("INSTALACION",F1059)))</formula>
    </cfRule>
    <cfRule type="containsText" dxfId="2368" priority="4681" operator="containsText" text="REVISION">
      <formula>NOT(ISERROR(SEARCH("REVISION",F1059)))</formula>
    </cfRule>
    <cfRule type="containsText" dxfId="2367" priority="4684" operator="containsText" text="BAJA">
      <formula>NOT(ISERROR(SEARCH("BAJA",F1059)))</formula>
    </cfRule>
    <cfRule type="containsText" dxfId="2366" priority="4683" operator="containsText" text="REVISION">
      <formula>NOT(ISERROR(SEARCH("REVISION",F1059)))</formula>
    </cfRule>
    <cfRule type="containsText" dxfId="2365" priority="4682" operator="containsText" text="MIGRACION">
      <formula>NOT(ISERROR(SEARCH("MIGRACION",F1059)))</formula>
    </cfRule>
  </conditionalFormatting>
  <conditionalFormatting sqref="F1059:F1063">
    <cfRule type="containsText" dxfId="2364" priority="4686" operator="containsText" text="DES-INSTALACION">
      <formula>NOT(ISERROR(SEARCH("DES-INSTALACION",F1059)))</formula>
    </cfRule>
    <cfRule type="containsText" dxfId="2363" priority="4685" operator="containsText" text="RE-INSTALACION">
      <formula>NOT(ISERROR(SEARCH("RE-INSTALACION",F1059)))</formula>
    </cfRule>
  </conditionalFormatting>
  <conditionalFormatting sqref="F1064:F1065">
    <cfRule type="containsText" dxfId="2362" priority="4659" operator="containsText" text="RE-INSTALACION">
      <formula>NOT(ISERROR(SEARCH("RE-INSTALACION",F1064)))</formula>
    </cfRule>
    <cfRule type="containsText" dxfId="2361" priority="4668" operator="containsText" text="INSTALACION">
      <formula>NOT(ISERROR(SEARCH("INSTALACION",F1064)))</formula>
    </cfRule>
    <cfRule type="containsText" dxfId="2360" priority="4664" operator="containsText" text="REVISION">
      <formula>NOT(ISERROR(SEARCH("REVISION",F1064)))</formula>
    </cfRule>
    <cfRule type="containsText" dxfId="2359" priority="4661" operator="containsText" text="instalacion">
      <formula>NOT(ISERROR(SEARCH("instalacion",F1064)))</formula>
    </cfRule>
    <cfRule type="containsText" dxfId="2358" priority="4662" operator="containsText" text="REVISION">
      <formula>NOT(ISERROR(SEARCH("REVISION",F1064)))</formula>
    </cfRule>
    <cfRule type="containsText" dxfId="2357" priority="4660" operator="containsText" text="DES-INSTALACION">
      <formula>NOT(ISERROR(SEARCH("DES-INSTALACION",F1064)))</formula>
    </cfRule>
    <cfRule type="containsText" dxfId="2356" priority="4663" operator="containsText" text="MIGRACION">
      <formula>NOT(ISERROR(SEARCH("MIGRACION",F1064)))</formula>
    </cfRule>
    <cfRule type="containsText" dxfId="2355" priority="4665" operator="containsText" text="BAJA">
      <formula>NOT(ISERROR(SEARCH("BAJA",F1064)))</formula>
    </cfRule>
  </conditionalFormatting>
  <conditionalFormatting sqref="F1064:F1073">
    <cfRule type="containsText" dxfId="2354" priority="4667" operator="containsText" text="DES-INSTALACION">
      <formula>NOT(ISERROR(SEARCH("DES-INSTALACION",F1064)))</formula>
    </cfRule>
    <cfRule type="containsText" dxfId="2353" priority="4666" operator="containsText" text="RE-INSTALACION">
      <formula>NOT(ISERROR(SEARCH("RE-INSTALACION",F1064)))</formula>
    </cfRule>
  </conditionalFormatting>
  <conditionalFormatting sqref="F1074">
    <cfRule type="containsText" dxfId="2352" priority="4621" operator="containsText" text="INSTALACION">
      <formula>NOT(ISERROR(SEARCH("INSTALACION",F1074)))</formula>
    </cfRule>
    <cfRule type="containsText" dxfId="2351" priority="4618" operator="containsText" text="BAJA">
      <formula>NOT(ISERROR(SEARCH("BAJA",F1074)))</formula>
    </cfRule>
    <cfRule type="containsText" dxfId="2350" priority="4616" operator="containsText" text="MIGRACION">
      <formula>NOT(ISERROR(SEARCH("MIGRACION",F1074)))</formula>
    </cfRule>
    <cfRule type="containsText" dxfId="2349" priority="4615" operator="containsText" text="REVISION">
      <formula>NOT(ISERROR(SEARCH("REVISION",F1074)))</formula>
    </cfRule>
    <cfRule type="containsText" dxfId="2348" priority="4614" operator="containsText" text="instalacion">
      <formula>NOT(ISERROR(SEARCH("instalacion",F1074)))</formula>
    </cfRule>
    <cfRule type="containsText" dxfId="2347" priority="4613" operator="containsText" text="DES-INSTALACION">
      <formula>NOT(ISERROR(SEARCH("DES-INSTALACION",F1074)))</formula>
    </cfRule>
    <cfRule type="containsText" dxfId="2346" priority="4612" operator="containsText" text="RE-INSTALACION">
      <formula>NOT(ISERROR(SEARCH("RE-INSTALACION",F1074)))</formula>
    </cfRule>
    <cfRule type="containsText" dxfId="2345" priority="4617" operator="containsText" text="REVISION">
      <formula>NOT(ISERROR(SEARCH("REVISION",F1074)))</formula>
    </cfRule>
  </conditionalFormatting>
  <conditionalFormatting sqref="F1074:F1076">
    <cfRule type="containsText" dxfId="2344" priority="4619" operator="containsText" text="RE-INSTALACION">
      <formula>NOT(ISERROR(SEARCH("RE-INSTALACION",F1074)))</formula>
    </cfRule>
    <cfRule type="containsText" dxfId="2343" priority="4620" operator="containsText" text="DES-INSTALACION">
      <formula>NOT(ISERROR(SEARCH("DES-INSTALACION",F1074)))</formula>
    </cfRule>
  </conditionalFormatting>
  <conditionalFormatting sqref="F1077">
    <cfRule type="containsText" dxfId="2342" priority="4592" operator="containsText" text="BAJA">
      <formula>NOT(ISERROR(SEARCH("BAJA",F1077)))</formula>
    </cfRule>
    <cfRule type="containsText" dxfId="2341" priority="4587" operator="containsText" text="DES-INSTALACION">
      <formula>NOT(ISERROR(SEARCH("DES-INSTALACION",F1077)))</formula>
    </cfRule>
    <cfRule type="containsText" dxfId="2340" priority="4595" operator="containsText" text="INSTALACION">
      <formula>NOT(ISERROR(SEARCH("INSTALACION",F1077)))</formula>
    </cfRule>
    <cfRule type="containsText" dxfId="2339" priority="4588" operator="containsText" text="instalacion">
      <formula>NOT(ISERROR(SEARCH("instalacion",F1077)))</formula>
    </cfRule>
    <cfRule type="containsText" dxfId="2338" priority="4589" operator="containsText" text="REVISION">
      <formula>NOT(ISERROR(SEARCH("REVISION",F1077)))</formula>
    </cfRule>
    <cfRule type="containsText" dxfId="2337" priority="4590" operator="containsText" text="MIGRACION">
      <formula>NOT(ISERROR(SEARCH("MIGRACION",F1077)))</formula>
    </cfRule>
    <cfRule type="containsText" dxfId="2336" priority="4591" operator="containsText" text="REVISION">
      <formula>NOT(ISERROR(SEARCH("REVISION",F1077)))</formula>
    </cfRule>
    <cfRule type="containsText" dxfId="2335" priority="4586" operator="containsText" text="RE-INSTALACION">
      <formula>NOT(ISERROR(SEARCH("RE-INSTALACION",F1077)))</formula>
    </cfRule>
  </conditionalFormatting>
  <conditionalFormatting sqref="F1077:F1080">
    <cfRule type="containsText" dxfId="2334" priority="4593" operator="containsText" text="RE-INSTALACION">
      <formula>NOT(ISERROR(SEARCH("RE-INSTALACION",F1077)))</formula>
    </cfRule>
    <cfRule type="containsText" dxfId="2333" priority="4594" operator="containsText" text="DES-INSTALACION">
      <formula>NOT(ISERROR(SEARCH("DES-INSTALACION",F1077)))</formula>
    </cfRule>
  </conditionalFormatting>
  <conditionalFormatting sqref="F1081">
    <cfRule type="containsText" dxfId="2332" priority="4563" operator="containsText" text="BAJA">
      <formula>NOT(ISERROR(SEARCH("BAJA",F1081)))</formula>
    </cfRule>
    <cfRule type="containsText" dxfId="2331" priority="4562" operator="containsText" text="REVISION">
      <formula>NOT(ISERROR(SEARCH("REVISION",F1081)))</formula>
    </cfRule>
    <cfRule type="containsText" dxfId="2330" priority="4566" operator="containsText" text="INSTALACION">
      <formula>NOT(ISERROR(SEARCH("INSTALACION",F1081)))</formula>
    </cfRule>
    <cfRule type="containsText" dxfId="2329" priority="4557" operator="containsText" text="RE-INSTALACION">
      <formula>NOT(ISERROR(SEARCH("RE-INSTALACION",F1081)))</formula>
    </cfRule>
    <cfRule type="containsText" dxfId="2328" priority="4558" operator="containsText" text="DES-INSTALACION">
      <formula>NOT(ISERROR(SEARCH("DES-INSTALACION",F1081)))</formula>
    </cfRule>
    <cfRule type="containsText" dxfId="2327" priority="4559" operator="containsText" text="instalacion">
      <formula>NOT(ISERROR(SEARCH("instalacion",F1081)))</formula>
    </cfRule>
    <cfRule type="containsText" dxfId="2326" priority="4560" operator="containsText" text="REVISION">
      <formula>NOT(ISERROR(SEARCH("REVISION",F1081)))</formula>
    </cfRule>
    <cfRule type="containsText" dxfId="2325" priority="4561" operator="containsText" text="MIGRACION">
      <formula>NOT(ISERROR(SEARCH("MIGRACION",F1081)))</formula>
    </cfRule>
  </conditionalFormatting>
  <conditionalFormatting sqref="F1081:F1093">
    <cfRule type="containsText" dxfId="2324" priority="4564" operator="containsText" text="RE-INSTALACION">
      <formula>NOT(ISERROR(SEARCH("RE-INSTALACION",F1081)))</formula>
    </cfRule>
    <cfRule type="containsText" dxfId="2323" priority="4565" operator="containsText" text="DES-INSTALACION">
      <formula>NOT(ISERROR(SEARCH("DES-INSTALACION",F1081)))</formula>
    </cfRule>
  </conditionalFormatting>
  <conditionalFormatting sqref="F1094">
    <cfRule type="containsText" dxfId="2322" priority="4493" operator="containsText" text="DES-INSTALACION">
      <formula>NOT(ISERROR(SEARCH("DES-INSTALACION",F1094)))</formula>
    </cfRule>
    <cfRule type="containsText" dxfId="2321" priority="4494" operator="containsText" text="instalacion">
      <formula>NOT(ISERROR(SEARCH("instalacion",F1094)))</formula>
    </cfRule>
    <cfRule type="containsText" dxfId="2320" priority="4495" operator="containsText" text="REVISION">
      <formula>NOT(ISERROR(SEARCH("REVISION",F1094)))</formula>
    </cfRule>
    <cfRule type="containsText" dxfId="2319" priority="4496" operator="containsText" text="MIGRACION">
      <formula>NOT(ISERROR(SEARCH("MIGRACION",F1094)))</formula>
    </cfRule>
    <cfRule type="containsText" dxfId="2318" priority="4497" operator="containsText" text="REVISION">
      <formula>NOT(ISERROR(SEARCH("REVISION",F1094)))</formula>
    </cfRule>
    <cfRule type="containsText" dxfId="2317" priority="4498" operator="containsText" text="BAJA">
      <formula>NOT(ISERROR(SEARCH("BAJA",F1094)))</formula>
    </cfRule>
    <cfRule type="containsText" dxfId="2316" priority="4501" operator="containsText" text="INSTALACION">
      <formula>NOT(ISERROR(SEARCH("INSTALACION",F1094)))</formula>
    </cfRule>
    <cfRule type="containsText" dxfId="2315" priority="4492" operator="containsText" text="RE-INSTALACION">
      <formula>NOT(ISERROR(SEARCH("RE-INSTALACION",F1094)))</formula>
    </cfRule>
  </conditionalFormatting>
  <conditionalFormatting sqref="F1094:F1109">
    <cfRule type="containsText" dxfId="2314" priority="4499" operator="containsText" text="RE-INSTALACION">
      <formula>NOT(ISERROR(SEARCH("RE-INSTALACION",F1094)))</formula>
    </cfRule>
    <cfRule type="containsText" dxfId="2313" priority="4500" operator="containsText" text="DES-INSTALACION">
      <formula>NOT(ISERROR(SEARCH("DES-INSTALACION",F1094)))</formula>
    </cfRule>
  </conditionalFormatting>
  <conditionalFormatting sqref="F1111">
    <cfRule type="containsText" dxfId="2312" priority="4432" operator="containsText" text="MIGRACION">
      <formula>NOT(ISERROR(SEARCH("MIGRACION",F1111)))</formula>
    </cfRule>
    <cfRule type="containsText" dxfId="2311" priority="4433" operator="containsText" text="REVISION">
      <formula>NOT(ISERROR(SEARCH("REVISION",F1111)))</formula>
    </cfRule>
    <cfRule type="containsText" dxfId="2310" priority="4434" operator="containsText" text="BAJA">
      <formula>NOT(ISERROR(SEARCH("BAJA",F1111)))</formula>
    </cfRule>
    <cfRule type="containsText" dxfId="2309" priority="4437" operator="containsText" text="INSTALACION">
      <formula>NOT(ISERROR(SEARCH("INSTALACION",F1111)))</formula>
    </cfRule>
    <cfRule type="containsText" dxfId="2308" priority="4431" operator="containsText" text="REVISION">
      <formula>NOT(ISERROR(SEARCH("REVISION",F1111)))</formula>
    </cfRule>
    <cfRule type="containsText" dxfId="2307" priority="4430" operator="containsText" text="instalacion">
      <formula>NOT(ISERROR(SEARCH("instalacion",F1111)))</formula>
    </cfRule>
    <cfRule type="containsText" dxfId="2306" priority="4429" operator="containsText" text="DES-INSTALACION">
      <formula>NOT(ISERROR(SEARCH("DES-INSTALACION",F1111)))</formula>
    </cfRule>
    <cfRule type="containsText" dxfId="2305" priority="4428" operator="containsText" text="RE-INSTALACION">
      <formula>NOT(ISERROR(SEARCH("RE-INSTALACION",F1111)))</formula>
    </cfRule>
  </conditionalFormatting>
  <conditionalFormatting sqref="F1111:F1112">
    <cfRule type="containsText" dxfId="2304" priority="4435" operator="containsText" text="RE-INSTALACION">
      <formula>NOT(ISERROR(SEARCH("RE-INSTALACION",F1111)))</formula>
    </cfRule>
    <cfRule type="containsText" dxfId="2303" priority="4436" operator="containsText" text="DES-INSTALACION">
      <formula>NOT(ISERROR(SEARCH("DES-INSTALACION",F1111)))</formula>
    </cfRule>
  </conditionalFormatting>
  <conditionalFormatting sqref="F1113:F1119 F1121:F1124">
    <cfRule type="containsText" dxfId="2302" priority="4409" operator="containsText" text="REVISION">
      <formula>NOT(ISERROR(SEARCH("REVISION",F1113)))</formula>
    </cfRule>
    <cfRule type="containsText" dxfId="2301" priority="4415" operator="containsText" text="INSTALACION">
      <formula>NOT(ISERROR(SEARCH("INSTALACION",F1113)))</formula>
    </cfRule>
    <cfRule type="containsText" dxfId="2300" priority="4412" operator="containsText" text="BAJA">
      <formula>NOT(ISERROR(SEARCH("BAJA",F1113)))</formula>
    </cfRule>
    <cfRule type="containsText" dxfId="2299" priority="4411" operator="containsText" text="REVISION">
      <formula>NOT(ISERROR(SEARCH("REVISION",F1113)))</formula>
    </cfRule>
    <cfRule type="containsText" dxfId="2298" priority="4410" operator="containsText" text="MIGRACION">
      <formula>NOT(ISERROR(SEARCH("MIGRACION",F1113)))</formula>
    </cfRule>
    <cfRule type="containsText" dxfId="2297" priority="4408" operator="containsText" text="instalacion">
      <formula>NOT(ISERROR(SEARCH("instalacion",F1113)))</formula>
    </cfRule>
  </conditionalFormatting>
  <conditionalFormatting sqref="F1113:F1119 F1121:F1127">
    <cfRule type="containsText" dxfId="2296" priority="4414" operator="containsText" text="DES-INSTALACION">
      <formula>NOT(ISERROR(SEARCH("DES-INSTALACION",F1113)))</formula>
    </cfRule>
    <cfRule type="containsText" dxfId="2295" priority="4413" operator="containsText" text="RE-INSTALACION">
      <formula>NOT(ISERROR(SEARCH("RE-INSTALACION",F1113)))</formula>
    </cfRule>
  </conditionalFormatting>
  <conditionalFormatting sqref="F1113:F1124">
    <cfRule type="containsText" dxfId="2294" priority="4380" operator="containsText" text="RE-INSTALACION">
      <formula>NOT(ISERROR(SEARCH("RE-INSTALACION",F1113)))</formula>
    </cfRule>
    <cfRule type="containsText" dxfId="2293" priority="4381" operator="containsText" text="DES-INSTALACION">
      <formula>NOT(ISERROR(SEARCH("DES-INSTALACION",F1113)))</formula>
    </cfRule>
  </conditionalFormatting>
  <conditionalFormatting sqref="F1120">
    <cfRule type="containsText" dxfId="2292" priority="4373" operator="containsText" text="RE-INSTALACION">
      <formula>NOT(ISERROR(SEARCH("RE-INSTALACION",F1120)))</formula>
    </cfRule>
    <cfRule type="containsText" dxfId="2291" priority="4375" operator="containsText" text="instalacion">
      <formula>NOT(ISERROR(SEARCH("instalacion",F1120)))</formula>
    </cfRule>
    <cfRule type="containsText" dxfId="2290" priority="4374" operator="containsText" text="DES-INSTALACION">
      <formula>NOT(ISERROR(SEARCH("DES-INSTALACION",F1120)))</formula>
    </cfRule>
    <cfRule type="containsText" dxfId="2289" priority="4376" operator="containsText" text="REVISION">
      <formula>NOT(ISERROR(SEARCH("REVISION",F1120)))</formula>
    </cfRule>
    <cfRule type="containsText" dxfId="2288" priority="4377" operator="containsText" text="MIGRACION">
      <formula>NOT(ISERROR(SEARCH("MIGRACION",F1120)))</formula>
    </cfRule>
    <cfRule type="containsText" dxfId="2287" priority="4378" operator="containsText" text="REVISION">
      <formula>NOT(ISERROR(SEARCH("REVISION",F1120)))</formula>
    </cfRule>
    <cfRule type="containsText" dxfId="2286" priority="4379" operator="containsText" text="BAJA">
      <formula>NOT(ISERROR(SEARCH("BAJA",F1120)))</formula>
    </cfRule>
    <cfRule type="containsText" dxfId="2285" priority="4382" operator="containsText" text="INSTALACION">
      <formula>NOT(ISERROR(SEARCH("INSTALACION",F1120)))</formula>
    </cfRule>
  </conditionalFormatting>
  <conditionalFormatting sqref="F1128:F1148">
    <cfRule type="containsText" dxfId="2284" priority="4333" operator="containsText" text="instalacion">
      <formula>NOT(ISERROR(SEARCH("instalacion",F1128)))</formula>
    </cfRule>
    <cfRule type="containsText" dxfId="2283" priority="4332" operator="containsText" text="DES-INSTALACION">
      <formula>NOT(ISERROR(SEARCH("DES-INSTALACION",F1128)))</formula>
    </cfRule>
    <cfRule type="containsText" dxfId="2282" priority="4334" operator="containsText" text="REVISION">
      <formula>NOT(ISERROR(SEARCH("REVISION",F1128)))</formula>
    </cfRule>
    <cfRule type="containsText" dxfId="2281" priority="4340" operator="containsText" text="INSTALACION">
      <formula>NOT(ISERROR(SEARCH("INSTALACION",F1128)))</formula>
    </cfRule>
    <cfRule type="containsText" dxfId="2280" priority="4337" operator="containsText" text="BAJA">
      <formula>NOT(ISERROR(SEARCH("BAJA",F1128)))</formula>
    </cfRule>
    <cfRule type="containsText" dxfId="2279" priority="4336" operator="containsText" text="REVISION">
      <formula>NOT(ISERROR(SEARCH("REVISION",F1128)))</formula>
    </cfRule>
    <cfRule type="containsText" dxfId="2278" priority="4331" operator="containsText" text="RE-INSTALACION">
      <formula>NOT(ISERROR(SEARCH("RE-INSTALACION",F1128)))</formula>
    </cfRule>
    <cfRule type="containsText" dxfId="2277" priority="4335" operator="containsText" text="MIGRACION">
      <formula>NOT(ISERROR(SEARCH("MIGRACION",F1128)))</formula>
    </cfRule>
  </conditionalFormatting>
  <conditionalFormatting sqref="F1128:F1158">
    <cfRule type="containsText" dxfId="2276" priority="4338" operator="containsText" text="RE-INSTALACION">
      <formula>NOT(ISERROR(SEARCH("RE-INSTALACION",F1128)))</formula>
    </cfRule>
    <cfRule type="containsText" dxfId="2275" priority="4339" operator="containsText" text="DES-INSTALACION">
      <formula>NOT(ISERROR(SEARCH("DES-INSTALACION",F1128)))</formula>
    </cfRule>
  </conditionalFormatting>
  <conditionalFormatting sqref="F1159:F1162">
    <cfRule type="containsText" dxfId="2274" priority="4096" operator="containsText" text="REVISION">
      <formula>NOT(ISERROR(SEARCH("REVISION",F1159)))</formula>
    </cfRule>
    <cfRule type="containsText" dxfId="2273" priority="4090" operator="containsText" text="RE-INSTALACION">
      <formula>NOT(ISERROR(SEARCH("RE-INSTALACION",F1159)))</formula>
    </cfRule>
    <cfRule type="containsText" dxfId="2272" priority="4100" operator="containsText" text="INSTALACION">
      <formula>NOT(ISERROR(SEARCH("INSTALACION",F1159)))</formula>
    </cfRule>
    <cfRule type="containsText" dxfId="2271" priority="4097" operator="containsText" text="BAJA">
      <formula>NOT(ISERROR(SEARCH("BAJA",F1159)))</formula>
    </cfRule>
    <cfRule type="containsText" dxfId="2270" priority="4094" operator="containsText" text="REVISION">
      <formula>NOT(ISERROR(SEARCH("REVISION",F1159)))</formula>
    </cfRule>
    <cfRule type="containsText" dxfId="2269" priority="4095" operator="containsText" text="MIGRACION">
      <formula>NOT(ISERROR(SEARCH("MIGRACION",F1159)))</formula>
    </cfRule>
    <cfRule type="containsText" dxfId="2268" priority="4093" operator="containsText" text="instalacion">
      <formula>NOT(ISERROR(SEARCH("instalacion",F1159)))</formula>
    </cfRule>
    <cfRule type="containsText" dxfId="2267" priority="4091" operator="containsText" text="DES-INSTALACION">
      <formula>NOT(ISERROR(SEARCH("DES-INSTALACION",F1159)))</formula>
    </cfRule>
  </conditionalFormatting>
  <conditionalFormatting sqref="F1159:F1163">
    <cfRule type="containsText" dxfId="2266" priority="4098" operator="containsText" text="RE-INSTALACION">
      <formula>NOT(ISERROR(SEARCH("RE-INSTALACION",F1159)))</formula>
    </cfRule>
    <cfRule type="containsText" dxfId="2265" priority="4099" operator="containsText" text="DES-INSTALACION">
      <formula>NOT(ISERROR(SEARCH("DES-INSTALACION",F1159)))</formula>
    </cfRule>
  </conditionalFormatting>
  <conditionalFormatting sqref="F1164:F1165">
    <cfRule type="containsText" dxfId="2264" priority="4069" operator="containsText" text="instalacion">
      <formula>NOT(ISERROR(SEARCH("instalacion",F1164)))</formula>
    </cfRule>
    <cfRule type="containsText" dxfId="2263" priority="4068" operator="containsText" text="DES-INSTALACION">
      <formula>NOT(ISERROR(SEARCH("DES-INSTALACION",F1164)))</formula>
    </cfRule>
    <cfRule type="containsText" dxfId="2262" priority="4067" operator="containsText" text="RE-INSTALACION">
      <formula>NOT(ISERROR(SEARCH("RE-INSTALACION",F1164)))</formula>
    </cfRule>
    <cfRule type="containsText" dxfId="2261" priority="4072" operator="containsText" text="REVISION">
      <formula>NOT(ISERROR(SEARCH("REVISION",F1164)))</formula>
    </cfRule>
    <cfRule type="containsText" dxfId="2260" priority="4073" operator="containsText" text="BAJA">
      <formula>NOT(ISERROR(SEARCH("BAJA",F1164)))</formula>
    </cfRule>
    <cfRule type="containsText" dxfId="2259" priority="4071" operator="containsText" text="MIGRACION">
      <formula>NOT(ISERROR(SEARCH("MIGRACION",F1164)))</formula>
    </cfRule>
    <cfRule type="containsText" dxfId="2258" priority="4070" operator="containsText" text="REVISION">
      <formula>NOT(ISERROR(SEARCH("REVISION",F1164)))</formula>
    </cfRule>
    <cfRule type="containsText" dxfId="2257" priority="4076" operator="containsText" text="INSTALACION">
      <formula>NOT(ISERROR(SEARCH("INSTALACION",F1164)))</formula>
    </cfRule>
  </conditionalFormatting>
  <conditionalFormatting sqref="F1164:F1203">
    <cfRule type="containsText" dxfId="2256" priority="4075" operator="containsText" text="DES-INSTALACION">
      <formula>NOT(ISERROR(SEARCH("DES-INSTALACION",F1164)))</formula>
    </cfRule>
    <cfRule type="containsText" dxfId="2255" priority="4074" operator="containsText" text="RE-INSTALACION">
      <formula>NOT(ISERROR(SEARCH("RE-INSTALACION",F1164)))</formula>
    </cfRule>
  </conditionalFormatting>
  <conditionalFormatting sqref="F1204:F1207">
    <cfRule type="containsText" dxfId="2254" priority="4038" operator="containsText" text="REVISION">
      <formula>NOT(ISERROR(SEARCH("REVISION",F1204)))</formula>
    </cfRule>
    <cfRule type="containsText" dxfId="2253" priority="4039" operator="containsText" text="MIGRACION">
      <formula>NOT(ISERROR(SEARCH("MIGRACION",F1204)))</formula>
    </cfRule>
    <cfRule type="containsText" dxfId="2252" priority="4040" operator="containsText" text="REVISION">
      <formula>NOT(ISERROR(SEARCH("REVISION",F1204)))</formula>
    </cfRule>
    <cfRule type="containsText" dxfId="2251" priority="4043" operator="containsText" text="DES-INSTALACION">
      <formula>NOT(ISERROR(SEARCH("DES-INSTALACION",F1204)))</formula>
    </cfRule>
    <cfRule type="containsText" dxfId="2250" priority="4044" operator="containsText" text="INSTALACION">
      <formula>NOT(ISERROR(SEARCH("INSTALACION",F1204)))</formula>
    </cfRule>
    <cfRule type="containsText" dxfId="2249" priority="4037" operator="containsText" text="instalacion">
      <formula>NOT(ISERROR(SEARCH("instalacion",F1204)))</formula>
    </cfRule>
    <cfRule type="containsText" dxfId="2248" priority="4041" operator="containsText" text="BAJA">
      <formula>NOT(ISERROR(SEARCH("BAJA",F1204)))</formula>
    </cfRule>
    <cfRule type="containsText" dxfId="2247" priority="4042" operator="containsText" text="RE-INSTALACION">
      <formula>NOT(ISERROR(SEARCH("RE-INSTALACION",F1204)))</formula>
    </cfRule>
  </conditionalFormatting>
  <conditionalFormatting sqref="F1204:F1221 F1223:F1225 F1279 F1292:F1294 F1485:F1486 F1488 F1500:F1502">
    <cfRule type="containsText" dxfId="2246" priority="4015" operator="containsText" text="DES-INSTALACION">
      <formula>NOT(ISERROR(SEARCH("DES-INSTALACION",F1204)))</formula>
    </cfRule>
    <cfRule type="containsText" dxfId="2245" priority="4014" operator="containsText" text="RE-INSTALACION">
      <formula>NOT(ISERROR(SEARCH("RE-INSTALACION",F1204)))</formula>
    </cfRule>
  </conditionalFormatting>
  <conditionalFormatting sqref="F1208:F1221 F1225 F1279 F1294 F1485:F1486 F1488 F1500:F1501">
    <cfRule type="containsText" dxfId="2244" priority="4012" operator="containsText" text="REVISION">
      <formula>NOT(ISERROR(SEARCH("REVISION",F1208)))</formula>
    </cfRule>
    <cfRule type="containsText" dxfId="2243" priority="4011" operator="containsText" text="MIGRACION">
      <formula>NOT(ISERROR(SEARCH("MIGRACION",F1208)))</formula>
    </cfRule>
    <cfRule type="containsText" dxfId="2242" priority="4010" operator="containsText" text="REVISION">
      <formula>NOT(ISERROR(SEARCH("REVISION",F1208)))</formula>
    </cfRule>
    <cfRule type="containsText" dxfId="2241" priority="4009" operator="containsText" text="instalacion">
      <formula>NOT(ISERROR(SEARCH("instalacion",F1208)))</formula>
    </cfRule>
    <cfRule type="containsText" dxfId="2240" priority="4016" operator="containsText" text="INSTALACION">
      <formula>NOT(ISERROR(SEARCH("INSTALACION",F1208)))</formula>
    </cfRule>
    <cfRule type="containsText" dxfId="2239" priority="4013" operator="containsText" text="BAJA">
      <formula>NOT(ISERROR(SEARCH("BAJA",F1208)))</formula>
    </cfRule>
  </conditionalFormatting>
  <conditionalFormatting sqref="F1208:F1222">
    <cfRule type="containsText" dxfId="2238" priority="3986" operator="containsText" text="DES-INSTALACION">
      <formula>NOT(ISERROR(SEARCH("DES-INSTALACION",F1208)))</formula>
    </cfRule>
    <cfRule type="containsText" dxfId="2237" priority="3985" operator="containsText" text="RE-INSTALACION">
      <formula>NOT(ISERROR(SEARCH("RE-INSTALACION",F1208)))</formula>
    </cfRule>
  </conditionalFormatting>
  <conditionalFormatting sqref="F1222">
    <cfRule type="containsText" dxfId="2236" priority="3987" operator="containsText" text="INSTALACION">
      <formula>NOT(ISERROR(SEARCH("INSTALACION",F1222)))</formula>
    </cfRule>
    <cfRule type="containsText" dxfId="2235" priority="3984" operator="containsText" text="BAJA">
      <formula>NOT(ISERROR(SEARCH("BAJA",F1222)))</formula>
    </cfRule>
    <cfRule type="containsText" dxfId="2234" priority="3983" operator="containsText" text="REVISION">
      <formula>NOT(ISERROR(SEARCH("REVISION",F1222)))</formula>
    </cfRule>
    <cfRule type="containsText" dxfId="2233" priority="3981" operator="containsText" text="REVISION">
      <formula>NOT(ISERROR(SEARCH("REVISION",F1222)))</formula>
    </cfRule>
    <cfRule type="containsText" dxfId="2232" priority="3980" operator="containsText" text="instalacion">
      <formula>NOT(ISERROR(SEARCH("instalacion",F1222)))</formula>
    </cfRule>
    <cfRule type="containsText" dxfId="2231" priority="3978" operator="containsText" text="DES-INSTALACION">
      <formula>NOT(ISERROR(SEARCH("DES-INSTALACION",F1222)))</formula>
    </cfRule>
    <cfRule type="containsText" dxfId="2230" priority="3977" operator="containsText" text="RE-INSTALACION">
      <formula>NOT(ISERROR(SEARCH("RE-INSTALACION",F1222)))</formula>
    </cfRule>
    <cfRule type="containsText" dxfId="2229" priority="3982" operator="containsText" text="MIGRACION">
      <formula>NOT(ISERROR(SEARCH("MIGRACION",F1222)))</formula>
    </cfRule>
  </conditionalFormatting>
  <conditionalFormatting sqref="F1225:F1246">
    <cfRule type="containsText" dxfId="2228" priority="3657" operator="containsText" text="RE-INSTALACION">
      <formula>NOT(ISERROR(SEARCH("RE-INSTALACION",F1225)))</formula>
    </cfRule>
    <cfRule type="containsText" dxfId="2227" priority="3658" operator="containsText" text="DES-INSTALACION">
      <formula>NOT(ISERROR(SEARCH("DES-INSTALACION",F1225)))</formula>
    </cfRule>
  </conditionalFormatting>
  <conditionalFormatting sqref="F1226:F1246">
    <cfRule type="containsText" dxfId="2226" priority="3652" operator="containsText" text="instalacion">
      <formula>NOT(ISERROR(SEARCH("instalacion",F1226)))</formula>
    </cfRule>
    <cfRule type="containsText" dxfId="2225" priority="3653" operator="containsText" text="REVISION">
      <formula>NOT(ISERROR(SEARCH("REVISION",F1226)))</formula>
    </cfRule>
    <cfRule type="containsText" dxfId="2224" priority="3654" operator="containsText" text="MIGRACION">
      <formula>NOT(ISERROR(SEARCH("MIGRACION",F1226)))</formula>
    </cfRule>
    <cfRule type="containsText" dxfId="2223" priority="3655" operator="containsText" text="REVISION">
      <formula>NOT(ISERROR(SEARCH("REVISION",F1226)))</formula>
    </cfRule>
    <cfRule type="containsText" dxfId="2222" priority="3656" operator="containsText" text="BAJA">
      <formula>NOT(ISERROR(SEARCH("BAJA",F1226)))</formula>
    </cfRule>
    <cfRule type="containsText" dxfId="2221" priority="3659" operator="containsText" text="INSTALACION">
      <formula>NOT(ISERROR(SEARCH("INSTALACION",F1226)))</formula>
    </cfRule>
  </conditionalFormatting>
  <conditionalFormatting sqref="F1226:F1264">
    <cfRule type="containsText" dxfId="2220" priority="3625" operator="containsText" text="RE-INSTALACION">
      <formula>NOT(ISERROR(SEARCH("RE-INSTALACION",F1226)))</formula>
    </cfRule>
    <cfRule type="containsText" dxfId="2219" priority="3626" operator="containsText" text="DES-INSTALACION">
      <formula>NOT(ISERROR(SEARCH("DES-INSTALACION",F1226)))</formula>
    </cfRule>
  </conditionalFormatting>
  <conditionalFormatting sqref="F1247:F1264">
    <cfRule type="containsText" dxfId="2218" priority="3620" operator="containsText" text="instalacion">
      <formula>NOT(ISERROR(SEARCH("instalacion",F1247)))</formula>
    </cfRule>
    <cfRule type="containsText" dxfId="2217" priority="3623" operator="containsText" text="REVISION">
      <formula>NOT(ISERROR(SEARCH("REVISION",F1247)))</formula>
    </cfRule>
    <cfRule type="containsText" dxfId="2216" priority="3622" operator="containsText" text="MIGRACION">
      <formula>NOT(ISERROR(SEARCH("MIGRACION",F1247)))</formula>
    </cfRule>
    <cfRule type="containsText" dxfId="2215" priority="3621" operator="containsText" text="REVISION">
      <formula>NOT(ISERROR(SEARCH("REVISION",F1247)))</formula>
    </cfRule>
    <cfRule type="containsText" dxfId="2214" priority="3624" operator="containsText" text="BAJA">
      <formula>NOT(ISERROR(SEARCH("BAJA",F1247)))</formula>
    </cfRule>
    <cfRule type="containsText" dxfId="2213" priority="3627" operator="containsText" text="INSTALACION">
      <formula>NOT(ISERROR(SEARCH("INSTALACION",F1247)))</formula>
    </cfRule>
  </conditionalFormatting>
  <conditionalFormatting sqref="F1247:F1267">
    <cfRule type="containsText" dxfId="2212" priority="3596" operator="containsText" text="DES-INSTALACION">
      <formula>NOT(ISERROR(SEARCH("DES-INSTALACION",F1247)))</formula>
    </cfRule>
    <cfRule type="containsText" dxfId="2211" priority="3595" operator="containsText" text="RE-INSTALACION">
      <formula>NOT(ISERROR(SEARCH("RE-INSTALACION",F1247)))</formula>
    </cfRule>
  </conditionalFormatting>
  <conditionalFormatting sqref="F1265:F1267">
    <cfRule type="containsText" dxfId="2210" priority="3597" operator="containsText" text="INSTALACION">
      <formula>NOT(ISERROR(SEARCH("INSTALACION",F1265)))</formula>
    </cfRule>
    <cfRule type="containsText" dxfId="2209" priority="3592" operator="containsText" text="MIGRACION">
      <formula>NOT(ISERROR(SEARCH("MIGRACION",F1265)))</formula>
    </cfRule>
    <cfRule type="containsText" dxfId="2208" priority="3590" operator="containsText" text="instalacion">
      <formula>NOT(ISERROR(SEARCH("instalacion",F1265)))</formula>
    </cfRule>
    <cfRule type="containsText" dxfId="2207" priority="3591" operator="containsText" text="REVISION">
      <formula>NOT(ISERROR(SEARCH("REVISION",F1265)))</formula>
    </cfRule>
    <cfRule type="containsText" dxfId="2206" priority="3593" operator="containsText" text="REVISION">
      <formula>NOT(ISERROR(SEARCH("REVISION",F1265)))</formula>
    </cfRule>
    <cfRule type="containsText" dxfId="2205" priority="3594" operator="containsText" text="BAJA">
      <formula>NOT(ISERROR(SEARCH("BAJA",F1265)))</formula>
    </cfRule>
  </conditionalFormatting>
  <conditionalFormatting sqref="F1265:F1279">
    <cfRule type="containsText" dxfId="2204" priority="3566" operator="containsText" text="RE-INSTALACION">
      <formula>NOT(ISERROR(SEARCH("RE-INSTALACION",F1265)))</formula>
    </cfRule>
    <cfRule type="containsText" dxfId="2203" priority="3567" operator="containsText" text="DES-INSTALACION">
      <formula>NOT(ISERROR(SEARCH("DES-INSTALACION",F1265)))</formula>
    </cfRule>
  </conditionalFormatting>
  <conditionalFormatting sqref="F1268:F1278">
    <cfRule type="containsText" dxfId="2202" priority="3564" operator="containsText" text="REVISION">
      <formula>NOT(ISERROR(SEARCH("REVISION",F1268)))</formula>
    </cfRule>
    <cfRule type="containsText" dxfId="2201" priority="3565" operator="containsText" text="BAJA">
      <formula>NOT(ISERROR(SEARCH("BAJA",F1268)))</formula>
    </cfRule>
    <cfRule type="containsText" dxfId="2200" priority="3568" operator="containsText" text="INSTALACION">
      <formula>NOT(ISERROR(SEARCH("INSTALACION",F1268)))</formula>
    </cfRule>
    <cfRule type="containsText" dxfId="2199" priority="3559" operator="containsText" text="RE-INSTALACION">
      <formula>NOT(ISERROR(SEARCH("RE-INSTALACION",F1268)))</formula>
    </cfRule>
    <cfRule type="containsText" dxfId="2198" priority="3561" operator="containsText" text="instalacion">
      <formula>NOT(ISERROR(SEARCH("instalacion",F1268)))</formula>
    </cfRule>
    <cfRule type="containsText" dxfId="2197" priority="3562" operator="containsText" text="REVISION">
      <formula>NOT(ISERROR(SEARCH("REVISION",F1268)))</formula>
    </cfRule>
    <cfRule type="containsText" dxfId="2196" priority="3563" operator="containsText" text="MIGRACION">
      <formula>NOT(ISERROR(SEARCH("MIGRACION",F1268)))</formula>
    </cfRule>
    <cfRule type="containsText" dxfId="2195" priority="3560" operator="containsText" text="DES-INSTALACION">
      <formula>NOT(ISERROR(SEARCH("DES-INSTALACION",F1268)))</formula>
    </cfRule>
  </conditionalFormatting>
  <conditionalFormatting sqref="F1280:F1291">
    <cfRule type="containsText" dxfId="2194" priority="3199" operator="containsText" text="instalacion">
      <formula>NOT(ISERROR(SEARCH("instalacion",F1280)))</formula>
    </cfRule>
    <cfRule type="containsText" dxfId="2193" priority="3197" operator="containsText" text="DES-INSTALACION">
      <formula>NOT(ISERROR(SEARCH("DES-INSTALACION",F1280)))</formula>
    </cfRule>
    <cfRule type="containsText" dxfId="2192" priority="3196" operator="containsText" text="RE-INSTALACION">
      <formula>NOT(ISERROR(SEARCH("RE-INSTALACION",F1280)))</formula>
    </cfRule>
    <cfRule type="containsText" dxfId="2191" priority="3201" operator="containsText" text="MIGRACION">
      <formula>NOT(ISERROR(SEARCH("MIGRACION",F1280)))</formula>
    </cfRule>
    <cfRule type="containsText" dxfId="2190" priority="3202" operator="containsText" text="REVISION">
      <formula>NOT(ISERROR(SEARCH("REVISION",F1280)))</formula>
    </cfRule>
    <cfRule type="containsText" dxfId="2189" priority="3203" operator="containsText" text="BAJA">
      <formula>NOT(ISERROR(SEARCH("BAJA",F1280)))</formula>
    </cfRule>
    <cfRule type="containsText" dxfId="2188" priority="3204" operator="containsText" text="RE-INSTALACION">
      <formula>NOT(ISERROR(SEARCH("RE-INSTALACION",F1280)))</formula>
    </cfRule>
    <cfRule type="containsText" dxfId="2187" priority="3205" operator="containsText" text="DES-INSTALACION">
      <formula>NOT(ISERROR(SEARCH("DES-INSTALACION",F1280)))</formula>
    </cfRule>
    <cfRule type="containsText" dxfId="2186" priority="3206" operator="containsText" text="INSTALACION">
      <formula>NOT(ISERROR(SEARCH("INSTALACION",F1280)))</formula>
    </cfRule>
    <cfRule type="containsText" dxfId="2185" priority="3200" operator="containsText" text="REVISION">
      <formula>NOT(ISERROR(SEARCH("REVISION",F1280)))</formula>
    </cfRule>
  </conditionalFormatting>
  <conditionalFormatting sqref="F1294:F1295">
    <cfRule type="containsText" dxfId="2184" priority="3176" operator="containsText" text="DES-INSTALACION">
      <formula>NOT(ISERROR(SEARCH("DES-INSTALACION",F1294)))</formula>
    </cfRule>
    <cfRule type="containsText" dxfId="2183" priority="3175" operator="containsText" text="RE-INSTALACION">
      <formula>NOT(ISERROR(SEARCH("RE-INSTALACION",F1294)))</formula>
    </cfRule>
  </conditionalFormatting>
  <conditionalFormatting sqref="F1295">
    <cfRule type="containsText" dxfId="2182" priority="3172" operator="containsText" text="MIGRACION">
      <formula>NOT(ISERROR(SEARCH("MIGRACION",F1295)))</formula>
    </cfRule>
    <cfRule type="containsText" dxfId="2181" priority="3177" operator="containsText" text="INSTALACION">
      <formula>NOT(ISERROR(SEARCH("INSTALACION",F1295)))</formula>
    </cfRule>
    <cfRule type="containsText" dxfId="2180" priority="3171" operator="containsText" text="REVISION">
      <formula>NOT(ISERROR(SEARCH("REVISION",F1295)))</formula>
    </cfRule>
    <cfRule type="containsText" dxfId="2179" priority="3173" operator="containsText" text="REVISION">
      <formula>NOT(ISERROR(SEARCH("REVISION",F1295)))</formula>
    </cfRule>
    <cfRule type="containsText" dxfId="2178" priority="3174" operator="containsText" text="BAJA">
      <formula>NOT(ISERROR(SEARCH("BAJA",F1295)))</formula>
    </cfRule>
    <cfRule type="containsText" dxfId="2177" priority="3170" operator="containsText" text="instalacion">
      <formula>NOT(ISERROR(SEARCH("instalacion",F1295)))</formula>
    </cfRule>
  </conditionalFormatting>
  <conditionalFormatting sqref="F1295:F1320">
    <cfRule type="containsText" dxfId="2176" priority="3146" operator="containsText" text="RE-INSTALACION">
      <formula>NOT(ISERROR(SEARCH("RE-INSTALACION",F1295)))</formula>
    </cfRule>
    <cfRule type="containsText" dxfId="2175" priority="3147" operator="containsText" text="DES-INSTALACION">
      <formula>NOT(ISERROR(SEARCH("DES-INSTALACION",F1295)))</formula>
    </cfRule>
  </conditionalFormatting>
  <conditionalFormatting sqref="F1296:F1320">
    <cfRule type="containsText" dxfId="2174" priority="3143" operator="containsText" text="MIGRACION">
      <formula>NOT(ISERROR(SEARCH("MIGRACION",F1296)))</formula>
    </cfRule>
    <cfRule type="containsText" dxfId="2173" priority="3144" operator="containsText" text="REVISION">
      <formula>NOT(ISERROR(SEARCH("REVISION",F1296)))</formula>
    </cfRule>
    <cfRule type="containsText" dxfId="2172" priority="3148" operator="containsText" text="INSTALACION">
      <formula>NOT(ISERROR(SEARCH("INSTALACION",F1296)))</formula>
    </cfRule>
    <cfRule type="containsText" dxfId="2171" priority="3145" operator="containsText" text="BAJA">
      <formula>NOT(ISERROR(SEARCH("BAJA",F1296)))</formula>
    </cfRule>
    <cfRule type="containsText" dxfId="2170" priority="3141" operator="containsText" text="instalacion">
      <formula>NOT(ISERROR(SEARCH("instalacion",F1296)))</formula>
    </cfRule>
    <cfRule type="containsText" dxfId="2169" priority="3142" operator="containsText" text="REVISION">
      <formula>NOT(ISERROR(SEARCH("REVISION",F1296)))</formula>
    </cfRule>
  </conditionalFormatting>
  <conditionalFormatting sqref="F1296:F1348">
    <cfRule type="containsText" dxfId="2168" priority="3123" operator="containsText" text="RE-INSTALACION">
      <formula>NOT(ISERROR(SEARCH("RE-INSTALACION",F1296)))</formula>
    </cfRule>
    <cfRule type="containsText" dxfId="2167" priority="3124" operator="containsText" text="DES-INSTALACION">
      <formula>NOT(ISERROR(SEARCH("DES-INSTALACION",F1296)))</formula>
    </cfRule>
  </conditionalFormatting>
  <conditionalFormatting sqref="F1321:F1348">
    <cfRule type="containsText" dxfId="2166" priority="3120" operator="containsText" text="MIGRACION">
      <formula>NOT(ISERROR(SEARCH("MIGRACION",F1321)))</formula>
    </cfRule>
    <cfRule type="containsText" dxfId="2165" priority="3121" operator="containsText" text="REVISION">
      <formula>NOT(ISERROR(SEARCH("REVISION",F1321)))</formula>
    </cfRule>
    <cfRule type="containsText" dxfId="2164" priority="3122" operator="containsText" text="BAJA">
      <formula>NOT(ISERROR(SEARCH("BAJA",F1321)))</formula>
    </cfRule>
    <cfRule type="containsText" dxfId="2163" priority="3125" operator="containsText" text="INSTALACION">
      <formula>NOT(ISERROR(SEARCH("INSTALACION",F1321)))</formula>
    </cfRule>
    <cfRule type="containsText" dxfId="2162" priority="3118" operator="containsText" text="instalacion">
      <formula>NOT(ISERROR(SEARCH("instalacion",F1321)))</formula>
    </cfRule>
    <cfRule type="containsText" dxfId="2161" priority="3119" operator="containsText" text="REVISION">
      <formula>NOT(ISERROR(SEARCH("REVISION",F1321)))</formula>
    </cfRule>
  </conditionalFormatting>
  <conditionalFormatting sqref="F1321:F1391">
    <cfRule type="containsText" dxfId="2160" priority="3095" operator="containsText" text="DES-INSTALACION">
      <formula>NOT(ISERROR(SEARCH("DES-INSTALACION",F1321)))</formula>
    </cfRule>
    <cfRule type="containsText" dxfId="2159" priority="3094" operator="containsText" text="RE-INSTALACION">
      <formula>NOT(ISERROR(SEARCH("RE-INSTALACION",F1321)))</formula>
    </cfRule>
  </conditionalFormatting>
  <conditionalFormatting sqref="F1349:F1391">
    <cfRule type="containsText" dxfId="2158" priority="3096" operator="containsText" text="INSTALACION">
      <formula>NOT(ISERROR(SEARCH("INSTALACION",F1349)))</formula>
    </cfRule>
    <cfRule type="containsText" dxfId="2157" priority="3093" operator="containsText" text="BAJA">
      <formula>NOT(ISERROR(SEARCH("BAJA",F1349)))</formula>
    </cfRule>
    <cfRule type="containsText" dxfId="2156" priority="3092" operator="containsText" text="REVISION">
      <formula>NOT(ISERROR(SEARCH("REVISION",F1349)))</formula>
    </cfRule>
    <cfRule type="containsText" dxfId="2155" priority="3091" operator="containsText" text="MIGRACION">
      <formula>NOT(ISERROR(SEARCH("MIGRACION",F1349)))</formula>
    </cfRule>
    <cfRule type="containsText" dxfId="2154" priority="3090" operator="containsText" text="REVISION">
      <formula>NOT(ISERROR(SEARCH("REVISION",F1349)))</formula>
    </cfRule>
    <cfRule type="containsText" dxfId="2153" priority="3089" operator="containsText" text="instalacion">
      <formula>NOT(ISERROR(SEARCH("instalacion",F1349)))</formula>
    </cfRule>
  </conditionalFormatting>
  <conditionalFormatting sqref="F1349:F1431">
    <cfRule type="containsText" dxfId="2152" priority="3066" operator="containsText" text="DES-INSTALACION">
      <formula>NOT(ISERROR(SEARCH("DES-INSTALACION",F1349)))</formula>
    </cfRule>
    <cfRule type="containsText" dxfId="2151" priority="3065" operator="containsText" text="RE-INSTALACION">
      <formula>NOT(ISERROR(SEARCH("RE-INSTALACION",F1349)))</formula>
    </cfRule>
  </conditionalFormatting>
  <conditionalFormatting sqref="F1392:F1431">
    <cfRule type="containsText" dxfId="2150" priority="3067" operator="containsText" text="INSTALACION">
      <formula>NOT(ISERROR(SEARCH("INSTALACION",F1392)))</formula>
    </cfRule>
    <cfRule type="containsText" dxfId="2149" priority="3064" operator="containsText" text="BAJA">
      <formula>NOT(ISERROR(SEARCH("BAJA",F1392)))</formula>
    </cfRule>
    <cfRule type="containsText" dxfId="2148" priority="3060" operator="containsText" text="instalacion">
      <formula>NOT(ISERROR(SEARCH("instalacion",F1392)))</formula>
    </cfRule>
    <cfRule type="containsText" dxfId="2147" priority="3063" operator="containsText" text="REVISION">
      <formula>NOT(ISERROR(SEARCH("REVISION",F1392)))</formula>
    </cfRule>
    <cfRule type="containsText" dxfId="2146" priority="3061" operator="containsText" text="REVISION">
      <formula>NOT(ISERROR(SEARCH("REVISION",F1392)))</formula>
    </cfRule>
    <cfRule type="containsText" dxfId="2145" priority="3062" operator="containsText" text="MIGRACION">
      <formula>NOT(ISERROR(SEARCH("MIGRACION",F1392)))</formula>
    </cfRule>
  </conditionalFormatting>
  <conditionalFormatting sqref="F1392:F1443">
    <cfRule type="containsText" dxfId="2144" priority="3036" operator="containsText" text="RE-INSTALACION">
      <formula>NOT(ISERROR(SEARCH("RE-INSTALACION",F1392)))</formula>
    </cfRule>
    <cfRule type="containsText" dxfId="2143" priority="3037" operator="containsText" text="DES-INSTALACION">
      <formula>NOT(ISERROR(SEARCH("DES-INSTALACION",F1392)))</formula>
    </cfRule>
  </conditionalFormatting>
  <conditionalFormatting sqref="F1432:F1443">
    <cfRule type="containsText" dxfId="2142" priority="3032" operator="containsText" text="REVISION">
      <formula>NOT(ISERROR(SEARCH("REVISION",F1432)))</formula>
    </cfRule>
    <cfRule type="containsText" dxfId="2141" priority="3033" operator="containsText" text="MIGRACION">
      <formula>NOT(ISERROR(SEARCH("MIGRACION",F1432)))</formula>
    </cfRule>
    <cfRule type="containsText" dxfId="2140" priority="3034" operator="containsText" text="REVISION">
      <formula>NOT(ISERROR(SEARCH("REVISION",F1432)))</formula>
    </cfRule>
    <cfRule type="containsText" dxfId="2139" priority="3035" operator="containsText" text="BAJA">
      <formula>NOT(ISERROR(SEARCH("BAJA",F1432)))</formula>
    </cfRule>
    <cfRule type="containsText" dxfId="2138" priority="3038" operator="containsText" text="INSTALACION">
      <formula>NOT(ISERROR(SEARCH("INSTALACION",F1432)))</formula>
    </cfRule>
    <cfRule type="containsText" dxfId="2137" priority="3031" operator="containsText" text="instalacion">
      <formula>NOT(ISERROR(SEARCH("instalacion",F1432)))</formula>
    </cfRule>
  </conditionalFormatting>
  <conditionalFormatting sqref="F1432:F1478 F1480 F1482">
    <cfRule type="containsText" dxfId="2136" priority="3007" operator="containsText" text="RE-INSTALACION">
      <formula>NOT(ISERROR(SEARCH("RE-INSTALACION",F1432)))</formula>
    </cfRule>
    <cfRule type="containsText" dxfId="2135" priority="3008" operator="containsText" text="DES-INSTALACION">
      <formula>NOT(ISERROR(SEARCH("DES-INSTALACION",F1432)))</formula>
    </cfRule>
  </conditionalFormatting>
  <conditionalFormatting sqref="F1444:F1478 F1480 F1482">
    <cfRule type="containsText" dxfId="2134" priority="3002" operator="containsText" text="instalacion">
      <formula>NOT(ISERROR(SEARCH("instalacion",F1444)))</formula>
    </cfRule>
    <cfRule type="containsText" dxfId="2133" priority="3003" operator="containsText" text="REVISION">
      <formula>NOT(ISERROR(SEARCH("REVISION",F1444)))</formula>
    </cfRule>
    <cfRule type="containsText" dxfId="2132" priority="3004" operator="containsText" text="MIGRACION">
      <formula>NOT(ISERROR(SEARCH("MIGRACION",F1444)))</formula>
    </cfRule>
    <cfRule type="containsText" dxfId="2131" priority="3005" operator="containsText" text="REVISION">
      <formula>NOT(ISERROR(SEARCH("REVISION",F1444)))</formula>
    </cfRule>
    <cfRule type="containsText" dxfId="2130" priority="3006" operator="containsText" text="BAJA">
      <formula>NOT(ISERROR(SEARCH("BAJA",F1444)))</formula>
    </cfRule>
    <cfRule type="containsText" dxfId="2129" priority="3009" operator="containsText" text="INSTALACION">
      <formula>NOT(ISERROR(SEARCH("INSTALACION",F1444)))</formula>
    </cfRule>
  </conditionalFormatting>
  <conditionalFormatting sqref="F1444:F1480">
    <cfRule type="containsText" dxfId="2128" priority="2879" operator="containsText" text="RE-INSTALACION">
      <formula>NOT(ISERROR(SEARCH("RE-INSTALACION",F1444)))</formula>
    </cfRule>
    <cfRule type="containsText" dxfId="2127" priority="2880" operator="containsText" text="DES-INSTALACION">
      <formula>NOT(ISERROR(SEARCH("DES-INSTALACION",F1444)))</formula>
    </cfRule>
  </conditionalFormatting>
  <conditionalFormatting sqref="F1479">
    <cfRule type="containsText" dxfId="2126" priority="2881" operator="containsText" text="INSTALACION">
      <formula>NOT(ISERROR(SEARCH("INSTALACION",F1479)))</formula>
    </cfRule>
    <cfRule type="containsText" dxfId="2125" priority="2878" operator="containsText" text="BAJA">
      <formula>NOT(ISERROR(SEARCH("BAJA",F1479)))</formula>
    </cfRule>
    <cfRule type="containsText" dxfId="2124" priority="2877" operator="containsText" text="REVISION">
      <formula>NOT(ISERROR(SEARCH("REVISION",F1479)))</formula>
    </cfRule>
    <cfRule type="containsText" dxfId="2123" priority="2876" operator="containsText" text="MIGRACION">
      <formula>NOT(ISERROR(SEARCH("MIGRACION",F1479)))</formula>
    </cfRule>
    <cfRule type="containsText" dxfId="2122" priority="2875" operator="containsText" text="REVISION">
      <formula>NOT(ISERROR(SEARCH("REVISION",F1479)))</formula>
    </cfRule>
    <cfRule type="containsText" dxfId="2121" priority="2874" operator="containsText" text="instalacion">
      <formula>NOT(ISERROR(SEARCH("instalacion",F1479)))</formula>
    </cfRule>
    <cfRule type="containsText" dxfId="2120" priority="2871" operator="containsText" text="RE-INSTALACION">
      <formula>NOT(ISERROR(SEARCH("RE-INSTALACION",F1479)))</formula>
    </cfRule>
    <cfRule type="containsText" dxfId="2119" priority="2872" operator="containsText" text="DES-INSTALACION">
      <formula>NOT(ISERROR(SEARCH("DES-INSTALACION",F1479)))</formula>
    </cfRule>
  </conditionalFormatting>
  <conditionalFormatting sqref="F1481">
    <cfRule type="containsText" dxfId="2118" priority="2835" operator="containsText" text="INSTALACION">
      <formula>NOT(ISERROR(SEARCH("INSTALACION",F1481)))</formula>
    </cfRule>
    <cfRule type="containsText" dxfId="2117" priority="2832" operator="containsText" text="BAJA">
      <formula>NOT(ISERROR(SEARCH("BAJA",F1481)))</formula>
    </cfRule>
    <cfRule type="containsText" dxfId="2116" priority="2831" operator="containsText" text="REVISION">
      <formula>NOT(ISERROR(SEARCH("REVISION",F1481)))</formula>
    </cfRule>
    <cfRule type="containsText" dxfId="2115" priority="2830" operator="containsText" text="MIGRACION">
      <formula>NOT(ISERROR(SEARCH("MIGRACION",F1481)))</formula>
    </cfRule>
    <cfRule type="containsText" dxfId="2114" priority="2829" operator="containsText" text="REVISION">
      <formula>NOT(ISERROR(SEARCH("REVISION",F1481)))</formula>
    </cfRule>
    <cfRule type="containsText" dxfId="2113" priority="2828" operator="containsText" text="instalacion">
      <formula>NOT(ISERROR(SEARCH("instalacion",F1481)))</formula>
    </cfRule>
    <cfRule type="containsText" dxfId="2112" priority="2826" operator="containsText" text="DES-INSTALACION">
      <formula>NOT(ISERROR(SEARCH("DES-INSTALACION",F1481)))</formula>
    </cfRule>
    <cfRule type="containsText" dxfId="2111" priority="2825" operator="containsText" text="RE-INSTALACION">
      <formula>NOT(ISERROR(SEARCH("RE-INSTALACION",F1481)))</formula>
    </cfRule>
  </conditionalFormatting>
  <conditionalFormatting sqref="F1481:F1482">
    <cfRule type="containsText" dxfId="2110" priority="2833" operator="containsText" text="RE-INSTALACION">
      <formula>NOT(ISERROR(SEARCH("RE-INSTALACION",F1481)))</formula>
    </cfRule>
    <cfRule type="containsText" dxfId="2109" priority="2834" operator="containsText" text="DES-INSTALACION">
      <formula>NOT(ISERROR(SEARCH("DES-INSTALACION",F1481)))</formula>
    </cfRule>
  </conditionalFormatting>
  <conditionalFormatting sqref="F1483:F1484">
    <cfRule type="containsText" dxfId="2108" priority="2796" operator="containsText" text="BAJA">
      <formula>NOT(ISERROR(SEARCH("BAJA",F1483)))</formula>
    </cfRule>
    <cfRule type="containsText" dxfId="2107" priority="2799" operator="containsText" text="INSTALACION">
      <formula>NOT(ISERROR(SEARCH("INSTALACION",F1483)))</formula>
    </cfRule>
    <cfRule type="containsText" dxfId="2106" priority="2795" operator="containsText" text="REVISION">
      <formula>NOT(ISERROR(SEARCH("REVISION",F1483)))</formula>
    </cfRule>
    <cfRule type="containsText" dxfId="2105" priority="2794" operator="containsText" text="MIGRACION">
      <formula>NOT(ISERROR(SEARCH("MIGRACION",F1483)))</formula>
    </cfRule>
    <cfRule type="containsText" dxfId="2104" priority="2793" operator="containsText" text="REVISION">
      <formula>NOT(ISERROR(SEARCH("REVISION",F1483)))</formula>
    </cfRule>
    <cfRule type="containsText" dxfId="2103" priority="2792" operator="containsText" text="instalacion">
      <formula>NOT(ISERROR(SEARCH("instalacion",F1483)))</formula>
    </cfRule>
    <cfRule type="containsText" dxfId="2102" priority="2790" operator="containsText" text="DES-INSTALACION">
      <formula>NOT(ISERROR(SEARCH("DES-INSTALACION",F1483)))</formula>
    </cfRule>
    <cfRule type="containsText" dxfId="2101" priority="2789" operator="containsText" text="RE-INSTALACION">
      <formula>NOT(ISERROR(SEARCH("RE-INSTALACION",F1483)))</formula>
    </cfRule>
  </conditionalFormatting>
  <conditionalFormatting sqref="F1483:F1486">
    <cfRule type="containsText" dxfId="2100" priority="2798" operator="containsText" text="DES-INSTALACION">
      <formula>NOT(ISERROR(SEARCH("DES-INSTALACION",F1483)))</formula>
    </cfRule>
    <cfRule type="containsText" dxfId="2099" priority="2797" operator="containsText" text="RE-INSTALACION">
      <formula>NOT(ISERROR(SEARCH("RE-INSTALACION",F1483)))</formula>
    </cfRule>
  </conditionalFormatting>
  <conditionalFormatting sqref="F1487">
    <cfRule type="containsText" dxfId="2098" priority="2754" operator="containsText" text="instalacion">
      <formula>NOT(ISERROR(SEARCH("instalacion",F1487)))</formula>
    </cfRule>
    <cfRule type="containsText" dxfId="2097" priority="2761" operator="containsText" text="INSTALACION">
      <formula>NOT(ISERROR(SEARCH("INSTALACION",F1487)))</formula>
    </cfRule>
    <cfRule type="containsText" dxfId="2096" priority="2752" operator="containsText" text="DES-INSTALACION">
      <formula>NOT(ISERROR(SEARCH("DES-INSTALACION",F1487)))</formula>
    </cfRule>
    <cfRule type="containsText" dxfId="2095" priority="2758" operator="containsText" text="BAJA">
      <formula>NOT(ISERROR(SEARCH("BAJA",F1487)))</formula>
    </cfRule>
    <cfRule type="containsText" dxfId="2094" priority="2757" operator="containsText" text="REVISION">
      <formula>NOT(ISERROR(SEARCH("REVISION",F1487)))</formula>
    </cfRule>
    <cfRule type="containsText" dxfId="2093" priority="2756" operator="containsText" text="MIGRACION">
      <formula>NOT(ISERROR(SEARCH("MIGRACION",F1487)))</formula>
    </cfRule>
    <cfRule type="containsText" dxfId="2092" priority="2755" operator="containsText" text="REVISION">
      <formula>NOT(ISERROR(SEARCH("REVISION",F1487)))</formula>
    </cfRule>
    <cfRule type="containsText" dxfId="2091" priority="2751" operator="containsText" text="RE-INSTALACION">
      <formula>NOT(ISERROR(SEARCH("RE-INSTALACION",F1487)))</formula>
    </cfRule>
  </conditionalFormatting>
  <conditionalFormatting sqref="F1487:F1488">
    <cfRule type="containsText" dxfId="2090" priority="2760" operator="containsText" text="DES-INSTALACION">
      <formula>NOT(ISERROR(SEARCH("DES-INSTALACION",F1487)))</formula>
    </cfRule>
    <cfRule type="containsText" dxfId="2089" priority="2759" operator="containsText" text="RE-INSTALACION">
      <formula>NOT(ISERROR(SEARCH("RE-INSTALACION",F1487)))</formula>
    </cfRule>
  </conditionalFormatting>
  <conditionalFormatting sqref="F1489:F1499">
    <cfRule type="containsText" dxfId="2088" priority="2729" operator="containsText" text="REVISION">
      <formula>NOT(ISERROR(SEARCH("REVISION",F1489)))</formula>
    </cfRule>
    <cfRule type="containsText" dxfId="2087" priority="2727" operator="containsText" text="REVISION">
      <formula>NOT(ISERROR(SEARCH("REVISION",F1489)))</formula>
    </cfRule>
    <cfRule type="containsText" dxfId="2086" priority="2726" operator="containsText" text="instalacion">
      <formula>NOT(ISERROR(SEARCH("instalacion",F1489)))</formula>
    </cfRule>
    <cfRule type="containsText" dxfId="2085" priority="2724" operator="containsText" text="DES-INSTALACION">
      <formula>NOT(ISERROR(SEARCH("DES-INSTALACION",F1489)))</formula>
    </cfRule>
    <cfRule type="containsText" dxfId="2084" priority="2723" operator="containsText" text="RE-INSTALACION">
      <formula>NOT(ISERROR(SEARCH("RE-INSTALACION",F1489)))</formula>
    </cfRule>
    <cfRule type="containsText" dxfId="2083" priority="2728" operator="containsText" text="MIGRACION">
      <formula>NOT(ISERROR(SEARCH("MIGRACION",F1489)))</formula>
    </cfRule>
    <cfRule type="containsText" dxfId="2082" priority="2733" operator="containsText" text="INSTALACION">
      <formula>NOT(ISERROR(SEARCH("INSTALACION",F1489)))</formula>
    </cfRule>
    <cfRule type="containsText" dxfId="2081" priority="2730" operator="containsText" text="BAJA">
      <formula>NOT(ISERROR(SEARCH("BAJA",F1489)))</formula>
    </cfRule>
  </conditionalFormatting>
  <conditionalFormatting sqref="F1489:F1501">
    <cfRule type="containsText" dxfId="2080" priority="2732" operator="containsText" text="DES-INSTALACION">
      <formula>NOT(ISERROR(SEARCH("DES-INSTALACION",F1489)))</formula>
    </cfRule>
    <cfRule type="containsText" dxfId="2079" priority="2731" operator="containsText" text="RE-INSTALACION">
      <formula>NOT(ISERROR(SEARCH("RE-INSTALACION",F1489)))</formula>
    </cfRule>
  </conditionalFormatting>
  <conditionalFormatting sqref="F1503">
    <cfRule type="containsText" dxfId="2078" priority="1117" operator="containsText" text="MIGRACION">
      <formula>NOT(ISERROR(SEARCH("MIGRACION",F1503)))</formula>
    </cfRule>
    <cfRule type="containsText" dxfId="2077" priority="1118" operator="containsText" text="REVISION">
      <formula>NOT(ISERROR(SEARCH("REVISION",F1503)))</formula>
    </cfRule>
    <cfRule type="containsText" dxfId="2076" priority="1121" operator="containsText" text="DES-INSTALACION">
      <formula>NOT(ISERROR(SEARCH("DES-INSTALACION",F1503)))</formula>
    </cfRule>
    <cfRule type="containsText" dxfId="2075" priority="1115" operator="containsText" text="instalacion">
      <formula>NOT(ISERROR(SEARCH("instalacion",F1503)))</formula>
    </cfRule>
    <cfRule type="containsText" dxfId="2074" priority="1116" operator="containsText" text="REVISION">
      <formula>NOT(ISERROR(SEARCH("REVISION",F1503)))</formula>
    </cfRule>
    <cfRule type="containsText" dxfId="2073" priority="1119" operator="containsText" text="BAJA">
      <formula>NOT(ISERROR(SEARCH("BAJA",F1503)))</formula>
    </cfRule>
    <cfRule type="containsText" dxfId="2072" priority="1120" operator="containsText" text="RE-INSTALACION">
      <formula>NOT(ISERROR(SEARCH("RE-INSTALACION",F1503)))</formula>
    </cfRule>
    <cfRule type="containsText" dxfId="2071" priority="1122" operator="containsText" text="INSTALACION">
      <formula>NOT(ISERROR(SEARCH("INSTALACION",F1503)))</formula>
    </cfRule>
  </conditionalFormatting>
  <conditionalFormatting sqref="F1503:F1507">
    <cfRule type="containsText" dxfId="2070" priority="1099" operator="containsText" text="DES-INSTALACION">
      <formula>NOT(ISERROR(SEARCH("DES-INSTALACION",F1503)))</formula>
    </cfRule>
    <cfRule type="containsText" dxfId="2069" priority="1098" operator="containsText" text="RE-INSTALACION">
      <formula>NOT(ISERROR(SEARCH("RE-INSTALACION",F1503)))</formula>
    </cfRule>
  </conditionalFormatting>
  <conditionalFormatting sqref="F1504:F1507">
    <cfRule type="containsText" dxfId="2068" priority="1096" operator="containsText" text="REVISION">
      <formula>NOT(ISERROR(SEARCH("REVISION",F1504)))</formula>
    </cfRule>
    <cfRule type="containsText" dxfId="2067" priority="1095" operator="containsText" text="MIGRACION">
      <formula>NOT(ISERROR(SEARCH("MIGRACION",F1504)))</formula>
    </cfRule>
    <cfRule type="containsText" dxfId="2066" priority="1100" operator="containsText" text="INSTALACION">
      <formula>NOT(ISERROR(SEARCH("INSTALACION",F1504)))</formula>
    </cfRule>
  </conditionalFormatting>
  <conditionalFormatting sqref="F1504:F1509">
    <cfRule type="containsText" dxfId="2065" priority="1002" operator="containsText" text="REVISION">
      <formula>NOT(ISERROR(SEARCH("REVISION",F1504)))</formula>
    </cfRule>
    <cfRule type="containsText" dxfId="2064" priority="999" operator="containsText" text="instalacion">
      <formula>NOT(ISERROR(SEARCH("instalacion",F1504)))</formula>
    </cfRule>
  </conditionalFormatting>
  <conditionalFormatting sqref="F1508:F1509">
    <cfRule type="containsText" dxfId="2063" priority="1003" operator="containsText" text="BAJA">
      <formula>NOT(ISERROR(SEARCH("BAJA",F1508)))</formula>
    </cfRule>
    <cfRule type="containsText" dxfId="2062" priority="1000" operator="containsText" text="REVISION">
      <formula>NOT(ISERROR(SEARCH("REVISION",F1508)))</formula>
    </cfRule>
    <cfRule type="containsText" dxfId="2061" priority="997" operator="containsText" text="RE-INSTALACION">
      <formula>NOT(ISERROR(SEARCH("RE-INSTALACION",F1508)))</formula>
    </cfRule>
    <cfRule type="containsText" dxfId="2060" priority="1006" operator="containsText" text="INSTALACION">
      <formula>NOT(ISERROR(SEARCH("INSTALACION",F1508)))</formula>
    </cfRule>
    <cfRule type="containsText" dxfId="2059" priority="1001" operator="containsText" text="MIGRACION">
      <formula>NOT(ISERROR(SEARCH("MIGRACION",F1508)))</formula>
    </cfRule>
    <cfRule type="containsText" dxfId="2058" priority="998" operator="containsText" text="DES-INSTALACION">
      <formula>NOT(ISERROR(SEARCH("DES-INSTALACION",F1508)))</formula>
    </cfRule>
  </conditionalFormatting>
  <conditionalFormatting sqref="G177 H489:I1048576">
    <cfRule type="containsText" dxfId="2057" priority="2205" operator="containsText" text="PETICION DE BAJA">
      <formula>NOT(ISERROR(SEARCH("PETICION DE BAJA",G177)))</formula>
    </cfRule>
  </conditionalFormatting>
  <conditionalFormatting sqref="G220">
    <cfRule type="containsText" dxfId="2056" priority="2066" operator="containsText" text="PETICION DE BAJA">
      <formula>NOT(ISERROR(SEARCH("PETICION DE BAJA",G220)))</formula>
    </cfRule>
  </conditionalFormatting>
  <conditionalFormatting sqref="G51:I51">
    <cfRule type="containsText" dxfId="2055" priority="2444" operator="containsText" text="PETICION DE BAJA">
      <formula>NOT(ISERROR(SEARCH("PETICION DE BAJA",G51)))</formula>
    </cfRule>
  </conditionalFormatting>
  <conditionalFormatting sqref="G95:I95">
    <cfRule type="containsText" dxfId="2054" priority="2393" operator="containsText" text="PETICION DE BAJA">
      <formula>NOT(ISERROR(SEARCH("PETICION DE BAJA",G95)))</formula>
    </cfRule>
  </conditionalFormatting>
  <conditionalFormatting sqref="G97:I97">
    <cfRule type="containsText" dxfId="2053" priority="2360" operator="containsText" text="PETICION DE BAJA">
      <formula>NOT(ISERROR(SEARCH("PETICION DE BAJA",G97)))</formula>
    </cfRule>
  </conditionalFormatting>
  <conditionalFormatting sqref="G112:I112">
    <cfRule type="containsText" dxfId="2052" priority="2382" operator="containsText" text="PETICION DE BAJA">
      <formula>NOT(ISERROR(SEARCH("PETICION DE BAJA",G112)))</formula>
    </cfRule>
  </conditionalFormatting>
  <conditionalFormatting sqref="G124:I125">
    <cfRule type="containsText" dxfId="2051" priority="2338" operator="containsText" text="PETICION DE BAJA">
      <formula>NOT(ISERROR(SEARCH("PETICION DE BAJA",G124)))</formula>
    </cfRule>
  </conditionalFormatting>
  <conditionalFormatting sqref="G129:I129">
    <cfRule type="containsText" dxfId="2050" priority="2327" operator="containsText" text="PETICION DE BAJA">
      <formula>NOT(ISERROR(SEARCH("PETICION DE BAJA",G129)))</formula>
    </cfRule>
  </conditionalFormatting>
  <conditionalFormatting sqref="G146:I146">
    <cfRule type="containsText" dxfId="2049" priority="2315" operator="containsText" text="PETICION DE BAJA">
      <formula>NOT(ISERROR(SEARCH("PETICION DE BAJA",G146)))</formula>
    </cfRule>
  </conditionalFormatting>
  <conditionalFormatting sqref="G151:I151">
    <cfRule type="containsText" dxfId="2048" priority="2304" operator="containsText" text="PETICION DE BAJA">
      <formula>NOT(ISERROR(SEARCH("PETICION DE BAJA",G151)))</formula>
    </cfRule>
  </conditionalFormatting>
  <conditionalFormatting sqref="G157:I157">
    <cfRule type="containsText" dxfId="2047" priority="2293" operator="containsText" text="PETICION DE BAJA">
      <formula>NOT(ISERROR(SEARCH("PETICION DE BAJA",G157)))</formula>
    </cfRule>
  </conditionalFormatting>
  <conditionalFormatting sqref="G161:I161">
    <cfRule type="containsText" dxfId="2046" priority="2282" operator="containsText" text="PETICION DE BAJA">
      <formula>NOT(ISERROR(SEARCH("PETICION DE BAJA",G161)))</formula>
    </cfRule>
  </conditionalFormatting>
  <conditionalFormatting sqref="G164:I164">
    <cfRule type="containsText" dxfId="2045" priority="2271" operator="containsText" text="PETICION DE BAJA">
      <formula>NOT(ISERROR(SEARCH("PETICION DE BAJA",G164)))</formula>
    </cfRule>
  </conditionalFormatting>
  <conditionalFormatting sqref="G167:I168">
    <cfRule type="containsText" dxfId="2044" priority="2249" operator="containsText" text="PETICION DE BAJA">
      <formula>NOT(ISERROR(SEARCH("PETICION DE BAJA",G167)))</formula>
    </cfRule>
  </conditionalFormatting>
  <conditionalFormatting sqref="G170:I170">
    <cfRule type="containsText" dxfId="2043" priority="2238" operator="containsText" text="PETICION DE BAJA">
      <formula>NOT(ISERROR(SEARCH("PETICION DE BAJA",G170)))</formula>
    </cfRule>
  </conditionalFormatting>
  <conditionalFormatting sqref="G173:I174 H175:I195 G190">
    <cfRule type="containsText" dxfId="2042" priority="2194" operator="containsText" text="PETICION DE BAJA">
      <formula>NOT(ISERROR(SEARCH("PETICION DE BAJA",G173)))</formula>
    </cfRule>
  </conditionalFormatting>
  <conditionalFormatting sqref="G196:I196">
    <cfRule type="containsText" dxfId="2041" priority="2175" operator="containsText" text="PETICION DE BAJA">
      <formula>NOT(ISERROR(SEARCH("PETICION DE BAJA",G196)))</formula>
    </cfRule>
  </conditionalFormatting>
  <conditionalFormatting sqref="G202:I202">
    <cfRule type="containsText" dxfId="2040" priority="2143" operator="containsText" text="PETICION DE BAJA">
      <formula>NOT(ISERROR(SEARCH("PETICION DE BAJA",G202)))</formula>
    </cfRule>
  </conditionalFormatting>
  <conditionalFormatting sqref="G207:I209">
    <cfRule type="containsText" dxfId="2039" priority="2099" operator="containsText" text="PETICION DE BAJA">
      <formula>NOT(ISERROR(SEARCH("PETICION DE BAJA",G207)))</formula>
    </cfRule>
  </conditionalFormatting>
  <conditionalFormatting sqref="G213:I213">
    <cfRule type="containsText" dxfId="2038" priority="2088" operator="containsText" text="PETICION DE BAJA">
      <formula>NOT(ISERROR(SEARCH("PETICION DE BAJA",G213)))</formula>
    </cfRule>
  </conditionalFormatting>
  <conditionalFormatting sqref="G346:I346">
    <cfRule type="containsText" dxfId="2037" priority="1781" operator="containsText" text="PETICION DE BAJA">
      <formula>NOT(ISERROR(SEARCH("PETICION DE BAJA",G346)))</formula>
    </cfRule>
  </conditionalFormatting>
  <conditionalFormatting sqref="G353:I353">
    <cfRule type="containsText" dxfId="2036" priority="1759" operator="containsText" text="PETICION DE BAJA">
      <formula>NOT(ISERROR(SEARCH("PETICION DE BAJA",G353)))</formula>
    </cfRule>
  </conditionalFormatting>
  <conditionalFormatting sqref="G360:I360">
    <cfRule type="containsText" dxfId="2035" priority="1740" operator="containsText" text="PETICION DE BAJA">
      <formula>NOT(ISERROR(SEARCH("PETICION DE BAJA",G360)))</formula>
    </cfRule>
  </conditionalFormatting>
  <conditionalFormatting sqref="G488:I488">
    <cfRule type="containsText" dxfId="2034" priority="1417" operator="containsText" text="PETICION DE BAJA">
      <formula>NOT(ISERROR(SEARCH("PETICION DE BAJA",G488)))</formula>
    </cfRule>
  </conditionalFormatting>
  <conditionalFormatting sqref="H1:I50">
    <cfRule type="containsText" dxfId="2033" priority="2470" operator="containsText" text="PETICION DE BAJA">
      <formula>NOT(ISERROR(SEARCH("PETICION DE BAJA",H1)))</formula>
    </cfRule>
  </conditionalFormatting>
  <conditionalFormatting sqref="H52:I94 G57:G59">
    <cfRule type="containsText" dxfId="2032" priority="2371" operator="containsText" text="PETICION DE BAJA">
      <formula>NOT(ISERROR(SEARCH("PETICION DE BAJA",G52)))</formula>
    </cfRule>
  </conditionalFormatting>
  <conditionalFormatting sqref="H96:I96 H98:I111 H113:I123 H126:I128 H130:I145 H147:I150 H152:I156 H158:I160 H162:I163 H165:I166 H169:I169 H171:I172 H210:I212 H220:H227 H223:I223 H228:I229 H229:H230 H231:I242 H243:H244 H354:I359">
    <cfRule type="containsText" dxfId="2031" priority="5517" operator="containsText" text="PETICION DE BAJA">
      <formula>NOT(ISERROR(SEARCH("PETICION DE BAJA",H96)))</formula>
    </cfRule>
  </conditionalFormatting>
  <conditionalFormatting sqref="H197:I201">
    <cfRule type="containsText" dxfId="2030" priority="2164" operator="containsText" text="PETICION DE BAJA">
      <formula>NOT(ISERROR(SEARCH("PETICION DE BAJA",H197)))</formula>
    </cfRule>
  </conditionalFormatting>
  <conditionalFormatting sqref="H203:I206">
    <cfRule type="containsText" dxfId="2029" priority="2132" operator="containsText" text="PETICION DE BAJA">
      <formula>NOT(ISERROR(SEARCH("PETICION DE BAJA",H203)))</formula>
    </cfRule>
  </conditionalFormatting>
  <conditionalFormatting sqref="H214:I219">
    <cfRule type="containsText" dxfId="2028" priority="1944" operator="containsText" text="PETICION DE BAJA">
      <formula>NOT(ISERROR(SEARCH("PETICION DE BAJA",H214)))</formula>
    </cfRule>
  </conditionalFormatting>
  <conditionalFormatting sqref="H244:I345 H361:I487 G484:G485">
    <cfRule type="containsText" dxfId="2027" priority="1470" operator="containsText" text="PETICION DE BAJA">
      <formula>NOT(ISERROR(SEARCH("PETICION DE BAJA",G244)))</formula>
    </cfRule>
  </conditionalFormatting>
  <conditionalFormatting sqref="H347:I352">
    <cfRule type="containsText" dxfId="2026" priority="1770" operator="containsText" text="PETICION DE BAJA">
      <formula>NOT(ISERROR(SEARCH("PETICION DE BAJA",H347)))</formula>
    </cfRule>
  </conditionalFormatting>
  <conditionalFormatting sqref="I220:I222 I224:I227">
    <cfRule type="containsText" dxfId="2025" priority="2046" operator="containsText" text="PETICION DE BAJA">
      <formula>NOT(ISERROR(SEARCH("PETICION DE BAJA",I220)))</formula>
    </cfRule>
  </conditionalFormatting>
  <conditionalFormatting sqref="I230">
    <cfRule type="containsText" dxfId="2024" priority="2035" operator="containsText" text="PETICION DE BAJA">
      <formula>NOT(ISERROR(SEARCH("PETICION DE BAJA",I230)))</formula>
    </cfRule>
  </conditionalFormatting>
  <conditionalFormatting sqref="I243">
    <cfRule type="containsText" dxfId="2023" priority="2024" operator="containsText" text="PETICION DE BAJA">
      <formula>NOT(ISERROR(SEARCH("PETICION DE BAJA",I243)))</formula>
    </cfRule>
  </conditionalFormatting>
  <conditionalFormatting sqref="J1666">
    <cfRule type="containsText" dxfId="2022" priority="430" operator="containsText" text="PETICION DE BAJA">
      <formula>NOT(ISERROR(SEARCH("PETICION DE BAJA",J1666)))</formula>
    </cfRule>
  </conditionalFormatting>
  <conditionalFormatting sqref="M320">
    <cfRule type="containsText" dxfId="2021" priority="10322" operator="containsText" text="SIN REGISTRO">
      <formula>NOT(ISERROR(SEARCH("SIN REGISTRO",M320)))</formula>
    </cfRule>
    <cfRule type="containsText" dxfId="2020" priority="10321" operator="containsText" text="BAJA">
      <formula>NOT(ISERROR(SEARCH("BAJA",M320)))</formula>
    </cfRule>
    <cfRule type="containsText" dxfId="2019" priority="10319" operator="containsText" text="MIGRADO">
      <formula>NOT(ISERROR(SEARCH("MIGRADO",M320)))</formula>
    </cfRule>
    <cfRule type="containsText" dxfId="2018" priority="10318" operator="containsText" text="REPOSICION SIM">
      <formula>NOT(ISERROR(SEARCH("REPOSICION SIM",M320)))</formula>
    </cfRule>
    <cfRule type="containsText" dxfId="2017" priority="10320" operator="containsText" text="ACTIVA">
      <formula>NOT(ISERROR(SEARCH("ACTIVA",M320)))</formula>
    </cfRule>
  </conditionalFormatting>
  <conditionalFormatting sqref="M333">
    <cfRule type="containsText" dxfId="2016" priority="10251" operator="containsText" text="REPOSICION SIM">
      <formula>NOT(ISERROR(SEARCH("REPOSICION SIM",M333)))</formula>
    </cfRule>
    <cfRule type="containsText" dxfId="2015" priority="10254" operator="containsText" text="BAJA">
      <formula>NOT(ISERROR(SEARCH("BAJA",M333)))</formula>
    </cfRule>
    <cfRule type="containsText" dxfId="2014" priority="10253" operator="containsText" text="ACTIVA">
      <formula>NOT(ISERROR(SEARCH("ACTIVA",M333)))</formula>
    </cfRule>
    <cfRule type="containsText" dxfId="2013" priority="10252" operator="containsText" text="MIGRADO">
      <formula>NOT(ISERROR(SEARCH("MIGRADO",M333)))</formula>
    </cfRule>
    <cfRule type="containsText" dxfId="2012" priority="10255" operator="containsText" text="SIN REGISTRO">
      <formula>NOT(ISERROR(SEARCH("SIN REGISTRO",M333)))</formula>
    </cfRule>
  </conditionalFormatting>
  <conditionalFormatting sqref="M371">
    <cfRule type="containsText" dxfId="2011" priority="10208" operator="containsText" text="ACTIVA">
      <formula>NOT(ISERROR(SEARCH("ACTIVA",M371)))</formula>
    </cfRule>
    <cfRule type="containsText" dxfId="2010" priority="10206" operator="containsText" text="REPOSICION SIM">
      <formula>NOT(ISERROR(SEARCH("REPOSICION SIM",M371)))</formula>
    </cfRule>
    <cfRule type="containsText" dxfId="2009" priority="10210" operator="containsText" text="SIN REGISTRO">
      <formula>NOT(ISERROR(SEARCH("SIN REGISTRO",M371)))</formula>
    </cfRule>
    <cfRule type="containsText" dxfId="2008" priority="10207" operator="containsText" text="MIGRADO">
      <formula>NOT(ISERROR(SEARCH("MIGRADO",M371)))</formula>
    </cfRule>
    <cfRule type="containsText" dxfId="2007" priority="10209" operator="containsText" text="BAJA">
      <formula>NOT(ISERROR(SEARCH("BAJA",M371)))</formula>
    </cfRule>
  </conditionalFormatting>
  <conditionalFormatting sqref="M430:M437 M439:M442">
    <cfRule type="containsText" dxfId="2006" priority="10067" operator="containsText" text="REPOSICION SIM">
      <formula>NOT(ISERROR(SEARCH("REPOSICION SIM",M430)))</formula>
    </cfRule>
    <cfRule type="containsText" dxfId="2005" priority="10068" operator="containsText" text="MIGRADO">
      <formula>NOT(ISERROR(SEARCH("MIGRADO",M430)))</formula>
    </cfRule>
    <cfRule type="containsText" dxfId="2004" priority="10069" operator="containsText" text="ACTIVA">
      <formula>NOT(ISERROR(SEARCH("ACTIVA",M430)))</formula>
    </cfRule>
    <cfRule type="containsText" dxfId="2003" priority="10070" operator="containsText" text="BAJA">
      <formula>NOT(ISERROR(SEARCH("BAJA",M430)))</formula>
    </cfRule>
    <cfRule type="containsText" dxfId="2002" priority="10071" operator="containsText" text="SIN REGISTRO">
      <formula>NOT(ISERROR(SEARCH("SIN REGISTRO",M430)))</formula>
    </cfRule>
  </conditionalFormatting>
  <conditionalFormatting sqref="M507:M509">
    <cfRule type="containsText" dxfId="2001" priority="9901" operator="containsText" text="MIGRADO">
      <formula>NOT(ISERROR(SEARCH("MIGRADO",M507)))</formula>
    </cfRule>
    <cfRule type="containsText" dxfId="2000" priority="9902" operator="containsText" text="ACTIVA">
      <formula>NOT(ISERROR(SEARCH("ACTIVA",M507)))</formula>
    </cfRule>
    <cfRule type="containsText" dxfId="1999" priority="9903" operator="containsText" text="BAJA">
      <formula>NOT(ISERROR(SEARCH("BAJA",M507)))</formula>
    </cfRule>
    <cfRule type="containsText" dxfId="1998" priority="9904" operator="containsText" text="SIN REGISTRO">
      <formula>NOT(ISERROR(SEARCH("SIN REGISTRO",M507)))</formula>
    </cfRule>
    <cfRule type="containsText" dxfId="1997" priority="9900" operator="containsText" text="REPOSICION SIM">
      <formula>NOT(ISERROR(SEARCH("REPOSICION SIM",M507)))</formula>
    </cfRule>
  </conditionalFormatting>
  <conditionalFormatting sqref="M513">
    <cfRule type="containsText" dxfId="1996" priority="9912" operator="containsText" text="BAJA">
      <formula>NOT(ISERROR(SEARCH("BAJA",M513)))</formula>
    </cfRule>
    <cfRule type="containsText" dxfId="1995" priority="9909" operator="containsText" text="REPOSICION SIM">
      <formula>NOT(ISERROR(SEARCH("REPOSICION SIM",M513)))</formula>
    </cfRule>
    <cfRule type="containsText" dxfId="1994" priority="9910" operator="containsText" text="MIGRADO">
      <formula>NOT(ISERROR(SEARCH("MIGRADO",M513)))</formula>
    </cfRule>
    <cfRule type="containsText" dxfId="1993" priority="9911" operator="containsText" text="ACTIVA">
      <formula>NOT(ISERROR(SEARCH("ACTIVA",M513)))</formula>
    </cfRule>
    <cfRule type="containsText" dxfId="1992" priority="9913" operator="containsText" text="SIN REGISTRO">
      <formula>NOT(ISERROR(SEARCH("SIN REGISTRO",M513)))</formula>
    </cfRule>
  </conditionalFormatting>
  <conditionalFormatting sqref="M517:M521">
    <cfRule type="containsText" dxfId="1991" priority="9895" operator="containsText" text="REPOSICION SIM">
      <formula>NOT(ISERROR(SEARCH("REPOSICION SIM",M517)))</formula>
    </cfRule>
    <cfRule type="containsText" dxfId="1990" priority="9899" operator="containsText" text="SIN REGISTRO">
      <formula>NOT(ISERROR(SEARCH("SIN REGISTRO",M517)))</formula>
    </cfRule>
    <cfRule type="containsText" dxfId="1989" priority="9898" operator="containsText" text="BAJA">
      <formula>NOT(ISERROR(SEARCH("BAJA",M517)))</formula>
    </cfRule>
    <cfRule type="containsText" dxfId="1988" priority="9896" operator="containsText" text="MIGRADO">
      <formula>NOT(ISERROR(SEARCH("MIGRADO",M517)))</formula>
    </cfRule>
    <cfRule type="containsText" dxfId="1987" priority="9897" operator="containsText" text="ACTIVA">
      <formula>NOT(ISERROR(SEARCH("ACTIVA",M517)))</formula>
    </cfRule>
  </conditionalFormatting>
  <conditionalFormatting sqref="M546:M552 M554">
    <cfRule type="containsText" dxfId="1986" priority="9855" operator="containsText" text="ACTIVA">
      <formula>NOT(ISERROR(SEARCH("ACTIVA",M546)))</formula>
    </cfRule>
    <cfRule type="containsText" dxfId="1985" priority="9854" operator="containsText" text="MIGRADO">
      <formula>NOT(ISERROR(SEARCH("MIGRADO",M546)))</formula>
    </cfRule>
    <cfRule type="containsText" dxfId="1984" priority="9856" operator="containsText" text="BAJA">
      <formula>NOT(ISERROR(SEARCH("BAJA",M546)))</formula>
    </cfRule>
    <cfRule type="containsText" dxfId="1983" priority="9857" operator="containsText" text="SIN REGISTRO">
      <formula>NOT(ISERROR(SEARCH("SIN REGISTRO",M546)))</formula>
    </cfRule>
    <cfRule type="containsText" dxfId="1982" priority="9853" operator="containsText" text="REPOSICION SIM">
      <formula>NOT(ISERROR(SEARCH("REPOSICION SIM",M546)))</formula>
    </cfRule>
  </conditionalFormatting>
  <conditionalFormatting sqref="M563">
    <cfRule type="containsText" dxfId="1981" priority="9840" operator="containsText" text="MIGRADO">
      <formula>NOT(ISERROR(SEARCH("MIGRADO",M563)))</formula>
    </cfRule>
    <cfRule type="containsText" dxfId="1980" priority="9842" operator="containsText" text="BAJA">
      <formula>NOT(ISERROR(SEARCH("BAJA",M563)))</formula>
    </cfRule>
    <cfRule type="containsText" dxfId="1979" priority="9841" operator="containsText" text="ACTIVA">
      <formula>NOT(ISERROR(SEARCH("ACTIVA",M563)))</formula>
    </cfRule>
    <cfRule type="containsText" dxfId="1978" priority="9839" operator="containsText" text="REPOSICION SIM">
      <formula>NOT(ISERROR(SEARCH("REPOSICION SIM",M563)))</formula>
    </cfRule>
    <cfRule type="containsText" dxfId="1977" priority="9843" operator="containsText" text="SIN REGISTRO">
      <formula>NOT(ISERROR(SEARCH("SIN REGISTRO",M563)))</formula>
    </cfRule>
  </conditionalFormatting>
  <conditionalFormatting sqref="M656">
    <cfRule type="containsText" dxfId="1976" priority="8671" operator="containsText" text="BAJA">
      <formula>NOT(ISERROR(SEARCH("BAJA",M656)))</formula>
    </cfRule>
    <cfRule type="containsText" dxfId="1975" priority="8670" operator="containsText" text="ACTIVA">
      <formula>NOT(ISERROR(SEARCH("ACTIVA",M656)))</formula>
    </cfRule>
    <cfRule type="containsText" dxfId="1974" priority="8668" operator="containsText" text="REPOSICION SIM">
      <formula>NOT(ISERROR(SEARCH("REPOSICION SIM",M656)))</formula>
    </cfRule>
    <cfRule type="containsText" dxfId="1973" priority="8669" operator="containsText" text="MIGRADO">
      <formula>NOT(ISERROR(SEARCH("MIGRADO",M656)))</formula>
    </cfRule>
    <cfRule type="containsText" dxfId="1972" priority="8672" operator="containsText" text="SIN REGISTRO">
      <formula>NOT(ISERROR(SEARCH("SIN REGISTRO",M656)))</formula>
    </cfRule>
  </conditionalFormatting>
  <conditionalFormatting sqref="M690">
    <cfRule type="containsText" dxfId="1961" priority="8481" operator="containsText" text="ACTIVA">
      <formula>NOT(ISERROR(SEARCH("ACTIVA",M690)))</formula>
    </cfRule>
    <cfRule type="containsText" dxfId="1960" priority="8480" operator="containsText" text="MIGRADO">
      <formula>NOT(ISERROR(SEARCH("MIGRADO",M690)))</formula>
    </cfRule>
    <cfRule type="containsText" dxfId="1959" priority="8479" operator="containsText" text="REPOSICION SIM">
      <formula>NOT(ISERROR(SEARCH("REPOSICION SIM",M690)))</formula>
    </cfRule>
    <cfRule type="containsText" dxfId="1958" priority="8483" operator="containsText" text="SIN REGISTRO">
      <formula>NOT(ISERROR(SEARCH("SIN REGISTRO",M690)))</formula>
    </cfRule>
    <cfRule type="containsText" dxfId="1957" priority="8482" operator="containsText" text="BAJA">
      <formula>NOT(ISERROR(SEARCH("BAJA",M690)))</formula>
    </cfRule>
  </conditionalFormatting>
  <conditionalFormatting sqref="M707 M729:M733">
    <cfRule type="containsText" dxfId="1951" priority="8361" operator="containsText" text="ACTIVA">
      <formula>NOT(ISERROR(SEARCH("ACTIVA",M707)))</formula>
    </cfRule>
    <cfRule type="containsText" dxfId="1950" priority="8360" operator="containsText" text="MIGRADO">
      <formula>NOT(ISERROR(SEARCH("MIGRADO",M707)))</formula>
    </cfRule>
    <cfRule type="containsText" dxfId="1949" priority="8359" operator="containsText" text="REPOSICION SIM">
      <formula>NOT(ISERROR(SEARCH("REPOSICION SIM",M707)))</formula>
    </cfRule>
    <cfRule type="containsText" dxfId="1948" priority="8363" operator="containsText" text="SIN REGISTRO">
      <formula>NOT(ISERROR(SEARCH("SIN REGISTRO",M707)))</formula>
    </cfRule>
    <cfRule type="containsText" dxfId="1947" priority="8362" operator="containsText" text="BAJA">
      <formula>NOT(ISERROR(SEARCH("BAJA",M707)))</formula>
    </cfRule>
  </conditionalFormatting>
  <conditionalFormatting sqref="M774:M775">
    <cfRule type="containsText" dxfId="1946" priority="7642" operator="containsText" text="CTA. ALEJANDRO">
      <formula>NOT(ISERROR(SEARCH("CTA. ALEJANDRO",M774)))</formula>
    </cfRule>
  </conditionalFormatting>
  <conditionalFormatting sqref="M872">
    <cfRule type="containsText" dxfId="1945" priority="6078" operator="containsText" text="ACTIVA">
      <formula>NOT(ISERROR(SEARCH("ACTIVA",M872)))</formula>
    </cfRule>
    <cfRule type="containsText" dxfId="1944" priority="6077" operator="containsText" text="MIGRADO">
      <formula>NOT(ISERROR(SEARCH("MIGRADO",M872)))</formula>
    </cfRule>
    <cfRule type="containsText" dxfId="1943" priority="6076" operator="containsText" text="REPOSICION SIM">
      <formula>NOT(ISERROR(SEARCH("REPOSICION SIM",M872)))</formula>
    </cfRule>
    <cfRule type="containsText" dxfId="1942" priority="6079" operator="containsText" text="BAJA">
      <formula>NOT(ISERROR(SEARCH("BAJA",M872)))</formula>
    </cfRule>
    <cfRule type="containsText" dxfId="1941" priority="6080" operator="containsText" text="SIN REGISTRO">
      <formula>NOT(ISERROR(SEARCH("SIN REGISTRO",M872)))</formula>
    </cfRule>
  </conditionalFormatting>
  <conditionalFormatting sqref="M878:M879">
    <cfRule type="containsText" dxfId="1940" priority="5965" operator="containsText" text="REPOSICION SIM">
      <formula>NOT(ISERROR(SEARCH("REPOSICION SIM",M878)))</formula>
    </cfRule>
    <cfRule type="containsText" dxfId="1939" priority="5967" operator="containsText" text="ACTIVA">
      <formula>NOT(ISERROR(SEARCH("ACTIVA",M878)))</formula>
    </cfRule>
    <cfRule type="containsText" dxfId="1938" priority="5966" operator="containsText" text="MIGRADO">
      <formula>NOT(ISERROR(SEARCH("MIGRADO",M878)))</formula>
    </cfRule>
    <cfRule type="containsText" dxfId="1937" priority="5969" operator="containsText" text="SIN REGISTRO">
      <formula>NOT(ISERROR(SEARCH("SIN REGISTRO",M878)))</formula>
    </cfRule>
    <cfRule type="containsText" dxfId="1936" priority="5968" operator="containsText" text="BAJA">
      <formula>NOT(ISERROR(SEARCH("BAJA",M878)))</formula>
    </cfRule>
  </conditionalFormatting>
  <conditionalFormatting sqref="M1007">
    <cfRule type="containsText" dxfId="1935" priority="5024" operator="containsText" text="REPOSICION SIM">
      <formula>NOT(ISERROR(SEARCH("REPOSICION SIM",M1007)))</formula>
    </cfRule>
    <cfRule type="containsText" dxfId="1934" priority="5025" operator="containsText" text="MIGRADO">
      <formula>NOT(ISERROR(SEARCH("MIGRADO",M1007)))</formula>
    </cfRule>
    <cfRule type="containsText" dxfId="1933" priority="5026" operator="containsText" text="ACTIVA">
      <formula>NOT(ISERROR(SEARCH("ACTIVA",M1007)))</formula>
    </cfRule>
    <cfRule type="containsText" dxfId="1932" priority="5027" operator="containsText" text="BAJA">
      <formula>NOT(ISERROR(SEARCH("BAJA",M1007)))</formula>
    </cfRule>
    <cfRule type="containsText" dxfId="1931" priority="5028" operator="containsText" text="SIN REGISTRO">
      <formula>NOT(ISERROR(SEARCH("SIN REGISTRO",M1007)))</formula>
    </cfRule>
  </conditionalFormatting>
  <conditionalFormatting sqref="M1020:M1022">
    <cfRule type="containsText" dxfId="1930" priority="4920" operator="containsText" text="MIGRADO">
      <formula>NOT(ISERROR(SEARCH("MIGRADO",M1020)))</formula>
    </cfRule>
    <cfRule type="containsText" dxfId="1929" priority="4919" operator="containsText" text="REPOSICION SIM">
      <formula>NOT(ISERROR(SEARCH("REPOSICION SIM",M1020)))</formula>
    </cfRule>
    <cfRule type="containsText" dxfId="1928" priority="4922" operator="containsText" text="BAJA">
      <formula>NOT(ISERROR(SEARCH("BAJA",M1020)))</formula>
    </cfRule>
    <cfRule type="containsText" dxfId="1927" priority="4921" operator="containsText" text="ACTIVA">
      <formula>NOT(ISERROR(SEARCH("ACTIVA",M1020)))</formula>
    </cfRule>
    <cfRule type="containsText" dxfId="1926" priority="4923" operator="containsText" text="SIN REGISTRO">
      <formula>NOT(ISERROR(SEARCH("SIN REGISTRO",M1020)))</formula>
    </cfRule>
  </conditionalFormatting>
  <conditionalFormatting sqref="M1031">
    <cfRule type="containsText" dxfId="1925" priority="4855" operator="containsText" text="SIN REGISTRO">
      <formula>NOT(ISERROR(SEARCH("SIN REGISTRO",M1031)))</formula>
    </cfRule>
    <cfRule type="containsText" dxfId="1924" priority="4854" operator="containsText" text="BAJA">
      <formula>NOT(ISERROR(SEARCH("BAJA",M1031)))</formula>
    </cfRule>
    <cfRule type="containsText" dxfId="1923" priority="4853" operator="containsText" text="ACTIVA">
      <formula>NOT(ISERROR(SEARCH("ACTIVA",M1031)))</formula>
    </cfRule>
    <cfRule type="containsText" dxfId="1922" priority="4852" operator="containsText" text="MIGRADO">
      <formula>NOT(ISERROR(SEARCH("MIGRADO",M1031)))</formula>
    </cfRule>
    <cfRule type="containsText" dxfId="1921" priority="4851" operator="containsText" text="REPOSICION SIM">
      <formula>NOT(ISERROR(SEARCH("REPOSICION SIM",M1031)))</formula>
    </cfRule>
  </conditionalFormatting>
  <conditionalFormatting sqref="M1033">
    <cfRule type="containsText" dxfId="1920" priority="4837" operator="containsText" text="SIN REGISTRO">
      <formula>NOT(ISERROR(SEARCH("SIN REGISTRO",M1033)))</formula>
    </cfRule>
    <cfRule type="containsText" dxfId="1919" priority="4836" operator="containsText" text="BAJA">
      <formula>NOT(ISERROR(SEARCH("BAJA",M1033)))</formula>
    </cfRule>
    <cfRule type="containsText" dxfId="1918" priority="4835" operator="containsText" text="ACTIVA">
      <formula>NOT(ISERROR(SEARCH("ACTIVA",M1033)))</formula>
    </cfRule>
    <cfRule type="containsText" dxfId="1917" priority="4834" operator="containsText" text="MIGRADO">
      <formula>NOT(ISERROR(SEARCH("MIGRADO",M1033)))</formula>
    </cfRule>
    <cfRule type="containsText" dxfId="1916" priority="4833" operator="containsText" text="REPOSICION SIM">
      <formula>NOT(ISERROR(SEARCH("REPOSICION SIM",M1033)))</formula>
    </cfRule>
  </conditionalFormatting>
  <conditionalFormatting sqref="M1039">
    <cfRule type="containsText" dxfId="1915" priority="4808" operator="containsText" text="REPOSICION SIM">
      <formula>NOT(ISERROR(SEARCH("REPOSICION SIM",M1039)))</formula>
    </cfRule>
    <cfRule type="containsText" dxfId="1914" priority="4812" operator="containsText" text="SIN REGISTRO">
      <formula>NOT(ISERROR(SEARCH("SIN REGISTRO",M1039)))</formula>
    </cfRule>
    <cfRule type="containsText" dxfId="1913" priority="4811" operator="containsText" text="BAJA">
      <formula>NOT(ISERROR(SEARCH("BAJA",M1039)))</formula>
    </cfRule>
    <cfRule type="containsText" dxfId="1912" priority="4810" operator="containsText" text="ACTIVA">
      <formula>NOT(ISERROR(SEARCH("ACTIVA",M1039)))</formula>
    </cfRule>
    <cfRule type="containsText" dxfId="1911" priority="4809" operator="containsText" text="MIGRADO">
      <formula>NOT(ISERROR(SEARCH("MIGRADO",M1039)))</formula>
    </cfRule>
  </conditionalFormatting>
  <conditionalFormatting sqref="M1533">
    <cfRule type="containsText" dxfId="1910" priority="640" operator="containsText" text="SIN REGISTRO">
      <formula>NOT(ISERROR(SEARCH("SIN REGISTRO",M1533)))</formula>
    </cfRule>
    <cfRule type="containsText" dxfId="1909" priority="636" operator="containsText" text="REPOSICION SIM">
      <formula>NOT(ISERROR(SEARCH("REPOSICION SIM",M1533)))</formula>
    </cfRule>
    <cfRule type="containsText" dxfId="1908" priority="637" operator="containsText" text="MIGRADO">
      <formula>NOT(ISERROR(SEARCH("MIGRADO",M1533)))</formula>
    </cfRule>
    <cfRule type="containsText" dxfId="1907" priority="638" operator="containsText" text="ACTIVA">
      <formula>NOT(ISERROR(SEARCH("ACTIVA",M1533)))</formula>
    </cfRule>
    <cfRule type="containsText" dxfId="1906" priority="639" operator="containsText" text="BAJA">
      <formula>NOT(ISERROR(SEARCH("BAJA",M1533)))</formula>
    </cfRule>
  </conditionalFormatting>
  <conditionalFormatting sqref="M1681">
    <cfRule type="containsText" dxfId="1900" priority="424" operator="containsText" text="SIN REGISTRO">
      <formula>NOT(ISERROR(SEARCH("SIN REGISTRO",M1681)))</formula>
    </cfRule>
    <cfRule type="containsText" dxfId="1899" priority="421" operator="containsText" text="MIGRADO">
      <formula>NOT(ISERROR(SEARCH("MIGRADO",M1681)))</formula>
    </cfRule>
    <cfRule type="containsText" dxfId="1898" priority="420" operator="containsText" text="REPOSICION SIM">
      <formula>NOT(ISERROR(SEARCH("REPOSICION SIM",M1681)))</formula>
    </cfRule>
    <cfRule type="containsText" dxfId="1897" priority="423" operator="containsText" text="BAJA">
      <formula>NOT(ISERROR(SEARCH("BAJA",M1681)))</formula>
    </cfRule>
    <cfRule type="containsText" dxfId="1896" priority="422" operator="containsText" text="ACTIVA">
      <formula>NOT(ISERROR(SEARCH("ACTIVA",M1681)))</formula>
    </cfRule>
  </conditionalFormatting>
  <conditionalFormatting sqref="M1762">
    <cfRule type="containsText" dxfId="1890" priority="45" operator="containsText" text="CTA. ALEJANDRO">
      <formula>NOT(ISERROR(SEARCH("CTA. ALEJANDRO",M1762)))</formula>
    </cfRule>
  </conditionalFormatting>
  <conditionalFormatting sqref="N1724">
    <cfRule type="containsText" dxfId="1887" priority="165" operator="containsText" text="SIN REFERENCIA">
      <formula>NOT(ISERROR(SEARCH("SIN REFERENCIA",N1724)))</formula>
    </cfRule>
  </conditionalFormatting>
  <conditionalFormatting sqref="N920:O920">
    <cfRule type="containsText" dxfId="1883" priority="5776" operator="containsText" text="SIN REFERENCIA">
      <formula>NOT(ISERROR(SEARCH("SIN REFERENCIA",N920)))</formula>
    </cfRule>
  </conditionalFormatting>
  <conditionalFormatting sqref="Q1:Q29">
    <cfRule type="containsText" dxfId="1880" priority="2894" operator="containsText" text="PETICION DE BAJA SIN RETIRO ">
      <formula>NOT(ISERROR(SEARCH("PETICION DE BAJA SIN RETIRO ",Q1)))</formula>
    </cfRule>
    <cfRule type="containsText" dxfId="1879" priority="2893" operator="containsText" text="PETICION DE BAJA SIN RETIRO">
      <formula>NOT(ISERROR(SEARCH("PETICION DE BAJA SIN RETIRO",Q1)))</formula>
    </cfRule>
  </conditionalFormatting>
  <conditionalFormatting sqref="Q8">
    <cfRule type="containsText" dxfId="1878" priority="2530" operator="containsText" text="PETICION DE BAJA SIN RETIRO ">
      <formula>NOT(ISERROR(SEARCH("PETICION DE BAJA SIN RETIRO ",Q8)))</formula>
    </cfRule>
    <cfRule type="containsText" dxfId="1877" priority="2529" operator="containsText" text="PETICION DE BAJA SIN RETIRO">
      <formula>NOT(ISERROR(SEARCH("PETICION DE BAJA SIN RETIRO",Q8)))</formula>
    </cfRule>
  </conditionalFormatting>
  <conditionalFormatting sqref="Q10">
    <cfRule type="containsText" dxfId="1876" priority="2525" operator="containsText" text="PETICION DE BAJA SIN RETIRO">
      <formula>NOT(ISERROR(SEARCH("PETICION DE BAJA SIN RETIRO",Q10)))</formula>
    </cfRule>
    <cfRule type="containsText" dxfId="1875" priority="2526" operator="containsText" text="PETICION DE BAJA SIN RETIRO ">
      <formula>NOT(ISERROR(SEARCH("PETICION DE BAJA SIN RETIRO ",Q10)))</formula>
    </cfRule>
  </conditionalFormatting>
  <conditionalFormatting sqref="Q13">
    <cfRule type="containsText" dxfId="1874" priority="2517" operator="containsText" text="PETICION DE BAJA SIN RETIRO">
      <formula>NOT(ISERROR(SEARCH("PETICION DE BAJA SIN RETIRO",Q13)))</formula>
    </cfRule>
    <cfRule type="containsText" dxfId="1873" priority="2518" operator="containsText" text="PETICION DE BAJA SIN RETIRO ">
      <formula>NOT(ISERROR(SEARCH("PETICION DE BAJA SIN RETIRO ",Q13)))</formula>
    </cfRule>
  </conditionalFormatting>
  <conditionalFormatting sqref="Q16">
    <cfRule type="containsText" dxfId="1872" priority="2510" operator="containsText" text="PETICION DE BAJA SIN RETIRO ">
      <formula>NOT(ISERROR(SEARCH("PETICION DE BAJA SIN RETIRO ",Q16)))</formula>
    </cfRule>
    <cfRule type="containsText" dxfId="1871" priority="2509" operator="containsText" text="PETICION DE BAJA SIN RETIRO">
      <formula>NOT(ISERROR(SEARCH("PETICION DE BAJA SIN RETIRO",Q16)))</formula>
    </cfRule>
  </conditionalFormatting>
  <conditionalFormatting sqref="Q23:Q24">
    <cfRule type="containsText" dxfId="1870" priority="2629" operator="containsText" text="PETICION DE BAJA SIN RETIRO">
      <formula>NOT(ISERROR(SEARCH("PETICION DE BAJA SIN RETIRO",Q23)))</formula>
    </cfRule>
    <cfRule type="containsText" dxfId="1869" priority="2630" operator="containsText" text="PETICION DE BAJA SIN RETIRO ">
      <formula>NOT(ISERROR(SEARCH("PETICION DE BAJA SIN RETIRO ",Q23)))</formula>
    </cfRule>
  </conditionalFormatting>
  <conditionalFormatting sqref="Q26">
    <cfRule type="containsText" dxfId="1868" priority="2621" operator="containsText" text="PETICION DE BAJA SIN RETIRO">
      <formula>NOT(ISERROR(SEARCH("PETICION DE BAJA SIN RETIRO",Q26)))</formula>
    </cfRule>
    <cfRule type="containsText" dxfId="1867" priority="2622" operator="containsText" text="PETICION DE BAJA SIN RETIRO ">
      <formula>NOT(ISERROR(SEARCH("PETICION DE BAJA SIN RETIRO ",Q26)))</formula>
    </cfRule>
  </conditionalFormatting>
  <conditionalFormatting sqref="Q28:Q32">
    <cfRule type="containsText" dxfId="1866" priority="2600" operator="containsText" text="PETICION DE BAJA SIN RETIRO ">
      <formula>NOT(ISERROR(SEARCH("PETICION DE BAJA SIN RETIRO ",Q28)))</formula>
    </cfRule>
    <cfRule type="containsText" dxfId="1865" priority="2599" operator="containsText" text="PETICION DE BAJA SIN RETIRO">
      <formula>NOT(ISERROR(SEARCH("PETICION DE BAJA SIN RETIRO",Q28)))</formula>
    </cfRule>
  </conditionalFormatting>
  <conditionalFormatting sqref="Q30">
    <cfRule type="containsText" dxfId="1864" priority="2596" operator="containsText" text="PETICION DE BAJA SIN RETIRO ">
      <formula>NOT(ISERROR(SEARCH("PETICION DE BAJA SIN RETIRO ",Q30)))</formula>
    </cfRule>
    <cfRule type="containsText" dxfId="1863" priority="2595" operator="containsText" text="PETICION DE BAJA SIN RETIRO">
      <formula>NOT(ISERROR(SEARCH("PETICION DE BAJA SIN RETIRO",Q30)))</formula>
    </cfRule>
  </conditionalFormatting>
  <conditionalFormatting sqref="Q30:Q32">
    <cfRule type="containsText" dxfId="1862" priority="2598" operator="containsText" text="BAJA NO ESTABA EN EL LISTADO">
      <formula>NOT(ISERROR(SEARCH("BAJA NO ESTABA EN EL LISTADO",Q30)))</formula>
    </cfRule>
    <cfRule type="containsText" dxfId="1861" priority="2597" operator="containsText" text="BAJA NO ESTABA EN ">
      <formula>NOT(ISERROR(SEARCH("BAJA NO ESTABA EN ",Q30)))</formula>
    </cfRule>
  </conditionalFormatting>
  <conditionalFormatting sqref="Q33 Q608 Q1480:Q1651 Q1653:Q1048576">
    <cfRule type="containsText" dxfId="1860" priority="2589" operator="containsText" text="PETICION DE BAJA SIN RETIRO">
      <formula>NOT(ISERROR(SEARCH("PETICION DE BAJA SIN RETIRO",Q33)))</formula>
    </cfRule>
    <cfRule type="containsText" dxfId="1859" priority="2590" operator="containsText" text="PETICION DE BAJA SIN RETIRO ">
      <formula>NOT(ISERROR(SEARCH("PETICION DE BAJA SIN RETIRO ",Q33)))</formula>
    </cfRule>
    <cfRule type="containsText" dxfId="1858" priority="2588" operator="containsText" text="BAJA NO ESTABA EN EL LISTADO">
      <formula>NOT(ISERROR(SEARCH("BAJA NO ESTABA EN EL LISTADO",Q33)))</formula>
    </cfRule>
    <cfRule type="containsText" dxfId="1857" priority="2587" operator="containsText" text="BAJA NO ESTABA EN ">
      <formula>NOT(ISERROR(SEARCH("BAJA NO ESTABA EN ",Q33)))</formula>
    </cfRule>
  </conditionalFormatting>
  <conditionalFormatting sqref="Q33:Q34">
    <cfRule type="containsText" dxfId="1856" priority="2580" operator="containsText" text="PETICION DE BAJA SIN RETIRO ">
      <formula>NOT(ISERROR(SEARCH("PETICION DE BAJA SIN RETIRO ",Q33)))</formula>
    </cfRule>
    <cfRule type="containsText" dxfId="1855" priority="2579" operator="containsText" text="PETICION DE BAJA SIN RETIRO">
      <formula>NOT(ISERROR(SEARCH("PETICION DE BAJA SIN RETIRO",Q33)))</formula>
    </cfRule>
  </conditionalFormatting>
  <conditionalFormatting sqref="Q34">
    <cfRule type="containsText" dxfId="1854" priority="2578" operator="containsText" text="BAJA NO ESTABA EN EL LISTADO">
      <formula>NOT(ISERROR(SEARCH("BAJA NO ESTABA EN EL LISTADO",Q34)))</formula>
    </cfRule>
    <cfRule type="containsText" dxfId="1853" priority="2577" operator="containsText" text="BAJA NO ESTABA EN ">
      <formula>NOT(ISERROR(SEARCH("BAJA NO ESTABA EN ",Q34)))</formula>
    </cfRule>
  </conditionalFormatting>
  <conditionalFormatting sqref="Q34:Q35">
    <cfRule type="containsText" dxfId="1852" priority="2570" operator="containsText" text="PETICION DE BAJA SIN RETIRO ">
      <formula>NOT(ISERROR(SEARCH("PETICION DE BAJA SIN RETIRO ",Q34)))</formula>
    </cfRule>
    <cfRule type="containsText" dxfId="1851" priority="2569" operator="containsText" text="PETICION DE BAJA SIN RETIRO">
      <formula>NOT(ISERROR(SEARCH("PETICION DE BAJA SIN RETIRO",Q34)))</formula>
    </cfRule>
  </conditionalFormatting>
  <conditionalFormatting sqref="Q35">
    <cfRule type="containsText" dxfId="1850" priority="2567" operator="containsText" text="BAJA NO ESTABA EN ">
      <formula>NOT(ISERROR(SEARCH("BAJA NO ESTABA EN ",Q35)))</formula>
    </cfRule>
    <cfRule type="containsText" dxfId="1849" priority="2568" operator="containsText" text="BAJA NO ESTABA EN EL LISTADO">
      <formula>NOT(ISERROR(SEARCH("BAJA NO ESTABA EN EL LISTADO",Q35)))</formula>
    </cfRule>
  </conditionalFormatting>
  <conditionalFormatting sqref="Q35:Q36">
    <cfRule type="containsText" dxfId="1848" priority="2560" operator="containsText" text="PETICION DE BAJA SIN RETIRO ">
      <formula>NOT(ISERROR(SEARCH("PETICION DE BAJA SIN RETIRO ",Q35)))</formula>
    </cfRule>
    <cfRule type="containsText" dxfId="1847" priority="2559" operator="containsText" text="PETICION DE BAJA SIN RETIRO">
      <formula>NOT(ISERROR(SEARCH("PETICION DE BAJA SIN RETIRO",Q35)))</formula>
    </cfRule>
  </conditionalFormatting>
  <conditionalFormatting sqref="Q36">
    <cfRule type="containsText" dxfId="1846" priority="2558" operator="containsText" text="BAJA NO ESTABA EN EL LISTADO">
      <formula>NOT(ISERROR(SEARCH("BAJA NO ESTABA EN EL LISTADO",Q36)))</formula>
    </cfRule>
    <cfRule type="containsText" dxfId="1845" priority="2557" operator="containsText" text="BAJA NO ESTABA EN ">
      <formula>NOT(ISERROR(SEARCH("BAJA NO ESTABA EN ",Q36)))</formula>
    </cfRule>
  </conditionalFormatting>
  <conditionalFormatting sqref="Q36:Q51">
    <cfRule type="containsText" dxfId="1844" priority="2550" operator="containsText" text="PETICION DE BAJA SIN RETIRO ">
      <formula>NOT(ISERROR(SEARCH("PETICION DE BAJA SIN RETIRO ",Q36)))</formula>
    </cfRule>
    <cfRule type="containsText" dxfId="1843" priority="2549" operator="containsText" text="PETICION DE BAJA SIN RETIRO">
      <formula>NOT(ISERROR(SEARCH("PETICION DE BAJA SIN RETIRO",Q36)))</formula>
    </cfRule>
  </conditionalFormatting>
  <conditionalFormatting sqref="Q37">
    <cfRule type="containsText" dxfId="1842" priority="2546" operator="containsText" text="PETICION DE BAJA SIN RETIRO ">
      <formula>NOT(ISERROR(SEARCH("PETICION DE BAJA SIN RETIRO ",Q37)))</formula>
    </cfRule>
    <cfRule type="containsText" dxfId="1841" priority="2545" operator="containsText" text="PETICION DE BAJA SIN RETIRO">
      <formula>NOT(ISERROR(SEARCH("PETICION DE BAJA SIN RETIRO",Q37)))</formula>
    </cfRule>
  </conditionalFormatting>
  <conditionalFormatting sqref="Q37:Q51">
    <cfRule type="containsText" dxfId="1840" priority="2548" operator="containsText" text="BAJA NO ESTABA EN EL LISTADO">
      <formula>NOT(ISERROR(SEARCH("BAJA NO ESTABA EN EL LISTADO",Q37)))</formula>
    </cfRule>
    <cfRule type="containsText" dxfId="1839" priority="2547" operator="containsText" text="BAJA NO ESTABA EN ">
      <formula>NOT(ISERROR(SEARCH("BAJA NO ESTABA EN ",Q37)))</formula>
    </cfRule>
  </conditionalFormatting>
  <conditionalFormatting sqref="Q44:Q45">
    <cfRule type="containsText" dxfId="1838" priority="2493" operator="containsText" text="PETICION DE BAJA SIN RETIRO">
      <formula>NOT(ISERROR(SEARCH("PETICION DE BAJA SIN RETIRO",Q44)))</formula>
    </cfRule>
    <cfRule type="containsText" dxfId="1837" priority="2494" operator="containsText" text="PETICION DE BAJA SIN RETIRO ">
      <formula>NOT(ISERROR(SEARCH("PETICION DE BAJA SIN RETIRO ",Q44)))</formula>
    </cfRule>
  </conditionalFormatting>
  <conditionalFormatting sqref="Q49">
    <cfRule type="containsText" dxfId="1836" priority="2485" operator="containsText" text="PETICION DE BAJA SIN RETIRO">
      <formula>NOT(ISERROR(SEARCH("PETICION DE BAJA SIN RETIRO",Q49)))</formula>
    </cfRule>
    <cfRule type="containsText" dxfId="1835" priority="2486" operator="containsText" text="PETICION DE BAJA SIN RETIRO ">
      <formula>NOT(ISERROR(SEARCH("PETICION DE BAJA SIN RETIRO ",Q49)))</formula>
    </cfRule>
  </conditionalFormatting>
  <conditionalFormatting sqref="Q52">
    <cfRule type="containsText" dxfId="1834" priority="2475" operator="containsText" text="PETICION DE BAJA SIN RETIRO">
      <formula>NOT(ISERROR(SEARCH("PETICION DE BAJA SIN RETIRO",Q52)))</formula>
    </cfRule>
    <cfRule type="containsText" dxfId="1833" priority="2476" operator="containsText" text="PETICION DE BAJA SIN RETIRO ">
      <formula>NOT(ISERROR(SEARCH("PETICION DE BAJA SIN RETIRO ",Q52)))</formula>
    </cfRule>
  </conditionalFormatting>
  <conditionalFormatting sqref="Q52:Q58">
    <cfRule type="containsText" dxfId="1832" priority="2477" operator="containsText" text="BAJA NO ESTABA EN ">
      <formula>NOT(ISERROR(SEARCH("BAJA NO ESTABA EN ",Q52)))</formula>
    </cfRule>
    <cfRule type="containsText" dxfId="1831" priority="2478" operator="containsText" text="BAJA NO ESTABA EN EL LISTADO">
      <formula>NOT(ISERROR(SEARCH("BAJA NO ESTABA EN EL LISTADO",Q52)))</formula>
    </cfRule>
    <cfRule type="containsText" dxfId="1830" priority="2479" operator="containsText" text="PETICION DE BAJA SIN RETIRO">
      <formula>NOT(ISERROR(SEARCH("PETICION DE BAJA SIN RETIRO",Q52)))</formula>
    </cfRule>
    <cfRule type="containsText" dxfId="1829" priority="2480" operator="containsText" text="PETICION DE BAJA SIN RETIRO ">
      <formula>NOT(ISERROR(SEARCH("PETICION DE BAJA SIN RETIRO ",Q52)))</formula>
    </cfRule>
  </conditionalFormatting>
  <conditionalFormatting sqref="Q56">
    <cfRule type="containsText" dxfId="1828" priority="2450" operator="containsText" text="PETICION DE BAJA SIN RETIRO">
      <formula>NOT(ISERROR(SEARCH("PETICION DE BAJA SIN RETIRO",Q56)))</formula>
    </cfRule>
    <cfRule type="containsText" dxfId="1827" priority="2451" operator="containsText" text="PETICION DE BAJA SIN RETIRO ">
      <formula>NOT(ISERROR(SEARCH("PETICION DE BAJA SIN RETIRO ",Q56)))</formula>
    </cfRule>
  </conditionalFormatting>
  <conditionalFormatting sqref="Q58:Q59">
    <cfRule type="containsText" dxfId="1826" priority="2369" operator="containsText" text="PETICION DE BAJA SIN RETIRO">
      <formula>NOT(ISERROR(SEARCH("PETICION DE BAJA SIN RETIRO",Q58)))</formula>
    </cfRule>
    <cfRule type="containsText" dxfId="1825" priority="2370" operator="containsText" text="PETICION DE BAJA SIN RETIRO ">
      <formula>NOT(ISERROR(SEARCH("PETICION DE BAJA SIN RETIRO ",Q58)))</formula>
    </cfRule>
  </conditionalFormatting>
  <conditionalFormatting sqref="Q59">
    <cfRule type="containsText" dxfId="1824" priority="2366" operator="containsText" text="PETICION DE BAJA SIN RETIRO ">
      <formula>NOT(ISERROR(SEARCH("PETICION DE BAJA SIN RETIRO ",Q59)))</formula>
    </cfRule>
    <cfRule type="containsText" dxfId="1823" priority="2368" operator="containsText" text="BAJA NO ESTABA EN EL LISTADO">
      <formula>NOT(ISERROR(SEARCH("BAJA NO ESTABA EN EL LISTADO",Q59)))</formula>
    </cfRule>
    <cfRule type="containsText" dxfId="1822" priority="2365" operator="containsText" text="PETICION DE BAJA SIN RETIRO">
      <formula>NOT(ISERROR(SEARCH("PETICION DE BAJA SIN RETIRO",Q59)))</formula>
    </cfRule>
    <cfRule type="containsText" dxfId="1821" priority="2367" operator="containsText" text="BAJA NO ESTABA EN ">
      <formula>NOT(ISERROR(SEARCH("BAJA NO ESTABA EN ",Q59)))</formula>
    </cfRule>
  </conditionalFormatting>
  <conditionalFormatting sqref="Q60:Q71">
    <cfRule type="containsText" dxfId="1820" priority="2429" operator="containsText" text="BAJA NO ESTABA EN EL LISTADO">
      <formula>NOT(ISERROR(SEARCH("BAJA NO ESTABA EN EL LISTADO",Q60)))</formula>
    </cfRule>
    <cfRule type="containsText" dxfId="1819" priority="2428" operator="containsText" text="BAJA NO ESTABA EN ">
      <formula>NOT(ISERROR(SEARCH("BAJA NO ESTABA EN ",Q60)))</formula>
    </cfRule>
    <cfRule type="containsText" dxfId="1818" priority="2431" operator="containsText" text="PETICION DE BAJA SIN RETIRO ">
      <formula>NOT(ISERROR(SEARCH("PETICION DE BAJA SIN RETIRO ",Q60)))</formula>
    </cfRule>
    <cfRule type="containsText" dxfId="1817" priority="2430" operator="containsText" text="PETICION DE BAJA SIN RETIRO">
      <formula>NOT(ISERROR(SEARCH("PETICION DE BAJA SIN RETIRO",Q60)))</formula>
    </cfRule>
  </conditionalFormatting>
  <conditionalFormatting sqref="Q65">
    <cfRule type="containsText" dxfId="1816" priority="2427" operator="containsText" text="PETICION DE BAJA SIN RETIRO ">
      <formula>NOT(ISERROR(SEARCH("PETICION DE BAJA SIN RETIRO ",Q65)))</formula>
    </cfRule>
    <cfRule type="containsText" dxfId="1815" priority="2426" operator="containsText" text="PETICION DE BAJA SIN RETIRO">
      <formula>NOT(ISERROR(SEARCH("PETICION DE BAJA SIN RETIRO",Q65)))</formula>
    </cfRule>
  </conditionalFormatting>
  <conditionalFormatting sqref="Q72">
    <cfRule type="containsText" dxfId="1814" priority="2416" operator="containsText" text="PETICION DE BAJA SIN RETIRO">
      <formula>NOT(ISERROR(SEARCH("PETICION DE BAJA SIN RETIRO",Q72)))</formula>
    </cfRule>
    <cfRule type="containsText" dxfId="1813" priority="2417" operator="containsText" text="PETICION DE BAJA SIN RETIRO ">
      <formula>NOT(ISERROR(SEARCH("PETICION DE BAJA SIN RETIRO ",Q72)))</formula>
    </cfRule>
  </conditionalFormatting>
  <conditionalFormatting sqref="Q72:Q75">
    <cfRule type="containsText" dxfId="1812" priority="2418" operator="containsText" text="BAJA NO ESTABA EN ">
      <formula>NOT(ISERROR(SEARCH("BAJA NO ESTABA EN ",Q72)))</formula>
    </cfRule>
    <cfRule type="containsText" dxfId="1811" priority="2421" operator="containsText" text="PETICION DE BAJA SIN RETIRO ">
      <formula>NOT(ISERROR(SEARCH("PETICION DE BAJA SIN RETIRO ",Q72)))</formula>
    </cfRule>
    <cfRule type="containsText" dxfId="1810" priority="2420" operator="containsText" text="PETICION DE BAJA SIN RETIRO">
      <formula>NOT(ISERROR(SEARCH("PETICION DE BAJA SIN RETIRO",Q72)))</formula>
    </cfRule>
    <cfRule type="containsText" dxfId="1809" priority="2419" operator="containsText" text="BAJA NO ESTABA EN EL LISTADO">
      <formula>NOT(ISERROR(SEARCH("BAJA NO ESTABA EN EL LISTADO",Q72)))</formula>
    </cfRule>
  </conditionalFormatting>
  <conditionalFormatting sqref="Q75:Q94">
    <cfRule type="containsText" dxfId="1808" priority="2402" operator="containsText" text="PETICION DE BAJA SIN RETIRO">
      <formula>NOT(ISERROR(SEARCH("PETICION DE BAJA SIN RETIRO",Q75)))</formula>
    </cfRule>
    <cfRule type="containsText" dxfId="1807" priority="2403" operator="containsText" text="PETICION DE BAJA SIN RETIRO ">
      <formula>NOT(ISERROR(SEARCH("PETICION DE BAJA SIN RETIRO ",Q75)))</formula>
    </cfRule>
  </conditionalFormatting>
  <conditionalFormatting sqref="Q76">
    <cfRule type="containsText" dxfId="1806" priority="2398" operator="containsText" text="PETICION DE BAJA SIN RETIRO">
      <formula>NOT(ISERROR(SEARCH("PETICION DE BAJA SIN RETIRO",Q76)))</formula>
    </cfRule>
    <cfRule type="containsText" dxfId="1805" priority="2399" operator="containsText" text="PETICION DE BAJA SIN RETIRO ">
      <formula>NOT(ISERROR(SEARCH("PETICION DE BAJA SIN RETIRO ",Q76)))</formula>
    </cfRule>
  </conditionalFormatting>
  <conditionalFormatting sqref="Q76:Q94">
    <cfRule type="containsText" dxfId="1804" priority="2401" operator="containsText" text="BAJA NO ESTABA EN EL LISTADO">
      <formula>NOT(ISERROR(SEARCH("BAJA NO ESTABA EN EL LISTADO",Q76)))</formula>
    </cfRule>
    <cfRule type="containsText" dxfId="1803" priority="2400" operator="containsText" text="BAJA NO ESTABA EN ">
      <formula>NOT(ISERROR(SEARCH("BAJA NO ESTABA EN ",Q76)))</formula>
    </cfRule>
  </conditionalFormatting>
  <conditionalFormatting sqref="Q95">
    <cfRule type="containsText" dxfId="1802" priority="2388" operator="containsText" text="PETICION DE BAJA SIN RETIRO ">
      <formula>NOT(ISERROR(SEARCH("PETICION DE BAJA SIN RETIRO ",Q95)))</formula>
    </cfRule>
    <cfRule type="containsText" dxfId="1801" priority="2387" operator="containsText" text="PETICION DE BAJA SIN RETIRO">
      <formula>NOT(ISERROR(SEARCH("PETICION DE BAJA SIN RETIRO",Q95)))</formula>
    </cfRule>
  </conditionalFormatting>
  <conditionalFormatting sqref="Q95:Q96">
    <cfRule type="containsText" dxfId="1800" priority="2390" operator="containsText" text="BAJA NO ESTABA EN EL LISTADO">
      <formula>NOT(ISERROR(SEARCH("BAJA NO ESTABA EN EL LISTADO",Q95)))</formula>
    </cfRule>
    <cfRule type="containsText" dxfId="1799" priority="2392" operator="containsText" text="PETICION DE BAJA SIN RETIRO ">
      <formula>NOT(ISERROR(SEARCH("PETICION DE BAJA SIN RETIRO ",Q95)))</formula>
    </cfRule>
    <cfRule type="containsText" dxfId="1798" priority="2389" operator="containsText" text="BAJA NO ESTABA EN ">
      <formula>NOT(ISERROR(SEARCH("BAJA NO ESTABA EN ",Q95)))</formula>
    </cfRule>
    <cfRule type="containsText" dxfId="1797" priority="2391" operator="containsText" text="PETICION DE BAJA SIN RETIRO">
      <formula>NOT(ISERROR(SEARCH("PETICION DE BAJA SIN RETIRO",Q95)))</formula>
    </cfRule>
  </conditionalFormatting>
  <conditionalFormatting sqref="Q97">
    <cfRule type="containsText" dxfId="1796" priority="2355" operator="containsText" text="PETICION DE BAJA SIN RETIRO ">
      <formula>NOT(ISERROR(SEARCH("PETICION DE BAJA SIN RETIRO ",Q97)))</formula>
    </cfRule>
    <cfRule type="containsText" dxfId="1795" priority="2354" operator="containsText" text="PETICION DE BAJA SIN RETIRO">
      <formula>NOT(ISERROR(SEARCH("PETICION DE BAJA SIN RETIRO",Q97)))</formula>
    </cfRule>
    <cfRule type="containsText" dxfId="1794" priority="2357" operator="containsText" text="BAJA NO ESTABA EN EL LISTADO">
      <formula>NOT(ISERROR(SEARCH("BAJA NO ESTABA EN EL LISTADO",Q97)))</formula>
    </cfRule>
    <cfRule type="containsText" dxfId="1793" priority="2358" operator="containsText" text="PETICION DE BAJA SIN RETIRO">
      <formula>NOT(ISERROR(SEARCH("PETICION DE BAJA SIN RETIRO",Q97)))</formula>
    </cfRule>
    <cfRule type="containsText" dxfId="1792" priority="2359" operator="containsText" text="PETICION DE BAJA SIN RETIRO ">
      <formula>NOT(ISERROR(SEARCH("PETICION DE BAJA SIN RETIRO ",Q97)))</formula>
    </cfRule>
    <cfRule type="containsText" dxfId="1791" priority="2356" operator="containsText" text="BAJA NO ESTABA EN ">
      <formula>NOT(ISERROR(SEARCH("BAJA NO ESTABA EN ",Q97)))</formula>
    </cfRule>
  </conditionalFormatting>
  <conditionalFormatting sqref="Q98:Q123">
    <cfRule type="containsText" dxfId="1790" priority="2380" operator="containsText" text="PETICION DE BAJA SIN RETIRO">
      <formula>NOT(ISERROR(SEARCH("PETICION DE BAJA SIN RETIRO",Q98)))</formula>
    </cfRule>
    <cfRule type="containsText" dxfId="1789" priority="2381" operator="containsText" text="PETICION DE BAJA SIN RETIRO ">
      <formula>NOT(ISERROR(SEARCH("PETICION DE BAJA SIN RETIRO ",Q98)))</formula>
    </cfRule>
    <cfRule type="containsText" dxfId="1788" priority="2378" operator="containsText" text="BAJA NO ESTABA EN ">
      <formula>NOT(ISERROR(SEARCH("BAJA NO ESTABA EN ",Q98)))</formula>
    </cfRule>
    <cfRule type="containsText" dxfId="1787" priority="2379" operator="containsText" text="BAJA NO ESTABA EN EL LISTADO">
      <formula>NOT(ISERROR(SEARCH("BAJA NO ESTABA EN EL LISTADO",Q98)))</formula>
    </cfRule>
  </conditionalFormatting>
  <conditionalFormatting sqref="Q112">
    <cfRule type="containsText" dxfId="1786" priority="2376" operator="containsText" text="PETICION DE BAJA SIN RETIRO">
      <formula>NOT(ISERROR(SEARCH("PETICION DE BAJA SIN RETIRO",Q112)))</formula>
    </cfRule>
    <cfRule type="containsText" dxfId="1785" priority="2377" operator="containsText" text="PETICION DE BAJA SIN RETIRO ">
      <formula>NOT(ISERROR(SEARCH("PETICION DE BAJA SIN RETIRO ",Q112)))</formula>
    </cfRule>
  </conditionalFormatting>
  <conditionalFormatting sqref="Q124">
    <cfRule type="containsText" dxfId="1784" priority="2345" operator="containsText" text="BAJA NO ESTABA EN ">
      <formula>NOT(ISERROR(SEARCH("BAJA NO ESTABA EN ",Q124)))</formula>
    </cfRule>
    <cfRule type="containsText" dxfId="1783" priority="2346" operator="containsText" text="BAJA NO ESTABA EN EL LISTADO">
      <formula>NOT(ISERROR(SEARCH("BAJA NO ESTABA EN EL LISTADO",Q124)))</formula>
    </cfRule>
    <cfRule type="containsText" dxfId="1782" priority="2347" operator="containsText" text="PETICION DE BAJA SIN RETIRO">
      <formula>NOT(ISERROR(SEARCH("PETICION DE BAJA SIN RETIRO",Q124)))</formula>
    </cfRule>
    <cfRule type="containsText" dxfId="1781" priority="2348" operator="containsText" text="PETICION DE BAJA SIN RETIRO ">
      <formula>NOT(ISERROR(SEARCH("PETICION DE BAJA SIN RETIRO ",Q124)))</formula>
    </cfRule>
  </conditionalFormatting>
  <conditionalFormatting sqref="Q124:Q128">
    <cfRule type="containsText" dxfId="1780" priority="2336" operator="containsText" text="PETICION DE BAJA SIN RETIRO">
      <formula>NOT(ISERROR(SEARCH("PETICION DE BAJA SIN RETIRO",Q124)))</formula>
    </cfRule>
    <cfRule type="containsText" dxfId="1779" priority="2337" operator="containsText" text="PETICION DE BAJA SIN RETIRO ">
      <formula>NOT(ISERROR(SEARCH("PETICION DE BAJA SIN RETIRO ",Q124)))</formula>
    </cfRule>
  </conditionalFormatting>
  <conditionalFormatting sqref="Q125">
    <cfRule type="containsText" dxfId="1778" priority="2333" operator="containsText" text="PETICION DE BAJA SIN RETIRO ">
      <formula>NOT(ISERROR(SEARCH("PETICION DE BAJA SIN RETIRO ",Q125)))</formula>
    </cfRule>
    <cfRule type="containsText" dxfId="1777" priority="2332" operator="containsText" text="PETICION DE BAJA SIN RETIRO">
      <formula>NOT(ISERROR(SEARCH("PETICION DE BAJA SIN RETIRO",Q125)))</formula>
    </cfRule>
  </conditionalFormatting>
  <conditionalFormatting sqref="Q125:Q128">
    <cfRule type="containsText" dxfId="1776" priority="2335" operator="containsText" text="BAJA NO ESTABA EN EL LISTADO">
      <formula>NOT(ISERROR(SEARCH("BAJA NO ESTABA EN EL LISTADO",Q125)))</formula>
    </cfRule>
    <cfRule type="containsText" dxfId="1775" priority="2334" operator="containsText" text="BAJA NO ESTABA EN ">
      <formula>NOT(ISERROR(SEARCH("BAJA NO ESTABA EN ",Q125)))</formula>
    </cfRule>
  </conditionalFormatting>
  <conditionalFormatting sqref="Q129">
    <cfRule type="containsText" dxfId="1774" priority="2321" operator="containsText" text="PETICION DE BAJA SIN RETIRO">
      <formula>NOT(ISERROR(SEARCH("PETICION DE BAJA SIN RETIRO",Q129)))</formula>
    </cfRule>
    <cfRule type="containsText" dxfId="1773" priority="2322" operator="containsText" text="PETICION DE BAJA SIN RETIRO ">
      <formula>NOT(ISERROR(SEARCH("PETICION DE BAJA SIN RETIRO ",Q129)))</formula>
    </cfRule>
  </conditionalFormatting>
  <conditionalFormatting sqref="Q129:Q145">
    <cfRule type="containsText" dxfId="1772" priority="2326" operator="containsText" text="PETICION DE BAJA SIN RETIRO ">
      <formula>NOT(ISERROR(SEARCH("PETICION DE BAJA SIN RETIRO ",Q129)))</formula>
    </cfRule>
    <cfRule type="containsText" dxfId="1771" priority="2325" operator="containsText" text="PETICION DE BAJA SIN RETIRO">
      <formula>NOT(ISERROR(SEARCH("PETICION DE BAJA SIN RETIRO",Q129)))</formula>
    </cfRule>
    <cfRule type="containsText" dxfId="1770" priority="2324" operator="containsText" text="BAJA NO ESTABA EN EL LISTADO">
      <formula>NOT(ISERROR(SEARCH("BAJA NO ESTABA EN EL LISTADO",Q129)))</formula>
    </cfRule>
    <cfRule type="containsText" dxfId="1769" priority="2323" operator="containsText" text="BAJA NO ESTABA EN ">
      <formula>NOT(ISERROR(SEARCH("BAJA NO ESTABA EN ",Q129)))</formula>
    </cfRule>
  </conditionalFormatting>
  <conditionalFormatting sqref="Q146">
    <cfRule type="containsText" dxfId="1768" priority="2309" operator="containsText" text="PETICION DE BAJA SIN RETIRO">
      <formula>NOT(ISERROR(SEARCH("PETICION DE BAJA SIN RETIRO",Q146)))</formula>
    </cfRule>
    <cfRule type="containsText" dxfId="1767" priority="2310" operator="containsText" text="PETICION DE BAJA SIN RETIRO ">
      <formula>NOT(ISERROR(SEARCH("PETICION DE BAJA SIN RETIRO ",Q146)))</formula>
    </cfRule>
  </conditionalFormatting>
  <conditionalFormatting sqref="Q146:Q150">
    <cfRule type="containsText" dxfId="1766" priority="2314" operator="containsText" text="PETICION DE BAJA SIN RETIRO ">
      <formula>NOT(ISERROR(SEARCH("PETICION DE BAJA SIN RETIRO ",Q146)))</formula>
    </cfRule>
    <cfRule type="containsText" dxfId="1765" priority="2313" operator="containsText" text="PETICION DE BAJA SIN RETIRO">
      <formula>NOT(ISERROR(SEARCH("PETICION DE BAJA SIN RETIRO",Q146)))</formula>
    </cfRule>
    <cfRule type="containsText" dxfId="1764" priority="2312" operator="containsText" text="BAJA NO ESTABA EN EL LISTADO">
      <formula>NOT(ISERROR(SEARCH("BAJA NO ESTABA EN EL LISTADO",Q146)))</formula>
    </cfRule>
    <cfRule type="containsText" dxfId="1763" priority="2311" operator="containsText" text="BAJA NO ESTABA EN ">
      <formula>NOT(ISERROR(SEARCH("BAJA NO ESTABA EN ",Q146)))</formula>
    </cfRule>
  </conditionalFormatting>
  <conditionalFormatting sqref="Q151">
    <cfRule type="containsText" dxfId="1762" priority="2299" operator="containsText" text="PETICION DE BAJA SIN RETIRO ">
      <formula>NOT(ISERROR(SEARCH("PETICION DE BAJA SIN RETIRO ",Q151)))</formula>
    </cfRule>
    <cfRule type="containsText" dxfId="1761" priority="2298" operator="containsText" text="PETICION DE BAJA SIN RETIRO">
      <formula>NOT(ISERROR(SEARCH("PETICION DE BAJA SIN RETIRO",Q151)))</formula>
    </cfRule>
  </conditionalFormatting>
  <conditionalFormatting sqref="Q151:Q156">
    <cfRule type="containsText" dxfId="1760" priority="2301" operator="containsText" text="BAJA NO ESTABA EN EL LISTADO">
      <formula>NOT(ISERROR(SEARCH("BAJA NO ESTABA EN EL LISTADO",Q151)))</formula>
    </cfRule>
    <cfRule type="containsText" dxfId="1759" priority="2300" operator="containsText" text="BAJA NO ESTABA EN ">
      <formula>NOT(ISERROR(SEARCH("BAJA NO ESTABA EN ",Q151)))</formula>
    </cfRule>
    <cfRule type="containsText" dxfId="1758" priority="2302" operator="containsText" text="PETICION DE BAJA SIN RETIRO">
      <formula>NOT(ISERROR(SEARCH("PETICION DE BAJA SIN RETIRO",Q151)))</formula>
    </cfRule>
    <cfRule type="containsText" dxfId="1757" priority="2303" operator="containsText" text="PETICION DE BAJA SIN RETIRO ">
      <formula>NOT(ISERROR(SEARCH("PETICION DE BAJA SIN RETIRO ",Q151)))</formula>
    </cfRule>
  </conditionalFormatting>
  <conditionalFormatting sqref="Q157">
    <cfRule type="containsText" dxfId="1756" priority="2287" operator="containsText" text="PETICION DE BAJA SIN RETIRO">
      <formula>NOT(ISERROR(SEARCH("PETICION DE BAJA SIN RETIRO",Q157)))</formula>
    </cfRule>
    <cfRule type="containsText" dxfId="1755" priority="2288" operator="containsText" text="PETICION DE BAJA SIN RETIRO ">
      <formula>NOT(ISERROR(SEARCH("PETICION DE BAJA SIN RETIRO ",Q157)))</formula>
    </cfRule>
  </conditionalFormatting>
  <conditionalFormatting sqref="Q157:Q160">
    <cfRule type="containsText" dxfId="1754" priority="2292" operator="containsText" text="PETICION DE BAJA SIN RETIRO ">
      <formula>NOT(ISERROR(SEARCH("PETICION DE BAJA SIN RETIRO ",Q157)))</formula>
    </cfRule>
    <cfRule type="containsText" dxfId="1753" priority="2289" operator="containsText" text="BAJA NO ESTABA EN ">
      <formula>NOT(ISERROR(SEARCH("BAJA NO ESTABA EN ",Q157)))</formula>
    </cfRule>
    <cfRule type="containsText" dxfId="1752" priority="2291" operator="containsText" text="PETICION DE BAJA SIN RETIRO">
      <formula>NOT(ISERROR(SEARCH("PETICION DE BAJA SIN RETIRO",Q157)))</formula>
    </cfRule>
    <cfRule type="containsText" dxfId="1751" priority="2290" operator="containsText" text="BAJA NO ESTABA EN EL LISTADO">
      <formula>NOT(ISERROR(SEARCH("BAJA NO ESTABA EN EL LISTADO",Q157)))</formula>
    </cfRule>
  </conditionalFormatting>
  <conditionalFormatting sqref="Q161">
    <cfRule type="containsText" dxfId="1750" priority="2276" operator="containsText" text="PETICION DE BAJA SIN RETIRO">
      <formula>NOT(ISERROR(SEARCH("PETICION DE BAJA SIN RETIRO",Q161)))</formula>
    </cfRule>
    <cfRule type="containsText" dxfId="1749" priority="2277" operator="containsText" text="PETICION DE BAJA SIN RETIRO ">
      <formula>NOT(ISERROR(SEARCH("PETICION DE BAJA SIN RETIRO ",Q161)))</formula>
    </cfRule>
  </conditionalFormatting>
  <conditionalFormatting sqref="Q161:Q163">
    <cfRule type="containsText" dxfId="1748" priority="2278" operator="containsText" text="BAJA NO ESTABA EN ">
      <formula>NOT(ISERROR(SEARCH("BAJA NO ESTABA EN ",Q161)))</formula>
    </cfRule>
    <cfRule type="containsText" dxfId="1747" priority="2280" operator="containsText" text="PETICION DE BAJA SIN RETIRO">
      <formula>NOT(ISERROR(SEARCH("PETICION DE BAJA SIN RETIRO",Q161)))</formula>
    </cfRule>
    <cfRule type="containsText" dxfId="1746" priority="2279" operator="containsText" text="BAJA NO ESTABA EN EL LISTADO">
      <formula>NOT(ISERROR(SEARCH("BAJA NO ESTABA EN EL LISTADO",Q161)))</formula>
    </cfRule>
    <cfRule type="containsText" dxfId="1745" priority="2281" operator="containsText" text="PETICION DE BAJA SIN RETIRO ">
      <formula>NOT(ISERROR(SEARCH("PETICION DE BAJA SIN RETIRO ",Q161)))</formula>
    </cfRule>
  </conditionalFormatting>
  <conditionalFormatting sqref="Q164">
    <cfRule type="containsText" dxfId="1744" priority="2266" operator="containsText" text="PETICION DE BAJA SIN RETIRO ">
      <formula>NOT(ISERROR(SEARCH("PETICION DE BAJA SIN RETIRO ",Q164)))</formula>
    </cfRule>
    <cfRule type="containsText" dxfId="1743" priority="2265" operator="containsText" text="PETICION DE BAJA SIN RETIRO">
      <formula>NOT(ISERROR(SEARCH("PETICION DE BAJA SIN RETIRO",Q164)))</formula>
    </cfRule>
  </conditionalFormatting>
  <conditionalFormatting sqref="Q164:Q166">
    <cfRule type="containsText" dxfId="1742" priority="2269" operator="containsText" text="PETICION DE BAJA SIN RETIRO">
      <formula>NOT(ISERROR(SEARCH("PETICION DE BAJA SIN RETIRO",Q164)))</formula>
    </cfRule>
    <cfRule type="containsText" dxfId="1741" priority="2270" operator="containsText" text="PETICION DE BAJA SIN RETIRO ">
      <formula>NOT(ISERROR(SEARCH("PETICION DE BAJA SIN RETIRO ",Q164)))</formula>
    </cfRule>
    <cfRule type="containsText" dxfId="1740" priority="2267" operator="containsText" text="BAJA NO ESTABA EN ">
      <formula>NOT(ISERROR(SEARCH("BAJA NO ESTABA EN ",Q164)))</formula>
    </cfRule>
    <cfRule type="containsText" dxfId="1739" priority="2268" operator="containsText" text="BAJA NO ESTABA EN EL LISTADO">
      <formula>NOT(ISERROR(SEARCH("BAJA NO ESTABA EN EL LISTADO",Q164)))</formula>
    </cfRule>
  </conditionalFormatting>
  <conditionalFormatting sqref="Q167">
    <cfRule type="containsText" dxfId="1738" priority="2258" operator="containsText" text="PETICION DE BAJA SIN RETIRO">
      <formula>NOT(ISERROR(SEARCH("PETICION DE BAJA SIN RETIRO",Q167)))</formula>
    </cfRule>
    <cfRule type="containsText" dxfId="1737" priority="2256" operator="containsText" text="BAJA NO ESTABA EN ">
      <formula>NOT(ISERROR(SEARCH("BAJA NO ESTABA EN ",Q167)))</formula>
    </cfRule>
    <cfRule type="containsText" dxfId="1736" priority="2259" operator="containsText" text="PETICION DE BAJA SIN RETIRO ">
      <formula>NOT(ISERROR(SEARCH("PETICION DE BAJA SIN RETIRO ",Q167)))</formula>
    </cfRule>
    <cfRule type="containsText" dxfId="1735" priority="2257" operator="containsText" text="BAJA NO ESTABA EN EL LISTADO">
      <formula>NOT(ISERROR(SEARCH("BAJA NO ESTABA EN EL LISTADO",Q167)))</formula>
    </cfRule>
  </conditionalFormatting>
  <conditionalFormatting sqref="Q167:Q169">
    <cfRule type="containsText" dxfId="1734" priority="2248" operator="containsText" text="PETICION DE BAJA SIN RETIRO ">
      <formula>NOT(ISERROR(SEARCH("PETICION DE BAJA SIN RETIRO ",Q167)))</formula>
    </cfRule>
    <cfRule type="containsText" dxfId="1733" priority="2247" operator="containsText" text="PETICION DE BAJA SIN RETIRO">
      <formula>NOT(ISERROR(SEARCH("PETICION DE BAJA SIN RETIRO",Q167)))</formula>
    </cfRule>
  </conditionalFormatting>
  <conditionalFormatting sqref="Q168">
    <cfRule type="containsText" dxfId="1732" priority="2243" operator="containsText" text="PETICION DE BAJA SIN RETIRO">
      <formula>NOT(ISERROR(SEARCH("PETICION DE BAJA SIN RETIRO",Q168)))</formula>
    </cfRule>
    <cfRule type="containsText" dxfId="1731" priority="2244" operator="containsText" text="PETICION DE BAJA SIN RETIRO ">
      <formula>NOT(ISERROR(SEARCH("PETICION DE BAJA SIN RETIRO ",Q168)))</formula>
    </cfRule>
  </conditionalFormatting>
  <conditionalFormatting sqref="Q168:Q169">
    <cfRule type="containsText" dxfId="1730" priority="2246" operator="containsText" text="BAJA NO ESTABA EN EL LISTADO">
      <formula>NOT(ISERROR(SEARCH("BAJA NO ESTABA EN EL LISTADO",Q168)))</formula>
    </cfRule>
    <cfRule type="containsText" dxfId="1729" priority="2245" operator="containsText" text="BAJA NO ESTABA EN ">
      <formula>NOT(ISERROR(SEARCH("BAJA NO ESTABA EN ",Q168)))</formula>
    </cfRule>
  </conditionalFormatting>
  <conditionalFormatting sqref="Q170">
    <cfRule type="containsText" dxfId="1728" priority="2233" operator="containsText" text="PETICION DE BAJA SIN RETIRO ">
      <formula>NOT(ISERROR(SEARCH("PETICION DE BAJA SIN RETIRO ",Q170)))</formula>
    </cfRule>
    <cfRule type="containsText" dxfId="1727" priority="2232" operator="containsText" text="PETICION DE BAJA SIN RETIRO">
      <formula>NOT(ISERROR(SEARCH("PETICION DE BAJA SIN RETIRO",Q170)))</formula>
    </cfRule>
  </conditionalFormatting>
  <conditionalFormatting sqref="Q170:Q173">
    <cfRule type="containsText" dxfId="1726" priority="2237" operator="containsText" text="PETICION DE BAJA SIN RETIRO ">
      <formula>NOT(ISERROR(SEARCH("PETICION DE BAJA SIN RETIRO ",Q170)))</formula>
    </cfRule>
    <cfRule type="containsText" dxfId="1725" priority="2235" operator="containsText" text="BAJA NO ESTABA EN EL LISTADO">
      <formula>NOT(ISERROR(SEARCH("BAJA NO ESTABA EN EL LISTADO",Q170)))</formula>
    </cfRule>
    <cfRule type="containsText" dxfId="1724" priority="2234" operator="containsText" text="BAJA NO ESTABA EN ">
      <formula>NOT(ISERROR(SEARCH("BAJA NO ESTABA EN ",Q170)))</formula>
    </cfRule>
    <cfRule type="containsText" dxfId="1723" priority="2236" operator="containsText" text="PETICION DE BAJA SIN RETIRO">
      <formula>NOT(ISERROR(SEARCH("PETICION DE BAJA SIN RETIRO",Q170)))</formula>
    </cfRule>
  </conditionalFormatting>
  <conditionalFormatting sqref="Q174">
    <cfRule type="containsText" dxfId="1722" priority="2221" operator="containsText" text="PETICION DE BAJA SIN RETIRO">
      <formula>NOT(ISERROR(SEARCH("PETICION DE BAJA SIN RETIRO",Q174)))</formula>
    </cfRule>
    <cfRule type="containsText" dxfId="1721" priority="2222" operator="containsText" text="PETICION DE BAJA SIN RETIRO ">
      <formula>NOT(ISERROR(SEARCH("PETICION DE BAJA SIN RETIRO ",Q174)))</formula>
    </cfRule>
  </conditionalFormatting>
  <conditionalFormatting sqref="Q174:Q175">
    <cfRule type="containsText" dxfId="1720" priority="2224" operator="containsText" text="BAJA NO ESTABA EN EL LISTADO">
      <formula>NOT(ISERROR(SEARCH("BAJA NO ESTABA EN EL LISTADO",Q174)))</formula>
    </cfRule>
    <cfRule type="containsText" dxfId="1719" priority="2223" operator="containsText" text="BAJA NO ESTABA EN ">
      <formula>NOT(ISERROR(SEARCH("BAJA NO ESTABA EN ",Q174)))</formula>
    </cfRule>
    <cfRule type="containsText" dxfId="1718" priority="2225" operator="containsText" text="PETICION DE BAJA SIN RETIRO">
      <formula>NOT(ISERROR(SEARCH("PETICION DE BAJA SIN RETIRO",Q174)))</formula>
    </cfRule>
    <cfRule type="containsText" dxfId="1717" priority="2226" operator="containsText" text="PETICION DE BAJA SIN RETIRO ">
      <formula>NOT(ISERROR(SEARCH("PETICION DE BAJA SIN RETIRO ",Q174)))</formula>
    </cfRule>
  </conditionalFormatting>
  <conditionalFormatting sqref="Q176">
    <cfRule type="containsText" dxfId="1716" priority="2212" operator="containsText" text="BAJA NO ESTABA EN ">
      <formula>NOT(ISERROR(SEARCH("BAJA NO ESTABA EN ",Q176)))</formula>
    </cfRule>
    <cfRule type="containsText" dxfId="1715" priority="2215" operator="containsText" text="PETICION DE BAJA SIN RETIRO ">
      <formula>NOT(ISERROR(SEARCH("PETICION DE BAJA SIN RETIRO ",Q176)))</formula>
    </cfRule>
    <cfRule type="containsText" dxfId="1714" priority="2214" operator="containsText" text="PETICION DE BAJA SIN RETIRO">
      <formula>NOT(ISERROR(SEARCH("PETICION DE BAJA SIN RETIRO",Q176)))</formula>
    </cfRule>
    <cfRule type="containsText" dxfId="1713" priority="2213" operator="containsText" text="BAJA NO ESTABA EN EL LISTADO">
      <formula>NOT(ISERROR(SEARCH("BAJA NO ESTABA EN EL LISTADO",Q176)))</formula>
    </cfRule>
  </conditionalFormatting>
  <conditionalFormatting sqref="Q176:Q189">
    <cfRule type="containsText" dxfId="1712" priority="2204" operator="containsText" text="PETICION DE BAJA SIN RETIRO ">
      <formula>NOT(ISERROR(SEARCH("PETICION DE BAJA SIN RETIRO ",Q176)))</formula>
    </cfRule>
    <cfRule type="containsText" dxfId="1711" priority="2203" operator="containsText" text="PETICION DE BAJA SIN RETIRO">
      <formula>NOT(ISERROR(SEARCH("PETICION DE BAJA SIN RETIRO",Q176)))</formula>
    </cfRule>
  </conditionalFormatting>
  <conditionalFormatting sqref="Q177">
    <cfRule type="containsText" dxfId="1710" priority="2199" operator="containsText" text="PETICION DE BAJA SIN RETIRO">
      <formula>NOT(ISERROR(SEARCH("PETICION DE BAJA SIN RETIRO",Q177)))</formula>
    </cfRule>
    <cfRule type="containsText" dxfId="1709" priority="2200" operator="containsText" text="PETICION DE BAJA SIN RETIRO ">
      <formula>NOT(ISERROR(SEARCH("PETICION DE BAJA SIN RETIRO ",Q177)))</formula>
    </cfRule>
  </conditionalFormatting>
  <conditionalFormatting sqref="Q177:Q189">
    <cfRule type="containsText" dxfId="1708" priority="2202" operator="containsText" text="BAJA NO ESTABA EN EL LISTADO">
      <formula>NOT(ISERROR(SEARCH("BAJA NO ESTABA EN EL LISTADO",Q177)))</formula>
    </cfRule>
    <cfRule type="containsText" dxfId="1707" priority="2201" operator="containsText" text="BAJA NO ESTABA EN ">
      <formula>NOT(ISERROR(SEARCH("BAJA NO ESTABA EN ",Q177)))</formula>
    </cfRule>
  </conditionalFormatting>
  <conditionalFormatting sqref="Q185">
    <cfRule type="containsText" dxfId="1706" priority="697" operator="containsText" text="PETICION DE BAJA SIN RETIRO ">
      <formula>NOT(ISERROR(SEARCH("PETICION DE BAJA SIN RETIRO ",Q185)))</formula>
    </cfRule>
  </conditionalFormatting>
  <conditionalFormatting sqref="Q190">
    <cfRule type="containsText" dxfId="1705" priority="2177" operator="containsText" text="PETICION DE BAJA SIN RETIRO ">
      <formula>NOT(ISERROR(SEARCH("PETICION DE BAJA SIN RETIRO ",Q190)))</formula>
    </cfRule>
    <cfRule type="containsText" dxfId="1704" priority="2176" operator="containsText" text="PETICION DE BAJA SIN RETIRO">
      <formula>NOT(ISERROR(SEARCH("PETICION DE BAJA SIN RETIRO",Q190)))</formula>
    </cfRule>
  </conditionalFormatting>
  <conditionalFormatting sqref="Q190:Q195">
    <cfRule type="containsText" dxfId="1703" priority="2181" operator="containsText" text="PETICION DE BAJA SIN RETIRO ">
      <formula>NOT(ISERROR(SEARCH("PETICION DE BAJA SIN RETIRO ",Q190)))</formula>
    </cfRule>
    <cfRule type="containsText" dxfId="1702" priority="2180" operator="containsText" text="PETICION DE BAJA SIN RETIRO">
      <formula>NOT(ISERROR(SEARCH("PETICION DE BAJA SIN RETIRO",Q190)))</formula>
    </cfRule>
    <cfRule type="containsText" dxfId="1701" priority="2178" operator="containsText" text="BAJA NO ESTABA EN ">
      <formula>NOT(ISERROR(SEARCH("BAJA NO ESTABA EN ",Q190)))</formula>
    </cfRule>
    <cfRule type="containsText" dxfId="1700" priority="2179" operator="containsText" text="BAJA NO ESTABA EN EL LISTADO">
      <formula>NOT(ISERROR(SEARCH("BAJA NO ESTABA EN EL LISTADO",Q190)))</formula>
    </cfRule>
  </conditionalFormatting>
  <conditionalFormatting sqref="Q196">
    <cfRule type="containsText" dxfId="1699" priority="2170" operator="containsText" text="PETICION DE BAJA SIN RETIRO ">
      <formula>NOT(ISERROR(SEARCH("PETICION DE BAJA SIN RETIRO ",Q196)))</formula>
    </cfRule>
    <cfRule type="containsText" dxfId="1698" priority="2169" operator="containsText" text="PETICION DE BAJA SIN RETIRO">
      <formula>NOT(ISERROR(SEARCH("PETICION DE BAJA SIN RETIRO",Q196)))</formula>
    </cfRule>
  </conditionalFormatting>
  <conditionalFormatting sqref="Q196:Q199">
    <cfRule type="containsText" dxfId="1697" priority="2174" operator="containsText" text="PETICION DE BAJA SIN RETIRO ">
      <formula>NOT(ISERROR(SEARCH("PETICION DE BAJA SIN RETIRO ",Q196)))</formula>
    </cfRule>
    <cfRule type="containsText" dxfId="1696" priority="2172" operator="containsText" text="BAJA NO ESTABA EN EL LISTADO">
      <formula>NOT(ISERROR(SEARCH("BAJA NO ESTABA EN EL LISTADO",Q196)))</formula>
    </cfRule>
    <cfRule type="containsText" dxfId="1695" priority="2171" operator="containsText" text="BAJA NO ESTABA EN ">
      <formula>NOT(ISERROR(SEARCH("BAJA NO ESTABA EN ",Q196)))</formula>
    </cfRule>
    <cfRule type="containsText" dxfId="1694" priority="2173" operator="containsText" text="PETICION DE BAJA SIN RETIRO">
      <formula>NOT(ISERROR(SEARCH("PETICION DE BAJA SIN RETIRO",Q196)))</formula>
    </cfRule>
  </conditionalFormatting>
  <conditionalFormatting sqref="Q200">
    <cfRule type="containsText" dxfId="1693" priority="2163" operator="containsText" text="PETICION DE BAJA SIN RETIRO ">
      <formula>NOT(ISERROR(SEARCH("PETICION DE BAJA SIN RETIRO ",Q200)))</formula>
    </cfRule>
    <cfRule type="containsText" dxfId="1692" priority="2162" operator="containsText" text="PETICION DE BAJA SIN RETIRO">
      <formula>NOT(ISERROR(SEARCH("PETICION DE BAJA SIN RETIRO",Q200)))</formula>
    </cfRule>
    <cfRule type="containsText" dxfId="1691" priority="2161" operator="containsText" text="BAJA NO ESTABA EN EL LISTADO">
      <formula>NOT(ISERROR(SEARCH("BAJA NO ESTABA EN EL LISTADO",Q200)))</formula>
    </cfRule>
    <cfRule type="containsText" dxfId="1690" priority="2160" operator="containsText" text="BAJA NO ESTABA EN ">
      <formula>NOT(ISERROR(SEARCH("BAJA NO ESTABA EN ",Q200)))</formula>
    </cfRule>
  </conditionalFormatting>
  <conditionalFormatting sqref="Q200:Q201">
    <cfRule type="containsText" dxfId="1689" priority="2152" operator="containsText" text="PETICION DE BAJA SIN RETIRO">
      <formula>NOT(ISERROR(SEARCH("PETICION DE BAJA SIN RETIRO",Q200)))</formula>
    </cfRule>
    <cfRule type="containsText" dxfId="1688" priority="2153" operator="containsText" text="PETICION DE BAJA SIN RETIRO ">
      <formula>NOT(ISERROR(SEARCH("PETICION DE BAJA SIN RETIRO ",Q200)))</formula>
    </cfRule>
  </conditionalFormatting>
  <conditionalFormatting sqref="Q201">
    <cfRule type="containsText" dxfId="1687" priority="2150" operator="containsText" text="BAJA NO ESTABA EN ">
      <formula>NOT(ISERROR(SEARCH("BAJA NO ESTABA EN ",Q201)))</formula>
    </cfRule>
    <cfRule type="containsText" dxfId="1686" priority="2151" operator="containsText" text="BAJA NO ESTABA EN EL LISTADO">
      <formula>NOT(ISERROR(SEARCH("BAJA NO ESTABA EN EL LISTADO",Q201)))</formula>
    </cfRule>
  </conditionalFormatting>
  <conditionalFormatting sqref="Q201:Q203">
    <cfRule type="containsText" dxfId="1685" priority="2141" operator="containsText" text="PETICION DE BAJA SIN RETIRO">
      <formula>NOT(ISERROR(SEARCH("PETICION DE BAJA SIN RETIRO",Q201)))</formula>
    </cfRule>
    <cfRule type="containsText" dxfId="1684" priority="2142" operator="containsText" text="PETICION DE BAJA SIN RETIRO ">
      <formula>NOT(ISERROR(SEARCH("PETICION DE BAJA SIN RETIRO ",Q201)))</formula>
    </cfRule>
  </conditionalFormatting>
  <conditionalFormatting sqref="Q202">
    <cfRule type="containsText" dxfId="1683" priority="2138" operator="containsText" text="PETICION DE BAJA SIN RETIRO ">
      <formula>NOT(ISERROR(SEARCH("PETICION DE BAJA SIN RETIRO ",Q202)))</formula>
    </cfRule>
    <cfRule type="containsText" dxfId="1682" priority="2137" operator="containsText" text="PETICION DE BAJA SIN RETIRO">
      <formula>NOT(ISERROR(SEARCH("PETICION DE BAJA SIN RETIRO",Q202)))</formula>
    </cfRule>
  </conditionalFormatting>
  <conditionalFormatting sqref="Q202:Q203">
    <cfRule type="containsText" dxfId="1681" priority="2139" operator="containsText" text="BAJA NO ESTABA EN ">
      <formula>NOT(ISERROR(SEARCH("BAJA NO ESTABA EN ",Q202)))</formula>
    </cfRule>
    <cfRule type="containsText" dxfId="1680" priority="2140" operator="containsText" text="BAJA NO ESTABA EN EL LISTADO">
      <formula>NOT(ISERROR(SEARCH("BAJA NO ESTABA EN EL LISTADO",Q202)))</formula>
    </cfRule>
  </conditionalFormatting>
  <conditionalFormatting sqref="Q204">
    <cfRule type="containsText" dxfId="1679" priority="2127" operator="containsText" text="PETICION DE BAJA SIN RETIRO ">
      <formula>NOT(ISERROR(SEARCH("PETICION DE BAJA SIN RETIRO ",Q204)))</formula>
    </cfRule>
    <cfRule type="containsText" dxfId="1678" priority="2126" operator="containsText" text="PETICION DE BAJA SIN RETIRO">
      <formula>NOT(ISERROR(SEARCH("PETICION DE BAJA SIN RETIRO",Q204)))</formula>
    </cfRule>
  </conditionalFormatting>
  <conditionalFormatting sqref="Q204:Q206">
    <cfRule type="containsText" dxfId="1677" priority="2131" operator="containsText" text="PETICION DE BAJA SIN RETIRO ">
      <formula>NOT(ISERROR(SEARCH("PETICION DE BAJA SIN RETIRO ",Q204)))</formula>
    </cfRule>
    <cfRule type="containsText" dxfId="1676" priority="2130" operator="containsText" text="PETICION DE BAJA SIN RETIRO">
      <formula>NOT(ISERROR(SEARCH("PETICION DE BAJA SIN RETIRO",Q204)))</formula>
    </cfRule>
    <cfRule type="containsText" dxfId="1675" priority="2129" operator="containsText" text="BAJA NO ESTABA EN EL LISTADO">
      <formula>NOT(ISERROR(SEARCH("BAJA NO ESTABA EN EL LISTADO",Q204)))</formula>
    </cfRule>
    <cfRule type="containsText" dxfId="1674" priority="2128" operator="containsText" text="BAJA NO ESTABA EN ">
      <formula>NOT(ISERROR(SEARCH("BAJA NO ESTABA EN ",Q204)))</formula>
    </cfRule>
  </conditionalFormatting>
  <conditionalFormatting sqref="Q207">
    <cfRule type="containsText" dxfId="1673" priority="2120" operator="containsText" text="PETICION DE BAJA SIN RETIRO ">
      <formula>NOT(ISERROR(SEARCH("PETICION DE BAJA SIN RETIRO ",Q207)))</formula>
    </cfRule>
    <cfRule type="containsText" dxfId="1672" priority="2119" operator="containsText" text="PETICION DE BAJA SIN RETIRO">
      <formula>NOT(ISERROR(SEARCH("PETICION DE BAJA SIN RETIRO",Q207)))</formula>
    </cfRule>
    <cfRule type="containsText" dxfId="1671" priority="2118" operator="containsText" text="BAJA NO ESTABA EN EL LISTADO">
      <formula>NOT(ISERROR(SEARCH("BAJA NO ESTABA EN EL LISTADO",Q207)))</formula>
    </cfRule>
    <cfRule type="containsText" dxfId="1670" priority="2117" operator="containsText" text="BAJA NO ESTABA EN ">
      <formula>NOT(ISERROR(SEARCH("BAJA NO ESTABA EN ",Q207)))</formula>
    </cfRule>
  </conditionalFormatting>
  <conditionalFormatting sqref="Q207:Q208">
    <cfRule type="containsText" dxfId="1669" priority="2109" operator="containsText" text="PETICION DE BAJA SIN RETIRO ">
      <formula>NOT(ISERROR(SEARCH("PETICION DE BAJA SIN RETIRO ",Q207)))</formula>
    </cfRule>
    <cfRule type="containsText" dxfId="1668" priority="2108" operator="containsText" text="PETICION DE BAJA SIN RETIRO">
      <formula>NOT(ISERROR(SEARCH("PETICION DE BAJA SIN RETIRO",Q207)))</formula>
    </cfRule>
  </conditionalFormatting>
  <conditionalFormatting sqref="Q208">
    <cfRule type="containsText" dxfId="1667" priority="2106" operator="containsText" text="BAJA NO ESTABA EN ">
      <formula>NOT(ISERROR(SEARCH("BAJA NO ESTABA EN ",Q208)))</formula>
    </cfRule>
    <cfRule type="containsText" dxfId="1666" priority="2107" operator="containsText" text="BAJA NO ESTABA EN EL LISTADO">
      <formula>NOT(ISERROR(SEARCH("BAJA NO ESTABA EN EL LISTADO",Q208)))</formula>
    </cfRule>
  </conditionalFormatting>
  <conditionalFormatting sqref="Q208:Q212">
    <cfRule type="containsText" dxfId="1665" priority="2097" operator="containsText" text="PETICION DE BAJA SIN RETIRO">
      <formula>NOT(ISERROR(SEARCH("PETICION DE BAJA SIN RETIRO",Q208)))</formula>
    </cfRule>
    <cfRule type="containsText" dxfId="1664" priority="2098" operator="containsText" text="PETICION DE BAJA SIN RETIRO ">
      <formula>NOT(ISERROR(SEARCH("PETICION DE BAJA SIN RETIRO ",Q208)))</formula>
    </cfRule>
  </conditionalFormatting>
  <conditionalFormatting sqref="Q209">
    <cfRule type="containsText" dxfId="1663" priority="2093" operator="containsText" text="PETICION DE BAJA SIN RETIRO">
      <formula>NOT(ISERROR(SEARCH("PETICION DE BAJA SIN RETIRO",Q209)))</formula>
    </cfRule>
    <cfRule type="containsText" dxfId="1662" priority="2094" operator="containsText" text="PETICION DE BAJA SIN RETIRO ">
      <formula>NOT(ISERROR(SEARCH("PETICION DE BAJA SIN RETIRO ",Q209)))</formula>
    </cfRule>
  </conditionalFormatting>
  <conditionalFormatting sqref="Q209:Q212">
    <cfRule type="containsText" dxfId="1661" priority="2095" operator="containsText" text="BAJA NO ESTABA EN ">
      <formula>NOT(ISERROR(SEARCH("BAJA NO ESTABA EN ",Q209)))</formula>
    </cfRule>
    <cfRule type="containsText" dxfId="1660" priority="2096" operator="containsText" text="BAJA NO ESTABA EN EL LISTADO">
      <formula>NOT(ISERROR(SEARCH("BAJA NO ESTABA EN EL LISTADO",Q209)))</formula>
    </cfRule>
  </conditionalFormatting>
  <conditionalFormatting sqref="Q213">
    <cfRule type="containsText" dxfId="1659" priority="2082" operator="containsText" text="PETICION DE BAJA SIN RETIRO">
      <formula>NOT(ISERROR(SEARCH("PETICION DE BAJA SIN RETIRO",Q213)))</formula>
    </cfRule>
    <cfRule type="containsText" dxfId="1658" priority="2083" operator="containsText" text="PETICION DE BAJA SIN RETIRO ">
      <formula>NOT(ISERROR(SEARCH("PETICION DE BAJA SIN RETIRO ",Q213)))</formula>
    </cfRule>
  </conditionalFormatting>
  <conditionalFormatting sqref="Q213:Q216">
    <cfRule type="containsText" dxfId="1657" priority="2086" operator="containsText" text="PETICION DE BAJA SIN RETIRO">
      <formula>NOT(ISERROR(SEARCH("PETICION DE BAJA SIN RETIRO",Q213)))</formula>
    </cfRule>
    <cfRule type="containsText" dxfId="1656" priority="2084" operator="containsText" text="BAJA NO ESTABA EN ">
      <formula>NOT(ISERROR(SEARCH("BAJA NO ESTABA EN ",Q213)))</formula>
    </cfRule>
    <cfRule type="containsText" dxfId="1655" priority="2085" operator="containsText" text="BAJA NO ESTABA EN EL LISTADO">
      <formula>NOT(ISERROR(SEARCH("BAJA NO ESTABA EN EL LISTADO",Q213)))</formula>
    </cfRule>
    <cfRule type="containsText" dxfId="1654" priority="2087" operator="containsText" text="PETICION DE BAJA SIN RETIRO ">
      <formula>NOT(ISERROR(SEARCH("PETICION DE BAJA SIN RETIRO ",Q213)))</formula>
    </cfRule>
  </conditionalFormatting>
  <conditionalFormatting sqref="Q217">
    <cfRule type="containsText" dxfId="1653" priority="2071" operator="containsText" text="PETICION DE BAJA SIN RETIRO">
      <formula>NOT(ISERROR(SEARCH("PETICION DE BAJA SIN RETIRO",Q217)))</formula>
    </cfRule>
    <cfRule type="containsText" dxfId="1652" priority="2072" operator="containsText" text="PETICION DE BAJA SIN RETIRO ">
      <formula>NOT(ISERROR(SEARCH("PETICION DE BAJA SIN RETIRO ",Q217)))</formula>
    </cfRule>
  </conditionalFormatting>
  <conditionalFormatting sqref="Q217:Q219">
    <cfRule type="containsText" dxfId="1651" priority="2074" operator="containsText" text="BAJA NO ESTABA EN EL LISTADO">
      <formula>NOT(ISERROR(SEARCH("BAJA NO ESTABA EN EL LISTADO",Q217)))</formula>
    </cfRule>
    <cfRule type="containsText" dxfId="1650" priority="2073" operator="containsText" text="BAJA NO ESTABA EN ">
      <formula>NOT(ISERROR(SEARCH("BAJA NO ESTABA EN ",Q217)))</formula>
    </cfRule>
    <cfRule type="containsText" dxfId="1649" priority="2076" operator="containsText" text="PETICION DE BAJA SIN RETIRO ">
      <formula>NOT(ISERROR(SEARCH("PETICION DE BAJA SIN RETIRO ",Q217)))</formula>
    </cfRule>
    <cfRule type="containsText" dxfId="1648" priority="2075" operator="containsText" text="PETICION DE BAJA SIN RETIRO">
      <formula>NOT(ISERROR(SEARCH("PETICION DE BAJA SIN RETIRO",Q217)))</formula>
    </cfRule>
  </conditionalFormatting>
  <conditionalFormatting sqref="Q220">
    <cfRule type="containsText" dxfId="1647" priority="2060" operator="containsText" text="PETICION DE BAJA SIN RETIRO">
      <formula>NOT(ISERROR(SEARCH("PETICION DE BAJA SIN RETIRO",Q220)))</formula>
    </cfRule>
    <cfRule type="containsText" dxfId="1646" priority="2061" operator="containsText" text="PETICION DE BAJA SIN RETIRO ">
      <formula>NOT(ISERROR(SEARCH("PETICION DE BAJA SIN RETIRO ",Q220)))</formula>
    </cfRule>
  </conditionalFormatting>
  <conditionalFormatting sqref="Q220:Q221">
    <cfRule type="containsText" dxfId="1645" priority="2065" operator="containsText" text="PETICION DE BAJA SIN RETIRO ">
      <formula>NOT(ISERROR(SEARCH("PETICION DE BAJA SIN RETIRO ",Q220)))</formula>
    </cfRule>
    <cfRule type="containsText" dxfId="1644" priority="2063" operator="containsText" text="BAJA NO ESTABA EN EL LISTADO">
      <formula>NOT(ISERROR(SEARCH("BAJA NO ESTABA EN EL LISTADO",Q220)))</formula>
    </cfRule>
    <cfRule type="containsText" dxfId="1643" priority="2062" operator="containsText" text="BAJA NO ESTABA EN ">
      <formula>NOT(ISERROR(SEARCH("BAJA NO ESTABA EN ",Q220)))</formula>
    </cfRule>
    <cfRule type="containsText" dxfId="1642" priority="2064" operator="containsText" text="PETICION DE BAJA SIN RETIRO">
      <formula>NOT(ISERROR(SEARCH("PETICION DE BAJA SIN RETIRO",Q220)))</formula>
    </cfRule>
  </conditionalFormatting>
  <conditionalFormatting sqref="Q222 Q225:Q229">
    <cfRule type="containsText" dxfId="1641" priority="2045" operator="containsText" text="PETICION DE BAJA SIN RETIRO ">
      <formula>NOT(ISERROR(SEARCH("PETICION DE BAJA SIN RETIRO ",Q222)))</formula>
    </cfRule>
    <cfRule type="containsText" dxfId="1640" priority="2044" operator="containsText" text="PETICION DE BAJA SIN RETIRO">
      <formula>NOT(ISERROR(SEARCH("PETICION DE BAJA SIN RETIRO",Q222)))</formula>
    </cfRule>
  </conditionalFormatting>
  <conditionalFormatting sqref="Q222 Q226:Q227">
    <cfRule type="containsText" dxfId="1639" priority="2040" operator="containsText" text="PETICION DE BAJA SIN RETIRO">
      <formula>NOT(ISERROR(SEARCH("PETICION DE BAJA SIN RETIRO",Q222)))</formula>
    </cfRule>
    <cfRule type="containsText" dxfId="1638" priority="2041" operator="containsText" text="PETICION DE BAJA SIN RETIRO ">
      <formula>NOT(ISERROR(SEARCH("PETICION DE BAJA SIN RETIRO ",Q222)))</formula>
    </cfRule>
  </conditionalFormatting>
  <conditionalFormatting sqref="Q222 Q226:Q229">
    <cfRule type="containsText" dxfId="1637" priority="2043" operator="containsText" text="BAJA NO ESTABA EN EL LISTADO">
      <formula>NOT(ISERROR(SEARCH("BAJA NO ESTABA EN EL LISTADO",Q222)))</formula>
    </cfRule>
    <cfRule type="containsText" dxfId="1636" priority="2042" operator="containsText" text="BAJA NO ESTABA EN ">
      <formula>NOT(ISERROR(SEARCH("BAJA NO ESTABA EN ",Q222)))</formula>
    </cfRule>
  </conditionalFormatting>
  <conditionalFormatting sqref="Q223:Q225">
    <cfRule type="containsText" dxfId="1635" priority="3693" operator="containsText" text="PETICION DE BAJA SIN RETIRO">
      <formula>NOT(ISERROR(SEARCH("PETICION DE BAJA SIN RETIRO",Q223)))</formula>
    </cfRule>
    <cfRule type="containsText" dxfId="1634" priority="3694" operator="containsText" text="PETICION DE BAJA SIN RETIRO ">
      <formula>NOT(ISERROR(SEARCH("PETICION DE BAJA SIN RETIRO ",Q223)))</formula>
    </cfRule>
  </conditionalFormatting>
  <conditionalFormatting sqref="Q230">
    <cfRule type="containsText" dxfId="1633" priority="2029" operator="containsText" text="PETICION DE BAJA SIN RETIRO">
      <formula>NOT(ISERROR(SEARCH("PETICION DE BAJA SIN RETIRO",Q230)))</formula>
    </cfRule>
    <cfRule type="containsText" dxfId="1632" priority="2030" operator="containsText" text="PETICION DE BAJA SIN RETIRO ">
      <formula>NOT(ISERROR(SEARCH("PETICION DE BAJA SIN RETIRO ",Q230)))</formula>
    </cfRule>
  </conditionalFormatting>
  <conditionalFormatting sqref="Q230:Q242">
    <cfRule type="containsText" dxfId="1631" priority="2032" operator="containsText" text="BAJA NO ESTABA EN EL LISTADO">
      <formula>NOT(ISERROR(SEARCH("BAJA NO ESTABA EN EL LISTADO",Q230)))</formula>
    </cfRule>
    <cfRule type="containsText" dxfId="1630" priority="2034" operator="containsText" text="PETICION DE BAJA SIN RETIRO ">
      <formula>NOT(ISERROR(SEARCH("PETICION DE BAJA SIN RETIRO ",Q230)))</formula>
    </cfRule>
    <cfRule type="containsText" dxfId="1629" priority="2033" operator="containsText" text="PETICION DE BAJA SIN RETIRO">
      <formula>NOT(ISERROR(SEARCH("PETICION DE BAJA SIN RETIRO",Q230)))</formula>
    </cfRule>
    <cfRule type="containsText" dxfId="1628" priority="2031" operator="containsText" text="BAJA NO ESTABA EN ">
      <formula>NOT(ISERROR(SEARCH("BAJA NO ESTABA EN ",Q230)))</formula>
    </cfRule>
  </conditionalFormatting>
  <conditionalFormatting sqref="Q243">
    <cfRule type="containsText" dxfId="1627" priority="2018" operator="containsText" text="PETICION DE BAJA SIN RETIRO">
      <formula>NOT(ISERROR(SEARCH("PETICION DE BAJA SIN RETIRO",Q243)))</formula>
    </cfRule>
    <cfRule type="containsText" dxfId="1626" priority="2019" operator="containsText" text="PETICION DE BAJA SIN RETIRO ">
      <formula>NOT(ISERROR(SEARCH("PETICION DE BAJA SIN RETIRO ",Q243)))</formula>
    </cfRule>
  </conditionalFormatting>
  <conditionalFormatting sqref="Q243:Q244">
    <cfRule type="containsText" dxfId="1625" priority="2022" operator="containsText" text="PETICION DE BAJA SIN RETIRO">
      <formula>NOT(ISERROR(SEARCH("PETICION DE BAJA SIN RETIRO",Q243)))</formula>
    </cfRule>
    <cfRule type="containsText" dxfId="1624" priority="2020" operator="containsText" text="BAJA NO ESTABA EN ">
      <formula>NOT(ISERROR(SEARCH("BAJA NO ESTABA EN ",Q243)))</formula>
    </cfRule>
    <cfRule type="containsText" dxfId="1623" priority="2021" operator="containsText" text="BAJA NO ESTABA EN EL LISTADO">
      <formula>NOT(ISERROR(SEARCH("BAJA NO ESTABA EN EL LISTADO",Q243)))</formula>
    </cfRule>
    <cfRule type="containsText" dxfId="1622" priority="2023" operator="containsText" text="PETICION DE BAJA SIN RETIRO ">
      <formula>NOT(ISERROR(SEARCH("PETICION DE BAJA SIN RETIRO ",Q243)))</formula>
    </cfRule>
  </conditionalFormatting>
  <conditionalFormatting sqref="Q245">
    <cfRule type="containsText" dxfId="1621" priority="2008" operator="containsText" text="PETICION DE BAJA SIN RETIRO">
      <formula>NOT(ISERROR(SEARCH("PETICION DE BAJA SIN RETIRO",Q245)))</formula>
    </cfRule>
    <cfRule type="containsText" dxfId="1620" priority="2009" operator="containsText" text="PETICION DE BAJA SIN RETIRO ">
      <formula>NOT(ISERROR(SEARCH("PETICION DE BAJA SIN RETIRO ",Q245)))</formula>
    </cfRule>
  </conditionalFormatting>
  <conditionalFormatting sqref="Q245:Q252">
    <cfRule type="containsText" dxfId="1619" priority="2010" operator="containsText" text="BAJA NO ESTABA EN ">
      <formula>NOT(ISERROR(SEARCH("BAJA NO ESTABA EN ",Q245)))</formula>
    </cfRule>
    <cfRule type="containsText" dxfId="1618" priority="2012" operator="containsText" text="PETICION DE BAJA SIN RETIRO">
      <formula>NOT(ISERROR(SEARCH("PETICION DE BAJA SIN RETIRO",Q245)))</formula>
    </cfRule>
    <cfRule type="containsText" dxfId="1617" priority="2013" operator="containsText" text="PETICION DE BAJA SIN RETIRO ">
      <formula>NOT(ISERROR(SEARCH("PETICION DE BAJA SIN RETIRO ",Q245)))</formula>
    </cfRule>
    <cfRule type="containsText" dxfId="1616" priority="2011" operator="containsText" text="BAJA NO ESTABA EN EL LISTADO">
      <formula>NOT(ISERROR(SEARCH("BAJA NO ESTABA EN EL LISTADO",Q245)))</formula>
    </cfRule>
  </conditionalFormatting>
  <conditionalFormatting sqref="Q253:Q254">
    <cfRule type="containsText" dxfId="1615" priority="1978" operator="containsText" text="PETICION DE BAJA SIN RETIRO">
      <formula>NOT(ISERROR(SEARCH("PETICION DE BAJA SIN RETIRO",Q253)))</formula>
    </cfRule>
    <cfRule type="containsText" dxfId="1614" priority="1979" operator="containsText" text="PETICION DE BAJA SIN RETIRO ">
      <formula>NOT(ISERROR(SEARCH("PETICION DE BAJA SIN RETIRO ",Q253)))</formula>
    </cfRule>
  </conditionalFormatting>
  <conditionalFormatting sqref="Q253:Q264">
    <cfRule type="containsText" dxfId="1613" priority="1990" operator="containsText" text="BAJA NO ESTABA EN ">
      <formula>NOT(ISERROR(SEARCH("BAJA NO ESTABA EN ",Q253)))</formula>
    </cfRule>
    <cfRule type="containsText" dxfId="1612" priority="1991" operator="containsText" text="BAJA NO ESTABA EN EL LISTADO">
      <formula>NOT(ISERROR(SEARCH("BAJA NO ESTABA EN EL LISTADO",Q253)))</formula>
    </cfRule>
    <cfRule type="containsText" dxfId="1611" priority="1992" operator="containsText" text="PETICION DE BAJA SIN RETIRO">
      <formula>NOT(ISERROR(SEARCH("PETICION DE BAJA SIN RETIRO",Q253)))</formula>
    </cfRule>
    <cfRule type="containsText" dxfId="1610" priority="1993" operator="containsText" text="PETICION DE BAJA SIN RETIRO ">
      <formula>NOT(ISERROR(SEARCH("PETICION DE BAJA SIN RETIRO ",Q253)))</formula>
    </cfRule>
  </conditionalFormatting>
  <conditionalFormatting sqref="Q263">
    <cfRule type="containsText" dxfId="1609" priority="1988" operator="containsText" text="PETICION DE BAJA SIN RETIRO">
      <formula>NOT(ISERROR(SEARCH("PETICION DE BAJA SIN RETIRO",Q263)))</formula>
    </cfRule>
    <cfRule type="containsText" dxfId="1608" priority="1989" operator="containsText" text="PETICION DE BAJA SIN RETIRO ">
      <formula>NOT(ISERROR(SEARCH("PETICION DE BAJA SIN RETIRO ",Q263)))</formula>
    </cfRule>
  </conditionalFormatting>
  <conditionalFormatting sqref="Q265">
    <cfRule type="containsText" dxfId="1607" priority="1973" operator="containsText" text="BAJA NO ESTABA EN ">
      <formula>NOT(ISERROR(SEARCH("BAJA NO ESTABA EN ",Q265)))</formula>
    </cfRule>
    <cfRule type="containsText" dxfId="1606" priority="1974" operator="containsText" text="BAJA NO ESTABA EN EL LISTADO">
      <formula>NOT(ISERROR(SEARCH("BAJA NO ESTABA EN EL LISTADO",Q265)))</formula>
    </cfRule>
    <cfRule type="containsText" dxfId="1605" priority="1976" operator="containsText" text="PETICION DE BAJA SIN RETIRO ">
      <formula>NOT(ISERROR(SEARCH("PETICION DE BAJA SIN RETIRO ",Q265)))</formula>
    </cfRule>
    <cfRule type="containsText" dxfId="1604" priority="1975" operator="containsText" text="PETICION DE BAJA SIN RETIRO">
      <formula>NOT(ISERROR(SEARCH("PETICION DE BAJA SIN RETIRO",Q265)))</formula>
    </cfRule>
  </conditionalFormatting>
  <conditionalFormatting sqref="Q265:Q273">
    <cfRule type="containsText" dxfId="1603" priority="1964" operator="containsText" text="PETICION DE BAJA SIN RETIRO">
      <formula>NOT(ISERROR(SEARCH("PETICION DE BAJA SIN RETIRO",Q265)))</formula>
    </cfRule>
    <cfRule type="containsText" dxfId="1602" priority="1965" operator="containsText" text="PETICION DE BAJA SIN RETIRO ">
      <formula>NOT(ISERROR(SEARCH("PETICION DE BAJA SIN RETIRO ",Q265)))</formula>
    </cfRule>
  </conditionalFormatting>
  <conditionalFormatting sqref="Q266">
    <cfRule type="containsText" dxfId="1601" priority="1960" operator="containsText" text="PETICION DE BAJA SIN RETIRO">
      <formula>NOT(ISERROR(SEARCH("PETICION DE BAJA SIN RETIRO",Q266)))</formula>
    </cfRule>
    <cfRule type="containsText" dxfId="1600" priority="1961" operator="containsText" text="PETICION DE BAJA SIN RETIRO ">
      <formula>NOT(ISERROR(SEARCH("PETICION DE BAJA SIN RETIRO ",Q266)))</formula>
    </cfRule>
  </conditionalFormatting>
  <conditionalFormatting sqref="Q266:Q273">
    <cfRule type="containsText" dxfId="1599" priority="1962" operator="containsText" text="BAJA NO ESTABA EN ">
      <formula>NOT(ISERROR(SEARCH("BAJA NO ESTABA EN ",Q266)))</formula>
    </cfRule>
    <cfRule type="containsText" dxfId="1598" priority="1963" operator="containsText" text="BAJA NO ESTABA EN EL LISTADO">
      <formula>NOT(ISERROR(SEARCH("BAJA NO ESTABA EN EL LISTADO",Q266)))</formula>
    </cfRule>
  </conditionalFormatting>
  <conditionalFormatting sqref="Q274">
    <cfRule type="containsText" dxfId="1597" priority="1950" operator="containsText" text="PETICION DE BAJA SIN RETIRO ">
      <formula>NOT(ISERROR(SEARCH("PETICION DE BAJA SIN RETIRO ",Q274)))</formula>
    </cfRule>
    <cfRule type="containsText" dxfId="1596" priority="1949" operator="containsText" text="PETICION DE BAJA SIN RETIRO">
      <formula>NOT(ISERROR(SEARCH("PETICION DE BAJA SIN RETIRO",Q274)))</formula>
    </cfRule>
  </conditionalFormatting>
  <conditionalFormatting sqref="Q274:Q282">
    <cfRule type="containsText" dxfId="1595" priority="1952" operator="containsText" text="BAJA NO ESTABA EN EL LISTADO">
      <formula>NOT(ISERROR(SEARCH("BAJA NO ESTABA EN EL LISTADO",Q274)))</formula>
    </cfRule>
    <cfRule type="containsText" dxfId="1594" priority="1951" operator="containsText" text="BAJA NO ESTABA EN ">
      <formula>NOT(ISERROR(SEARCH("BAJA NO ESTABA EN ",Q274)))</formula>
    </cfRule>
    <cfRule type="containsText" dxfId="1593" priority="1953" operator="containsText" text="PETICION DE BAJA SIN RETIRO">
      <formula>NOT(ISERROR(SEARCH("PETICION DE BAJA SIN RETIRO",Q274)))</formula>
    </cfRule>
    <cfRule type="containsText" dxfId="1592" priority="1954" operator="containsText" text="PETICION DE BAJA SIN RETIRO ">
      <formula>NOT(ISERROR(SEARCH("PETICION DE BAJA SIN RETIRO ",Q274)))</formula>
    </cfRule>
  </conditionalFormatting>
  <conditionalFormatting sqref="Q283">
    <cfRule type="containsText" dxfId="1591" priority="1930" operator="containsText" text="PETICION DE BAJA SIN RETIRO">
      <formula>NOT(ISERROR(SEARCH("PETICION DE BAJA SIN RETIRO",Q283)))</formula>
    </cfRule>
    <cfRule type="containsText" dxfId="1590" priority="1931" operator="containsText" text="PETICION DE BAJA SIN RETIRO ">
      <formula>NOT(ISERROR(SEARCH("PETICION DE BAJA SIN RETIRO ",Q283)))</formula>
    </cfRule>
  </conditionalFormatting>
  <conditionalFormatting sqref="Q283:Q289">
    <cfRule type="containsText" dxfId="1589" priority="1932" operator="containsText" text="BAJA NO ESTABA EN ">
      <formula>NOT(ISERROR(SEARCH("BAJA NO ESTABA EN ",Q283)))</formula>
    </cfRule>
    <cfRule type="containsText" dxfId="1588" priority="1934" operator="containsText" text="PETICION DE BAJA SIN RETIRO">
      <formula>NOT(ISERROR(SEARCH("PETICION DE BAJA SIN RETIRO",Q283)))</formula>
    </cfRule>
    <cfRule type="containsText" dxfId="1587" priority="1935" operator="containsText" text="PETICION DE BAJA SIN RETIRO ">
      <formula>NOT(ISERROR(SEARCH("PETICION DE BAJA SIN RETIRO ",Q283)))</formula>
    </cfRule>
    <cfRule type="containsText" dxfId="1586" priority="1933" operator="containsText" text="BAJA NO ESTABA EN EL LISTADO">
      <formula>NOT(ISERROR(SEARCH("BAJA NO ESTABA EN EL LISTADO",Q283)))</formula>
    </cfRule>
  </conditionalFormatting>
  <conditionalFormatting sqref="Q290">
    <cfRule type="containsText" dxfId="1585" priority="1925" operator="containsText" text="BAJA NO ESTABA EN ">
      <formula>NOT(ISERROR(SEARCH("BAJA NO ESTABA EN ",Q290)))</formula>
    </cfRule>
    <cfRule type="containsText" dxfId="1584" priority="1928" operator="containsText" text="PETICION DE BAJA SIN RETIRO ">
      <formula>NOT(ISERROR(SEARCH("PETICION DE BAJA SIN RETIRO ",Q290)))</formula>
    </cfRule>
    <cfRule type="containsText" dxfId="1583" priority="1927" operator="containsText" text="PETICION DE BAJA SIN RETIRO">
      <formula>NOT(ISERROR(SEARCH("PETICION DE BAJA SIN RETIRO",Q290)))</formula>
    </cfRule>
    <cfRule type="containsText" dxfId="1582" priority="1926" operator="containsText" text="BAJA NO ESTABA EN EL LISTADO">
      <formula>NOT(ISERROR(SEARCH("BAJA NO ESTABA EN EL LISTADO",Q290)))</formula>
    </cfRule>
  </conditionalFormatting>
  <conditionalFormatting sqref="Q290:Q291">
    <cfRule type="containsText" dxfId="1581" priority="1917" operator="containsText" text="PETICION DE BAJA SIN RETIRO ">
      <formula>NOT(ISERROR(SEARCH("PETICION DE BAJA SIN RETIRO ",Q290)))</formula>
    </cfRule>
    <cfRule type="containsText" dxfId="1580" priority="1916" operator="containsText" text="PETICION DE BAJA SIN RETIRO">
      <formula>NOT(ISERROR(SEARCH("PETICION DE BAJA SIN RETIRO",Q290)))</formula>
    </cfRule>
  </conditionalFormatting>
  <conditionalFormatting sqref="Q291">
    <cfRule type="containsText" dxfId="1579" priority="1915" operator="containsText" text="BAJA NO ESTABA EN EL LISTADO">
      <formula>NOT(ISERROR(SEARCH("BAJA NO ESTABA EN EL LISTADO",Q291)))</formula>
    </cfRule>
    <cfRule type="containsText" dxfId="1578" priority="1914" operator="containsText" text="BAJA NO ESTABA EN ">
      <formula>NOT(ISERROR(SEARCH("BAJA NO ESTABA EN ",Q291)))</formula>
    </cfRule>
  </conditionalFormatting>
  <conditionalFormatting sqref="Q291:Q301">
    <cfRule type="containsText" dxfId="1577" priority="1905" operator="containsText" text="PETICION DE BAJA SIN RETIRO">
      <formula>NOT(ISERROR(SEARCH("PETICION DE BAJA SIN RETIRO",Q291)))</formula>
    </cfRule>
    <cfRule type="containsText" dxfId="1576" priority="1906" operator="containsText" text="PETICION DE BAJA SIN RETIRO ">
      <formula>NOT(ISERROR(SEARCH("PETICION DE BAJA SIN RETIRO ",Q291)))</formula>
    </cfRule>
  </conditionalFormatting>
  <conditionalFormatting sqref="Q292">
    <cfRule type="containsText" dxfId="1575" priority="1901" operator="containsText" text="PETICION DE BAJA SIN RETIRO">
      <formula>NOT(ISERROR(SEARCH("PETICION DE BAJA SIN RETIRO",Q292)))</formula>
    </cfRule>
    <cfRule type="containsText" dxfId="1574" priority="1902" operator="containsText" text="PETICION DE BAJA SIN RETIRO ">
      <formula>NOT(ISERROR(SEARCH("PETICION DE BAJA SIN RETIRO ",Q292)))</formula>
    </cfRule>
  </conditionalFormatting>
  <conditionalFormatting sqref="Q292:Q301">
    <cfRule type="containsText" dxfId="1573" priority="1904" operator="containsText" text="BAJA NO ESTABA EN EL LISTADO">
      <formula>NOT(ISERROR(SEARCH("BAJA NO ESTABA EN EL LISTADO",Q292)))</formula>
    </cfRule>
    <cfRule type="containsText" dxfId="1572" priority="1903" operator="containsText" text="BAJA NO ESTABA EN ">
      <formula>NOT(ISERROR(SEARCH("BAJA NO ESTABA EN ",Q292)))</formula>
    </cfRule>
  </conditionalFormatting>
  <conditionalFormatting sqref="Q302:Q303">
    <cfRule type="containsText" dxfId="1571" priority="1882" operator="containsText" text="PETICION DE BAJA SIN RETIRO ">
      <formula>NOT(ISERROR(SEARCH("PETICION DE BAJA SIN RETIRO ",Q302)))</formula>
    </cfRule>
    <cfRule type="containsText" dxfId="1570" priority="1881" operator="containsText" text="PETICION DE BAJA SIN RETIRO">
      <formula>NOT(ISERROR(SEARCH("PETICION DE BAJA SIN RETIRO",Q302)))</formula>
    </cfRule>
  </conditionalFormatting>
  <conditionalFormatting sqref="Q302:Q304">
    <cfRule type="containsText" dxfId="1569" priority="1892" operator="containsText" text="BAJA NO ESTABA EN ">
      <formula>NOT(ISERROR(SEARCH("BAJA NO ESTABA EN ",Q302)))</formula>
    </cfRule>
    <cfRule type="containsText" dxfId="1568" priority="1895" operator="containsText" text="PETICION DE BAJA SIN RETIRO ">
      <formula>NOT(ISERROR(SEARCH("PETICION DE BAJA SIN RETIRO ",Q302)))</formula>
    </cfRule>
    <cfRule type="containsText" dxfId="1567" priority="1894" operator="containsText" text="PETICION DE BAJA SIN RETIRO">
      <formula>NOT(ISERROR(SEARCH("PETICION DE BAJA SIN RETIRO",Q302)))</formula>
    </cfRule>
    <cfRule type="containsText" dxfId="1566" priority="1893" operator="containsText" text="BAJA NO ESTABA EN EL LISTADO">
      <formula>NOT(ISERROR(SEARCH("BAJA NO ESTABA EN EL LISTADO",Q302)))</formula>
    </cfRule>
  </conditionalFormatting>
  <conditionalFormatting sqref="Q305">
    <cfRule type="containsText" dxfId="1565" priority="1871" operator="containsText" text="PETICION DE BAJA SIN RETIRO ">
      <formula>NOT(ISERROR(SEARCH("PETICION DE BAJA SIN RETIRO ",Q305)))</formula>
    </cfRule>
    <cfRule type="containsText" dxfId="1564" priority="1870" operator="containsText" text="PETICION DE BAJA SIN RETIRO">
      <formula>NOT(ISERROR(SEARCH("PETICION DE BAJA SIN RETIRO",Q305)))</formula>
    </cfRule>
  </conditionalFormatting>
  <conditionalFormatting sqref="Q305:Q311">
    <cfRule type="containsText" dxfId="1563" priority="1873" operator="containsText" text="BAJA NO ESTABA EN EL LISTADO">
      <formula>NOT(ISERROR(SEARCH("BAJA NO ESTABA EN EL LISTADO",Q305)))</formula>
    </cfRule>
    <cfRule type="containsText" dxfId="1562" priority="1874" operator="containsText" text="PETICION DE BAJA SIN RETIRO">
      <formula>NOT(ISERROR(SEARCH("PETICION DE BAJA SIN RETIRO",Q305)))</formula>
    </cfRule>
    <cfRule type="containsText" dxfId="1561" priority="1875" operator="containsText" text="PETICION DE BAJA SIN RETIRO ">
      <formula>NOT(ISERROR(SEARCH("PETICION DE BAJA SIN RETIRO ",Q305)))</formula>
    </cfRule>
    <cfRule type="containsText" dxfId="1560" priority="1872" operator="containsText" text="BAJA NO ESTABA EN ">
      <formula>NOT(ISERROR(SEARCH("BAJA NO ESTABA EN ",Q305)))</formula>
    </cfRule>
  </conditionalFormatting>
  <conditionalFormatting sqref="Q312:Q313">
    <cfRule type="containsText" dxfId="1559" priority="1850" operator="containsText" text="PETICION DE BAJA SIN RETIRO">
      <formula>NOT(ISERROR(SEARCH("PETICION DE BAJA SIN RETIRO",Q312)))</formula>
    </cfRule>
    <cfRule type="containsText" dxfId="1558" priority="1851" operator="containsText" text="PETICION DE BAJA SIN RETIRO ">
      <formula>NOT(ISERROR(SEARCH("PETICION DE BAJA SIN RETIRO ",Q312)))</formula>
    </cfRule>
  </conditionalFormatting>
  <conditionalFormatting sqref="Q312:Q322">
    <cfRule type="containsText" dxfId="1557" priority="1862" operator="containsText" text="BAJA NO ESTABA EN EL LISTADO">
      <formula>NOT(ISERROR(SEARCH("BAJA NO ESTABA EN EL LISTADO",Q312)))</formula>
    </cfRule>
    <cfRule type="containsText" dxfId="1556" priority="1863" operator="containsText" text="PETICION DE BAJA SIN RETIRO">
      <formula>NOT(ISERROR(SEARCH("PETICION DE BAJA SIN RETIRO",Q312)))</formula>
    </cfRule>
    <cfRule type="containsText" dxfId="1555" priority="1861" operator="containsText" text="BAJA NO ESTABA EN ">
      <formula>NOT(ISERROR(SEARCH("BAJA NO ESTABA EN ",Q312)))</formula>
    </cfRule>
    <cfRule type="containsText" dxfId="1554" priority="1864" operator="containsText" text="PETICION DE BAJA SIN RETIRO ">
      <formula>NOT(ISERROR(SEARCH("PETICION DE BAJA SIN RETIRO ",Q312)))</formula>
    </cfRule>
  </conditionalFormatting>
  <conditionalFormatting sqref="Q323">
    <cfRule type="containsText" dxfId="1553" priority="1840" operator="containsText" text="PETICION DE BAJA SIN RETIRO ">
      <formula>NOT(ISERROR(SEARCH("PETICION DE BAJA SIN RETIRO ",Q323)))</formula>
    </cfRule>
    <cfRule type="containsText" dxfId="1552" priority="1839" operator="containsText" text="PETICION DE BAJA SIN RETIRO">
      <formula>NOT(ISERROR(SEARCH("PETICION DE BAJA SIN RETIRO",Q323)))</formula>
    </cfRule>
  </conditionalFormatting>
  <conditionalFormatting sqref="Q323:Q329">
    <cfRule type="containsText" dxfId="1551" priority="1842" operator="containsText" text="BAJA NO ESTABA EN EL LISTADO">
      <formula>NOT(ISERROR(SEARCH("BAJA NO ESTABA EN EL LISTADO",Q323)))</formula>
    </cfRule>
    <cfRule type="containsText" dxfId="1550" priority="1843" operator="containsText" text="PETICION DE BAJA SIN RETIRO">
      <formula>NOT(ISERROR(SEARCH("PETICION DE BAJA SIN RETIRO",Q323)))</formula>
    </cfRule>
    <cfRule type="containsText" dxfId="1549" priority="1844" operator="containsText" text="PETICION DE BAJA SIN RETIRO ">
      <formula>NOT(ISERROR(SEARCH("PETICION DE BAJA SIN RETIRO ",Q323)))</formula>
    </cfRule>
    <cfRule type="containsText" dxfId="1548" priority="1841" operator="containsText" text="BAJA NO ESTABA EN ">
      <formula>NOT(ISERROR(SEARCH("BAJA NO ESTABA EN ",Q323)))</formula>
    </cfRule>
  </conditionalFormatting>
  <conditionalFormatting sqref="Q330">
    <cfRule type="containsText" dxfId="1547" priority="1828" operator="containsText" text="PETICION DE BAJA SIN RETIRO">
      <formula>NOT(ISERROR(SEARCH("PETICION DE BAJA SIN RETIRO",Q330)))</formula>
    </cfRule>
    <cfRule type="containsText" dxfId="1546" priority="1829" operator="containsText" text="PETICION DE BAJA SIN RETIRO ">
      <formula>NOT(ISERROR(SEARCH("PETICION DE BAJA SIN RETIRO ",Q330)))</formula>
    </cfRule>
  </conditionalFormatting>
  <conditionalFormatting sqref="Q330:Q332">
    <cfRule type="containsText" dxfId="1545" priority="1832" operator="containsText" text="PETICION DE BAJA SIN RETIRO">
      <formula>NOT(ISERROR(SEARCH("PETICION DE BAJA SIN RETIRO",Q330)))</formula>
    </cfRule>
    <cfRule type="containsText" dxfId="1544" priority="1830" operator="containsText" text="BAJA NO ESTABA EN ">
      <formula>NOT(ISERROR(SEARCH("BAJA NO ESTABA EN ",Q330)))</formula>
    </cfRule>
    <cfRule type="containsText" dxfId="1543" priority="1831" operator="containsText" text="BAJA NO ESTABA EN EL LISTADO">
      <formula>NOT(ISERROR(SEARCH("BAJA NO ESTABA EN EL LISTADO",Q330)))</formula>
    </cfRule>
    <cfRule type="containsText" dxfId="1542" priority="1833" operator="containsText" text="PETICION DE BAJA SIN RETIRO ">
      <formula>NOT(ISERROR(SEARCH("PETICION DE BAJA SIN RETIRO ",Q330)))</formula>
    </cfRule>
  </conditionalFormatting>
  <conditionalFormatting sqref="Q333">
    <cfRule type="containsText" dxfId="1541" priority="1818" operator="containsText" text="PETICION DE BAJA SIN RETIRO ">
      <formula>NOT(ISERROR(SEARCH("PETICION DE BAJA SIN RETIRO ",Q333)))</formula>
    </cfRule>
    <cfRule type="containsText" dxfId="1540" priority="1817" operator="containsText" text="PETICION DE BAJA SIN RETIRO">
      <formula>NOT(ISERROR(SEARCH("PETICION DE BAJA SIN RETIRO",Q333)))</formula>
    </cfRule>
  </conditionalFormatting>
  <conditionalFormatting sqref="Q333:Q334">
    <cfRule type="containsText" dxfId="1539" priority="1821" operator="containsText" text="PETICION DE BAJA SIN RETIRO">
      <formula>NOT(ISERROR(SEARCH("PETICION DE BAJA SIN RETIRO",Q333)))</formula>
    </cfRule>
    <cfRule type="containsText" dxfId="1538" priority="1822" operator="containsText" text="PETICION DE BAJA SIN RETIRO ">
      <formula>NOT(ISERROR(SEARCH("PETICION DE BAJA SIN RETIRO ",Q333)))</formula>
    </cfRule>
    <cfRule type="containsText" dxfId="1537" priority="1820" operator="containsText" text="BAJA NO ESTABA EN EL LISTADO">
      <formula>NOT(ISERROR(SEARCH("BAJA NO ESTABA EN EL LISTADO",Q333)))</formula>
    </cfRule>
    <cfRule type="containsText" dxfId="1536" priority="1819" operator="containsText" text="BAJA NO ESTABA EN ">
      <formula>NOT(ISERROR(SEARCH("BAJA NO ESTABA EN ",Q333)))</formula>
    </cfRule>
  </conditionalFormatting>
  <conditionalFormatting sqref="Q335">
    <cfRule type="containsText" dxfId="1535" priority="1806" operator="containsText" text="PETICION DE BAJA SIN RETIRO">
      <formula>NOT(ISERROR(SEARCH("PETICION DE BAJA SIN RETIRO",Q335)))</formula>
    </cfRule>
    <cfRule type="containsText" dxfId="1534" priority="1807" operator="containsText" text="PETICION DE BAJA SIN RETIRO ">
      <formula>NOT(ISERROR(SEARCH("PETICION DE BAJA SIN RETIRO ",Q335)))</formula>
    </cfRule>
  </conditionalFormatting>
  <conditionalFormatting sqref="Q335:Q336">
    <cfRule type="containsText" dxfId="1533" priority="1808" operator="containsText" text="BAJA NO ESTABA EN ">
      <formula>NOT(ISERROR(SEARCH("BAJA NO ESTABA EN ",Q335)))</formula>
    </cfRule>
    <cfRule type="containsText" dxfId="1532" priority="1810" operator="containsText" text="PETICION DE BAJA SIN RETIRO">
      <formula>NOT(ISERROR(SEARCH("PETICION DE BAJA SIN RETIRO",Q335)))</formula>
    </cfRule>
    <cfRule type="containsText" dxfId="1531" priority="1811" operator="containsText" text="PETICION DE BAJA SIN RETIRO ">
      <formula>NOT(ISERROR(SEARCH("PETICION DE BAJA SIN RETIRO ",Q335)))</formula>
    </cfRule>
    <cfRule type="containsText" dxfId="1530" priority="1809" operator="containsText" text="BAJA NO ESTABA EN EL LISTADO">
      <formula>NOT(ISERROR(SEARCH("BAJA NO ESTABA EN EL LISTADO",Q335)))</formula>
    </cfRule>
  </conditionalFormatting>
  <conditionalFormatting sqref="Q337">
    <cfRule type="containsText" dxfId="1529" priority="1796" operator="containsText" text="PETICION DE BAJA SIN RETIRO ">
      <formula>NOT(ISERROR(SEARCH("PETICION DE BAJA SIN RETIRO ",Q337)))</formula>
    </cfRule>
    <cfRule type="containsText" dxfId="1528" priority="1795" operator="containsText" text="PETICION DE BAJA SIN RETIRO">
      <formula>NOT(ISERROR(SEARCH("PETICION DE BAJA SIN RETIRO",Q337)))</formula>
    </cfRule>
  </conditionalFormatting>
  <conditionalFormatting sqref="Q337:Q345">
    <cfRule type="containsText" dxfId="1527" priority="1799" operator="containsText" text="PETICION DE BAJA SIN RETIRO">
      <formula>NOT(ISERROR(SEARCH("PETICION DE BAJA SIN RETIRO",Q337)))</formula>
    </cfRule>
    <cfRule type="containsText" dxfId="1526" priority="1798" operator="containsText" text="BAJA NO ESTABA EN EL LISTADO">
      <formula>NOT(ISERROR(SEARCH("BAJA NO ESTABA EN EL LISTADO",Q337)))</formula>
    </cfRule>
    <cfRule type="containsText" dxfId="1525" priority="1797" operator="containsText" text="BAJA NO ESTABA EN ">
      <formula>NOT(ISERROR(SEARCH("BAJA NO ESTABA EN ",Q337)))</formula>
    </cfRule>
    <cfRule type="containsText" dxfId="1524" priority="1800" operator="containsText" text="PETICION DE BAJA SIN RETIRO ">
      <formula>NOT(ISERROR(SEARCH("PETICION DE BAJA SIN RETIRO ",Q337)))</formula>
    </cfRule>
  </conditionalFormatting>
  <conditionalFormatting sqref="Q340">
    <cfRule type="containsText" dxfId="1523" priority="1786" operator="containsText" text="PETICION DE BAJA SIN RETIRO">
      <formula>NOT(ISERROR(SEARCH("PETICION DE BAJA SIN RETIRO",Q340)))</formula>
    </cfRule>
    <cfRule type="containsText" dxfId="1522" priority="1787" operator="containsText" text="PETICION DE BAJA SIN RETIRO ">
      <formula>NOT(ISERROR(SEARCH("PETICION DE BAJA SIN RETIRO ",Q340)))</formula>
    </cfRule>
  </conditionalFormatting>
  <conditionalFormatting sqref="Q346">
    <cfRule type="containsText" dxfId="1521" priority="1776" operator="containsText" text="PETICION DE BAJA SIN RETIRO ">
      <formula>NOT(ISERROR(SEARCH("PETICION DE BAJA SIN RETIRO ",Q346)))</formula>
    </cfRule>
    <cfRule type="containsText" dxfId="1520" priority="1775" operator="containsText" text="PETICION DE BAJA SIN RETIRO">
      <formula>NOT(ISERROR(SEARCH("PETICION DE BAJA SIN RETIRO",Q346)))</formula>
    </cfRule>
  </conditionalFormatting>
  <conditionalFormatting sqref="Q346:Q349">
    <cfRule type="containsText" dxfId="1519" priority="1780" operator="containsText" text="PETICION DE BAJA SIN RETIRO ">
      <formula>NOT(ISERROR(SEARCH("PETICION DE BAJA SIN RETIRO ",Q346)))</formula>
    </cfRule>
    <cfRule type="containsText" dxfId="1518" priority="1778" operator="containsText" text="BAJA NO ESTABA EN EL LISTADO">
      <formula>NOT(ISERROR(SEARCH("BAJA NO ESTABA EN EL LISTADO",Q346)))</formula>
    </cfRule>
    <cfRule type="containsText" dxfId="1517" priority="1779" operator="containsText" text="PETICION DE BAJA SIN RETIRO">
      <formula>NOT(ISERROR(SEARCH("PETICION DE BAJA SIN RETIRO",Q346)))</formula>
    </cfRule>
    <cfRule type="containsText" dxfId="1516" priority="1777" operator="containsText" text="BAJA NO ESTABA EN ">
      <formula>NOT(ISERROR(SEARCH("BAJA NO ESTABA EN ",Q346)))</formula>
    </cfRule>
  </conditionalFormatting>
  <conditionalFormatting sqref="Q350">
    <cfRule type="containsText" dxfId="1515" priority="1764" operator="containsText" text="PETICION DE BAJA SIN RETIRO">
      <formula>NOT(ISERROR(SEARCH("PETICION DE BAJA SIN RETIRO",Q350)))</formula>
    </cfRule>
    <cfRule type="containsText" dxfId="1514" priority="1765" operator="containsText" text="PETICION DE BAJA SIN RETIRO ">
      <formula>NOT(ISERROR(SEARCH("PETICION DE BAJA SIN RETIRO ",Q350)))</formula>
    </cfRule>
  </conditionalFormatting>
  <conditionalFormatting sqref="Q350:Q352">
    <cfRule type="containsText" dxfId="1513" priority="1769" operator="containsText" text="PETICION DE BAJA SIN RETIRO ">
      <formula>NOT(ISERROR(SEARCH("PETICION DE BAJA SIN RETIRO ",Q350)))</formula>
    </cfRule>
    <cfRule type="containsText" dxfId="1512" priority="1768" operator="containsText" text="PETICION DE BAJA SIN RETIRO">
      <formula>NOT(ISERROR(SEARCH("PETICION DE BAJA SIN RETIRO",Q350)))</formula>
    </cfRule>
    <cfRule type="containsText" dxfId="1511" priority="1767" operator="containsText" text="BAJA NO ESTABA EN EL LISTADO">
      <formula>NOT(ISERROR(SEARCH("BAJA NO ESTABA EN EL LISTADO",Q350)))</formula>
    </cfRule>
    <cfRule type="containsText" dxfId="1510" priority="1766" operator="containsText" text="BAJA NO ESTABA EN ">
      <formula>NOT(ISERROR(SEARCH("BAJA NO ESTABA EN ",Q350)))</formula>
    </cfRule>
  </conditionalFormatting>
  <conditionalFormatting sqref="Q353">
    <cfRule type="containsText" dxfId="1509" priority="1754" operator="containsText" text="PETICION DE BAJA SIN RETIRO ">
      <formula>NOT(ISERROR(SEARCH("PETICION DE BAJA SIN RETIRO ",Q353)))</formula>
    </cfRule>
    <cfRule type="containsText" dxfId="1508" priority="1753" operator="containsText" text="PETICION DE BAJA SIN RETIRO">
      <formula>NOT(ISERROR(SEARCH("PETICION DE BAJA SIN RETIRO",Q353)))</formula>
    </cfRule>
  </conditionalFormatting>
  <conditionalFormatting sqref="Q353:Q366">
    <cfRule type="containsText" dxfId="1507" priority="1758" operator="containsText" text="PETICION DE BAJA SIN RETIRO ">
      <formula>NOT(ISERROR(SEARCH("PETICION DE BAJA SIN RETIRO ",Q353)))</formula>
    </cfRule>
    <cfRule type="containsText" dxfId="1506" priority="1757" operator="containsText" text="PETICION DE BAJA SIN RETIRO">
      <formula>NOT(ISERROR(SEARCH("PETICION DE BAJA SIN RETIRO",Q353)))</formula>
    </cfRule>
    <cfRule type="containsText" dxfId="1505" priority="1756" operator="containsText" text="BAJA NO ESTABA EN EL LISTADO">
      <formula>NOT(ISERROR(SEARCH("BAJA NO ESTABA EN EL LISTADO",Q353)))</formula>
    </cfRule>
    <cfRule type="containsText" dxfId="1504" priority="1755" operator="containsText" text="BAJA NO ESTABA EN ">
      <formula>NOT(ISERROR(SEARCH("BAJA NO ESTABA EN ",Q353)))</formula>
    </cfRule>
  </conditionalFormatting>
  <conditionalFormatting sqref="Q358">
    <cfRule type="containsText" dxfId="1503" priority="1745" operator="containsText" text="PETICION DE BAJA SIN RETIRO">
      <formula>NOT(ISERROR(SEARCH("PETICION DE BAJA SIN RETIRO",Q358)))</formula>
    </cfRule>
    <cfRule type="containsText" dxfId="1502" priority="1746" operator="containsText" text="PETICION DE BAJA SIN RETIRO ">
      <formula>NOT(ISERROR(SEARCH("PETICION DE BAJA SIN RETIRO ",Q358)))</formula>
    </cfRule>
  </conditionalFormatting>
  <conditionalFormatting sqref="Q366:Q378">
    <cfRule type="containsText" dxfId="1501" priority="1724" operator="containsText" text="PETICION DE BAJA SIN RETIRO">
      <formula>NOT(ISERROR(SEARCH("PETICION DE BAJA SIN RETIRO",Q366)))</formula>
    </cfRule>
    <cfRule type="containsText" dxfId="1500" priority="1725" operator="containsText" text="PETICION DE BAJA SIN RETIRO ">
      <formula>NOT(ISERROR(SEARCH("PETICION DE BAJA SIN RETIRO ",Q366)))</formula>
    </cfRule>
  </conditionalFormatting>
  <conditionalFormatting sqref="Q367:Q368">
    <cfRule type="containsText" dxfId="1499" priority="1711" operator="containsText" text="PETICION DE BAJA SIN RETIRO">
      <formula>NOT(ISERROR(SEARCH("PETICION DE BAJA SIN RETIRO",Q367)))</formula>
    </cfRule>
    <cfRule type="containsText" dxfId="1498" priority="1712" operator="containsText" text="PETICION DE BAJA SIN RETIRO ">
      <formula>NOT(ISERROR(SEARCH("PETICION DE BAJA SIN RETIRO ",Q367)))</formula>
    </cfRule>
  </conditionalFormatting>
  <conditionalFormatting sqref="Q367:Q403">
    <cfRule type="containsText" dxfId="1497" priority="1722" operator="containsText" text="BAJA NO ESTABA EN ">
      <formula>NOT(ISERROR(SEARCH("BAJA NO ESTABA EN ",Q367)))</formula>
    </cfRule>
    <cfRule type="containsText" dxfId="1496" priority="1723" operator="containsText" text="BAJA NO ESTABA EN EL LISTADO">
      <formula>NOT(ISERROR(SEARCH("BAJA NO ESTABA EN EL LISTADO",Q367)))</formula>
    </cfRule>
  </conditionalFormatting>
  <conditionalFormatting sqref="Q373">
    <cfRule type="containsText" dxfId="1495" priority="1702" operator="containsText" text="PETICION DE BAJA SIN RETIRO">
      <formula>NOT(ISERROR(SEARCH("PETICION DE BAJA SIN RETIRO",Q373)))</formula>
    </cfRule>
    <cfRule type="containsText" dxfId="1494" priority="1703" operator="containsText" text="PETICION DE BAJA SIN RETIRO ">
      <formula>NOT(ISERROR(SEARCH("PETICION DE BAJA SIN RETIRO ",Q373)))</formula>
    </cfRule>
  </conditionalFormatting>
  <conditionalFormatting sqref="Q375:Q376">
    <cfRule type="containsText" dxfId="1493" priority="1686" operator="containsText" text="PETICION DE BAJA SIN RETIRO ">
      <formula>NOT(ISERROR(SEARCH("PETICION DE BAJA SIN RETIRO ",Q375)))</formula>
    </cfRule>
    <cfRule type="containsText" dxfId="1492" priority="1685" operator="containsText" text="PETICION DE BAJA SIN RETIRO">
      <formula>NOT(ISERROR(SEARCH("PETICION DE BAJA SIN RETIRO",Q375)))</formula>
    </cfRule>
  </conditionalFormatting>
  <conditionalFormatting sqref="Q378">
    <cfRule type="containsText" dxfId="1491" priority="1678" operator="containsText" text="PETICION DE BAJA SIN RETIRO ">
      <formula>NOT(ISERROR(SEARCH("PETICION DE BAJA SIN RETIRO ",Q378)))</formula>
    </cfRule>
    <cfRule type="containsText" dxfId="1490" priority="1677" operator="containsText" text="PETICION DE BAJA SIN RETIRO">
      <formula>NOT(ISERROR(SEARCH("PETICION DE BAJA SIN RETIRO",Q378)))</formula>
    </cfRule>
  </conditionalFormatting>
  <conditionalFormatting sqref="Q380:Q403">
    <cfRule type="containsText" dxfId="1489" priority="3500" operator="containsText" text="PETICION DE BAJA SIN RETIRO ">
      <formula>NOT(ISERROR(SEARCH("PETICION DE BAJA SIN RETIRO ",Q380)))</formula>
    </cfRule>
    <cfRule type="containsText" dxfId="1488" priority="3499" operator="containsText" text="PETICION DE BAJA SIN RETIRO">
      <formula>NOT(ISERROR(SEARCH("PETICION DE BAJA SIN RETIRO",Q380)))</formula>
    </cfRule>
  </conditionalFormatting>
  <conditionalFormatting sqref="Q385">
    <cfRule type="containsText" dxfId="1487" priority="1669" operator="containsText" text="PETICION DE BAJA SIN RETIRO ">
      <formula>NOT(ISERROR(SEARCH("PETICION DE BAJA SIN RETIRO ",Q385)))</formula>
    </cfRule>
    <cfRule type="containsText" dxfId="1486" priority="1668" operator="containsText" text="PETICION DE BAJA SIN RETIRO">
      <formula>NOT(ISERROR(SEARCH("PETICION DE BAJA SIN RETIRO",Q385)))</formula>
    </cfRule>
  </conditionalFormatting>
  <conditionalFormatting sqref="Q389">
    <cfRule type="containsText" dxfId="1485" priority="1659" operator="containsText" text="PETICION DE BAJA SIN RETIRO">
      <formula>NOT(ISERROR(SEARCH("PETICION DE BAJA SIN RETIRO",Q389)))</formula>
    </cfRule>
    <cfRule type="containsText" dxfId="1484" priority="1660" operator="containsText" text="PETICION DE BAJA SIN RETIRO ">
      <formula>NOT(ISERROR(SEARCH("PETICION DE BAJA SIN RETIRO ",Q389)))</formula>
    </cfRule>
  </conditionalFormatting>
  <conditionalFormatting sqref="Q392">
    <cfRule type="containsText" dxfId="1483" priority="1650" operator="containsText" text="PETICION DE BAJA SIN RETIRO">
      <formula>NOT(ISERROR(SEARCH("PETICION DE BAJA SIN RETIRO",Q392)))</formula>
    </cfRule>
    <cfRule type="containsText" dxfId="1482" priority="1651" operator="containsText" text="PETICION DE BAJA SIN RETIRO ">
      <formula>NOT(ISERROR(SEARCH("PETICION DE BAJA SIN RETIRO ",Q392)))</formula>
    </cfRule>
  </conditionalFormatting>
  <conditionalFormatting sqref="Q404">
    <cfRule type="containsText" dxfId="1481" priority="1639" operator="containsText" text="PETICION DE BAJA SIN RETIRO">
      <formula>NOT(ISERROR(SEARCH("PETICION DE BAJA SIN RETIRO",Q404)))</formula>
    </cfRule>
    <cfRule type="containsText" dxfId="1480" priority="1640" operator="containsText" text="PETICION DE BAJA SIN RETIRO ">
      <formula>NOT(ISERROR(SEARCH("PETICION DE BAJA SIN RETIRO ",Q404)))</formula>
    </cfRule>
  </conditionalFormatting>
  <conditionalFormatting sqref="Q404:Q412">
    <cfRule type="containsText" dxfId="1479" priority="1644" operator="containsText" text="PETICION DE BAJA SIN RETIRO ">
      <formula>NOT(ISERROR(SEARCH("PETICION DE BAJA SIN RETIRO ",Q404)))</formula>
    </cfRule>
    <cfRule type="containsText" dxfId="1478" priority="1641" operator="containsText" text="BAJA NO ESTABA EN ">
      <formula>NOT(ISERROR(SEARCH("BAJA NO ESTABA EN ",Q404)))</formula>
    </cfRule>
    <cfRule type="containsText" dxfId="1477" priority="1642" operator="containsText" text="BAJA NO ESTABA EN EL LISTADO">
      <formula>NOT(ISERROR(SEARCH("BAJA NO ESTABA EN EL LISTADO",Q404)))</formula>
    </cfRule>
    <cfRule type="containsText" dxfId="1476" priority="1643" operator="containsText" text="PETICION DE BAJA SIN RETIRO">
      <formula>NOT(ISERROR(SEARCH("PETICION DE BAJA SIN RETIRO",Q404)))</formula>
    </cfRule>
  </conditionalFormatting>
  <conditionalFormatting sqref="Q413">
    <cfRule type="containsText" dxfId="1475" priority="1628" operator="containsText" text="PETICION DE BAJA SIN RETIRO">
      <formula>NOT(ISERROR(SEARCH("PETICION DE BAJA SIN RETIRO",Q413)))</formula>
    </cfRule>
    <cfRule type="containsText" dxfId="1474" priority="1629" operator="containsText" text="PETICION DE BAJA SIN RETIRO ">
      <formula>NOT(ISERROR(SEARCH("PETICION DE BAJA SIN RETIRO ",Q413)))</formula>
    </cfRule>
  </conditionalFormatting>
  <conditionalFormatting sqref="Q413:Q428">
    <cfRule type="containsText" dxfId="1473" priority="1632" operator="containsText" text="PETICION DE BAJA SIN RETIRO">
      <formula>NOT(ISERROR(SEARCH("PETICION DE BAJA SIN RETIRO",Q413)))</formula>
    </cfRule>
    <cfRule type="containsText" dxfId="1472" priority="1631" operator="containsText" text="BAJA NO ESTABA EN EL LISTADO">
      <formula>NOT(ISERROR(SEARCH("BAJA NO ESTABA EN EL LISTADO",Q413)))</formula>
    </cfRule>
    <cfRule type="containsText" dxfId="1471" priority="1630" operator="containsText" text="BAJA NO ESTABA EN ">
      <formula>NOT(ISERROR(SEARCH("BAJA NO ESTABA EN ",Q413)))</formula>
    </cfRule>
    <cfRule type="containsText" dxfId="1470" priority="1633" operator="containsText" text="PETICION DE BAJA SIN RETIRO ">
      <formula>NOT(ISERROR(SEARCH("PETICION DE BAJA SIN RETIRO ",Q413)))</formula>
    </cfRule>
  </conditionalFormatting>
  <conditionalFormatting sqref="Q427:Q431">
    <cfRule type="containsText" dxfId="1469" priority="1604" operator="containsText" text="PETICION DE BAJA SIN RETIRO">
      <formula>NOT(ISERROR(SEARCH("PETICION DE BAJA SIN RETIRO",Q427)))</formula>
    </cfRule>
    <cfRule type="containsText" dxfId="1468" priority="1605" operator="containsText" text="PETICION DE BAJA SIN RETIRO ">
      <formula>NOT(ISERROR(SEARCH("PETICION DE BAJA SIN RETIRO ",Q427)))</formula>
    </cfRule>
  </conditionalFormatting>
  <conditionalFormatting sqref="Q429">
    <cfRule type="containsText" dxfId="1467" priority="1601" operator="containsText" text="PETICION DE BAJA SIN RETIRO ">
      <formula>NOT(ISERROR(SEARCH("PETICION DE BAJA SIN RETIRO ",Q429)))</formula>
    </cfRule>
    <cfRule type="containsText" dxfId="1466" priority="1600" operator="containsText" text="PETICION DE BAJA SIN RETIRO">
      <formula>NOT(ISERROR(SEARCH("PETICION DE BAJA SIN RETIRO",Q429)))</formula>
    </cfRule>
  </conditionalFormatting>
  <conditionalFormatting sqref="Q429:Q431">
    <cfRule type="containsText" dxfId="1465" priority="1602" operator="containsText" text="BAJA NO ESTABA EN ">
      <formula>NOT(ISERROR(SEARCH("BAJA NO ESTABA EN ",Q429)))</formula>
    </cfRule>
    <cfRule type="containsText" dxfId="1464" priority="1603" operator="containsText" text="BAJA NO ESTABA EN EL LISTADO">
      <formula>NOT(ISERROR(SEARCH("BAJA NO ESTABA EN EL LISTADO",Q429)))</formula>
    </cfRule>
  </conditionalFormatting>
  <conditionalFormatting sqref="Q432">
    <cfRule type="containsText" dxfId="1463" priority="1589" operator="containsText" text="PETICION DE BAJA SIN RETIRO">
      <formula>NOT(ISERROR(SEARCH("PETICION DE BAJA SIN RETIRO",Q432)))</formula>
    </cfRule>
    <cfRule type="containsText" dxfId="1462" priority="1590" operator="containsText" text="PETICION DE BAJA SIN RETIRO ">
      <formula>NOT(ISERROR(SEARCH("PETICION DE BAJA SIN RETIRO ",Q432)))</formula>
    </cfRule>
  </conditionalFormatting>
  <conditionalFormatting sqref="Q432:Q437">
    <cfRule type="containsText" dxfId="1461" priority="1591" operator="containsText" text="BAJA NO ESTABA EN ">
      <formula>NOT(ISERROR(SEARCH("BAJA NO ESTABA EN ",Q432)))</formula>
    </cfRule>
    <cfRule type="containsText" dxfId="1460" priority="1594" operator="containsText" text="PETICION DE BAJA SIN RETIRO ">
      <formula>NOT(ISERROR(SEARCH("PETICION DE BAJA SIN RETIRO ",Q432)))</formula>
    </cfRule>
    <cfRule type="containsText" dxfId="1459" priority="1593" operator="containsText" text="PETICION DE BAJA SIN RETIRO">
      <formula>NOT(ISERROR(SEARCH("PETICION DE BAJA SIN RETIRO",Q432)))</formula>
    </cfRule>
    <cfRule type="containsText" dxfId="1458" priority="1592" operator="containsText" text="BAJA NO ESTABA EN EL LISTADO">
      <formula>NOT(ISERROR(SEARCH("BAJA NO ESTABA EN EL LISTADO",Q432)))</formula>
    </cfRule>
  </conditionalFormatting>
  <conditionalFormatting sqref="Q436">
    <cfRule type="containsText" dxfId="1457" priority="1580" operator="containsText" text="PETICION DE BAJA SIN RETIRO">
      <formula>NOT(ISERROR(SEARCH("PETICION DE BAJA SIN RETIRO",Q436)))</formula>
    </cfRule>
    <cfRule type="containsText" dxfId="1456" priority="1581" operator="containsText" text="PETICION DE BAJA SIN RETIRO ">
      <formula>NOT(ISERROR(SEARCH("PETICION DE BAJA SIN RETIRO ",Q436)))</formula>
    </cfRule>
  </conditionalFormatting>
  <conditionalFormatting sqref="Q438">
    <cfRule type="containsText" dxfId="1455" priority="1570" operator="containsText" text="PETICION DE BAJA SIN RETIRO ">
      <formula>NOT(ISERROR(SEARCH("PETICION DE BAJA SIN RETIRO ",Q438)))</formula>
    </cfRule>
    <cfRule type="containsText" dxfId="1454" priority="1569" operator="containsText" text="PETICION DE BAJA SIN RETIRO">
      <formula>NOT(ISERROR(SEARCH("PETICION DE BAJA SIN RETIRO",Q438)))</formula>
    </cfRule>
  </conditionalFormatting>
  <conditionalFormatting sqref="Q438:Q444">
    <cfRule type="containsText" dxfId="1453" priority="1574" operator="containsText" text="PETICION DE BAJA SIN RETIRO ">
      <formula>NOT(ISERROR(SEARCH("PETICION DE BAJA SIN RETIRO ",Q438)))</formula>
    </cfRule>
    <cfRule type="containsText" dxfId="1452" priority="1571" operator="containsText" text="BAJA NO ESTABA EN ">
      <formula>NOT(ISERROR(SEARCH("BAJA NO ESTABA EN ",Q438)))</formula>
    </cfRule>
    <cfRule type="containsText" dxfId="1451" priority="1572" operator="containsText" text="BAJA NO ESTABA EN EL LISTADO">
      <formula>NOT(ISERROR(SEARCH("BAJA NO ESTABA EN EL LISTADO",Q438)))</formula>
    </cfRule>
    <cfRule type="containsText" dxfId="1450" priority="1573" operator="containsText" text="PETICION DE BAJA SIN RETIRO">
      <formula>NOT(ISERROR(SEARCH("PETICION DE BAJA SIN RETIRO",Q438)))</formula>
    </cfRule>
  </conditionalFormatting>
  <conditionalFormatting sqref="Q444:Q449">
    <cfRule type="containsText" dxfId="1449" priority="1555" operator="containsText" text="PETICION DE BAJA SIN RETIRO ">
      <formula>NOT(ISERROR(SEARCH("PETICION DE BAJA SIN RETIRO ",Q444)))</formula>
    </cfRule>
    <cfRule type="containsText" dxfId="1448" priority="1554" operator="containsText" text="PETICION DE BAJA SIN RETIRO">
      <formula>NOT(ISERROR(SEARCH("PETICION DE BAJA SIN RETIRO",Q444)))</formula>
    </cfRule>
  </conditionalFormatting>
  <conditionalFormatting sqref="Q445">
    <cfRule type="containsText" dxfId="1447" priority="1550" operator="containsText" text="PETICION DE BAJA SIN RETIRO">
      <formula>NOT(ISERROR(SEARCH("PETICION DE BAJA SIN RETIRO",Q445)))</formula>
    </cfRule>
    <cfRule type="containsText" dxfId="1446" priority="1551" operator="containsText" text="PETICION DE BAJA SIN RETIRO ">
      <formula>NOT(ISERROR(SEARCH("PETICION DE BAJA SIN RETIRO ",Q445)))</formula>
    </cfRule>
  </conditionalFormatting>
  <conditionalFormatting sqref="Q445:Q449">
    <cfRule type="containsText" dxfId="1445" priority="1553" operator="containsText" text="BAJA NO ESTABA EN EL LISTADO">
      <formula>NOT(ISERROR(SEARCH("BAJA NO ESTABA EN EL LISTADO",Q445)))</formula>
    </cfRule>
    <cfRule type="containsText" dxfId="1444" priority="1552" operator="containsText" text="BAJA NO ESTABA EN ">
      <formula>NOT(ISERROR(SEARCH("BAJA NO ESTABA EN ",Q445)))</formula>
    </cfRule>
  </conditionalFormatting>
  <conditionalFormatting sqref="Q450">
    <cfRule type="containsText" dxfId="1443" priority="1540" operator="containsText" text="PETICION DE BAJA SIN RETIRO">
      <formula>NOT(ISERROR(SEARCH("PETICION DE BAJA SIN RETIRO",Q450)))</formula>
    </cfRule>
    <cfRule type="containsText" dxfId="1442" priority="1541" operator="containsText" text="PETICION DE BAJA SIN RETIRO ">
      <formula>NOT(ISERROR(SEARCH("PETICION DE BAJA SIN RETIRO ",Q450)))</formula>
    </cfRule>
  </conditionalFormatting>
  <conditionalFormatting sqref="Q450:Q451">
    <cfRule type="containsText" dxfId="1441" priority="1544" operator="containsText" text="PETICION DE BAJA SIN RETIRO">
      <formula>NOT(ISERROR(SEARCH("PETICION DE BAJA SIN RETIRO",Q450)))</formula>
    </cfRule>
    <cfRule type="containsText" dxfId="1440" priority="1545" operator="containsText" text="PETICION DE BAJA SIN RETIRO ">
      <formula>NOT(ISERROR(SEARCH("PETICION DE BAJA SIN RETIRO ",Q450)))</formula>
    </cfRule>
    <cfRule type="containsText" dxfId="1439" priority="1543" operator="containsText" text="BAJA NO ESTABA EN EL LISTADO">
      <formula>NOT(ISERROR(SEARCH("BAJA NO ESTABA EN EL LISTADO",Q450)))</formula>
    </cfRule>
    <cfRule type="containsText" dxfId="1438" priority="1542" operator="containsText" text="BAJA NO ESTABA EN ">
      <formula>NOT(ISERROR(SEARCH("BAJA NO ESTABA EN ",Q450)))</formula>
    </cfRule>
  </conditionalFormatting>
  <conditionalFormatting sqref="Q452">
    <cfRule type="containsText" dxfId="1437" priority="1530" operator="containsText" text="PETICION DE BAJA SIN RETIRO ">
      <formula>NOT(ISERROR(SEARCH("PETICION DE BAJA SIN RETIRO ",Q452)))</formula>
    </cfRule>
    <cfRule type="containsText" dxfId="1436" priority="1529" operator="containsText" text="PETICION DE BAJA SIN RETIRO">
      <formula>NOT(ISERROR(SEARCH("PETICION DE BAJA SIN RETIRO",Q452)))</formula>
    </cfRule>
  </conditionalFormatting>
  <conditionalFormatting sqref="Q452:Q454 Q456:Q468">
    <cfRule type="containsText" dxfId="1435" priority="1534" operator="containsText" text="PETICION DE BAJA SIN RETIRO ">
      <formula>NOT(ISERROR(SEARCH("PETICION DE BAJA SIN RETIRO ",Q452)))</formula>
    </cfRule>
    <cfRule type="containsText" dxfId="1434" priority="1533" operator="containsText" text="PETICION DE BAJA SIN RETIRO">
      <formula>NOT(ISERROR(SEARCH("PETICION DE BAJA SIN RETIRO",Q452)))</formula>
    </cfRule>
    <cfRule type="containsText" dxfId="1433" priority="1532" operator="containsText" text="BAJA NO ESTABA EN EL LISTADO">
      <formula>NOT(ISERROR(SEARCH("BAJA NO ESTABA EN EL LISTADO",Q452)))</formula>
    </cfRule>
    <cfRule type="containsText" dxfId="1432" priority="1531" operator="containsText" text="BAJA NO ESTABA EN ">
      <formula>NOT(ISERROR(SEARCH("BAJA NO ESTABA EN ",Q452)))</formula>
    </cfRule>
  </conditionalFormatting>
  <conditionalFormatting sqref="Q454:Q455">
    <cfRule type="containsText" dxfId="1431" priority="657" operator="containsText" text="PETICION DE BAJA SIN RETIRO">
      <formula>NOT(ISERROR(SEARCH("PETICION DE BAJA SIN RETIRO",Q454)))</formula>
    </cfRule>
    <cfRule type="containsText" dxfId="1430" priority="658" operator="containsText" text="PETICION DE BAJA SIN RETIRO ">
      <formula>NOT(ISERROR(SEARCH("PETICION DE BAJA SIN RETIRO ",Q454)))</formula>
    </cfRule>
  </conditionalFormatting>
  <conditionalFormatting sqref="Q455">
    <cfRule type="containsText" dxfId="1429" priority="656" operator="containsText" text="BAJA NO ESTABA EN EL LISTADO">
      <formula>NOT(ISERROR(SEARCH("BAJA NO ESTABA EN EL LISTADO",Q455)))</formula>
    </cfRule>
    <cfRule type="containsText" dxfId="1428" priority="655" operator="containsText" text="BAJA NO ESTABA EN ">
      <formula>NOT(ISERROR(SEARCH("BAJA NO ESTABA EN ",Q455)))</formula>
    </cfRule>
  </conditionalFormatting>
  <conditionalFormatting sqref="Q463">
    <cfRule type="containsText" dxfId="1427" priority="1512" operator="containsText" text="PETICION DE BAJA SIN RETIRO ">
      <formula>NOT(ISERROR(SEARCH("PETICION DE BAJA SIN RETIRO ",Q463)))</formula>
    </cfRule>
    <cfRule type="containsText" dxfId="1426" priority="1511" operator="containsText" text="PETICION DE BAJA SIN RETIRO">
      <formula>NOT(ISERROR(SEARCH("PETICION DE BAJA SIN RETIRO",Q463)))</formula>
    </cfRule>
  </conditionalFormatting>
  <conditionalFormatting sqref="Q468:Q484">
    <cfRule type="containsText" dxfId="1425" priority="1497" operator="containsText" text="PETICION DE BAJA SIN RETIRO ">
      <formula>NOT(ISERROR(SEARCH("PETICION DE BAJA SIN RETIRO ",Q468)))</formula>
    </cfRule>
    <cfRule type="containsText" dxfId="1424" priority="1496" operator="containsText" text="PETICION DE BAJA SIN RETIRO">
      <formula>NOT(ISERROR(SEARCH("PETICION DE BAJA SIN RETIRO",Q468)))</formula>
    </cfRule>
  </conditionalFormatting>
  <conditionalFormatting sqref="Q469">
    <cfRule type="containsText" dxfId="1423" priority="1493" operator="containsText" text="PETICION DE BAJA SIN RETIRO ">
      <formula>NOT(ISERROR(SEARCH("PETICION DE BAJA SIN RETIRO ",Q469)))</formula>
    </cfRule>
    <cfRule type="containsText" dxfId="1422" priority="1492" operator="containsText" text="PETICION DE BAJA SIN RETIRO">
      <formula>NOT(ISERROR(SEARCH("PETICION DE BAJA SIN RETIRO",Q469)))</formula>
    </cfRule>
  </conditionalFormatting>
  <conditionalFormatting sqref="Q469:Q484">
    <cfRule type="containsText" dxfId="1421" priority="1495" operator="containsText" text="BAJA NO ESTABA EN EL LISTADO">
      <formula>NOT(ISERROR(SEARCH("BAJA NO ESTABA EN EL LISTADO",Q469)))</formula>
    </cfRule>
    <cfRule type="containsText" dxfId="1420" priority="1494" operator="containsText" text="BAJA NO ESTABA EN ">
      <formula>NOT(ISERROR(SEARCH("BAJA NO ESTABA EN ",Q469)))</formula>
    </cfRule>
  </conditionalFormatting>
  <conditionalFormatting sqref="Q473">
    <cfRule type="containsText" dxfId="1419" priority="1485" operator="containsText" text="PETICION DE BAJA SIN RETIRO ">
      <formula>NOT(ISERROR(SEARCH("PETICION DE BAJA SIN RETIRO ",Q473)))</formula>
    </cfRule>
    <cfRule type="containsText" dxfId="1418" priority="1484" operator="containsText" text="PETICION DE BAJA SIN RETIRO">
      <formula>NOT(ISERROR(SEARCH("PETICION DE BAJA SIN RETIRO",Q473)))</formula>
    </cfRule>
  </conditionalFormatting>
  <conditionalFormatting sqref="Q484:Q487">
    <cfRule type="containsText" dxfId="1417" priority="1468" operator="containsText" text="PETICION DE BAJA SIN RETIRO">
      <formula>NOT(ISERROR(SEARCH("PETICION DE BAJA SIN RETIRO",Q484)))</formula>
    </cfRule>
    <cfRule type="containsText" dxfId="1416" priority="1469" operator="containsText" text="PETICION DE BAJA SIN RETIRO ">
      <formula>NOT(ISERROR(SEARCH("PETICION DE BAJA SIN RETIRO ",Q484)))</formula>
    </cfRule>
  </conditionalFormatting>
  <conditionalFormatting sqref="Q485">
    <cfRule type="containsText" dxfId="1415" priority="1464" operator="containsText" text="PETICION DE BAJA SIN RETIRO">
      <formula>NOT(ISERROR(SEARCH("PETICION DE BAJA SIN RETIRO",Q485)))</formula>
    </cfRule>
    <cfRule type="containsText" dxfId="1414" priority="1465" operator="containsText" text="PETICION DE BAJA SIN RETIRO ">
      <formula>NOT(ISERROR(SEARCH("PETICION DE BAJA SIN RETIRO ",Q485)))</formula>
    </cfRule>
  </conditionalFormatting>
  <conditionalFormatting sqref="Q485:Q487">
    <cfRule type="containsText" dxfId="1413" priority="1466" operator="containsText" text="BAJA NO ESTABA EN ">
      <formula>NOT(ISERROR(SEARCH("BAJA NO ESTABA EN ",Q485)))</formula>
    </cfRule>
    <cfRule type="containsText" dxfId="1412" priority="1467" operator="containsText" text="BAJA NO ESTABA EN EL LISTADO">
      <formula>NOT(ISERROR(SEARCH("BAJA NO ESTABA EN EL LISTADO",Q485)))</formula>
    </cfRule>
  </conditionalFormatting>
  <conditionalFormatting sqref="Q488">
    <cfRule type="containsText" dxfId="1411" priority="1411" operator="containsText" text="PETICION DE BAJA SIN RETIRO">
      <formula>NOT(ISERROR(SEARCH("PETICION DE BAJA SIN RETIRO",Q488)))</formula>
    </cfRule>
    <cfRule type="containsText" dxfId="1410" priority="1412" operator="containsText" text="PETICION DE BAJA SIN RETIRO ">
      <formula>NOT(ISERROR(SEARCH("PETICION DE BAJA SIN RETIRO ",Q488)))</formula>
    </cfRule>
  </conditionalFormatting>
  <conditionalFormatting sqref="Q488:Q491">
    <cfRule type="containsText" dxfId="1409" priority="1416" operator="containsText" text="PETICION DE BAJA SIN RETIRO ">
      <formula>NOT(ISERROR(SEARCH("PETICION DE BAJA SIN RETIRO ",Q488)))</formula>
    </cfRule>
    <cfRule type="containsText" dxfId="1408" priority="1414" operator="containsText" text="BAJA NO ESTABA EN EL LISTADO">
      <formula>NOT(ISERROR(SEARCH("BAJA NO ESTABA EN EL LISTADO",Q488)))</formula>
    </cfRule>
    <cfRule type="containsText" dxfId="1407" priority="1413" operator="containsText" text="BAJA NO ESTABA EN ">
      <formula>NOT(ISERROR(SEARCH("BAJA NO ESTABA EN ",Q488)))</formula>
    </cfRule>
    <cfRule type="containsText" dxfId="1406" priority="1415" operator="containsText" text="PETICION DE BAJA SIN RETIRO">
      <formula>NOT(ISERROR(SEARCH("PETICION DE BAJA SIN RETIRO",Q488)))</formula>
    </cfRule>
  </conditionalFormatting>
  <conditionalFormatting sqref="Q492">
    <cfRule type="containsText" dxfId="1405" priority="1401" operator="containsText" text="PETICION DE BAJA SIN RETIRO ">
      <formula>NOT(ISERROR(SEARCH("PETICION DE BAJA SIN RETIRO ",Q492)))</formula>
    </cfRule>
    <cfRule type="containsText" dxfId="1404" priority="1400" operator="containsText" text="PETICION DE BAJA SIN RETIRO">
      <formula>NOT(ISERROR(SEARCH("PETICION DE BAJA SIN RETIRO",Q492)))</formula>
    </cfRule>
  </conditionalFormatting>
  <conditionalFormatting sqref="Q492:Q494">
    <cfRule type="containsText" dxfId="1403" priority="1402" operator="containsText" text="BAJA NO ESTABA EN ">
      <formula>NOT(ISERROR(SEARCH("BAJA NO ESTABA EN ",Q492)))</formula>
    </cfRule>
    <cfRule type="containsText" dxfId="1402" priority="1403" operator="containsText" text="BAJA NO ESTABA EN EL LISTADO">
      <formula>NOT(ISERROR(SEARCH("BAJA NO ESTABA EN EL LISTADO",Q492)))</formula>
    </cfRule>
    <cfRule type="containsText" dxfId="1401" priority="1404" operator="containsText" text="PETICION DE BAJA SIN RETIRO">
      <formula>NOT(ISERROR(SEARCH("PETICION DE BAJA SIN RETIRO",Q492)))</formula>
    </cfRule>
    <cfRule type="containsText" dxfId="1400" priority="1405" operator="containsText" text="PETICION DE BAJA SIN RETIRO ">
      <formula>NOT(ISERROR(SEARCH("PETICION DE BAJA SIN RETIRO ",Q492)))</formula>
    </cfRule>
  </conditionalFormatting>
  <conditionalFormatting sqref="Q495">
    <cfRule type="containsText" dxfId="1399" priority="1390" operator="containsText" text="PETICION DE BAJA SIN RETIRO ">
      <formula>NOT(ISERROR(SEARCH("PETICION DE BAJA SIN RETIRO ",Q495)))</formula>
    </cfRule>
    <cfRule type="containsText" dxfId="1398" priority="1389" operator="containsText" text="PETICION DE BAJA SIN RETIRO">
      <formula>NOT(ISERROR(SEARCH("PETICION DE BAJA SIN RETIRO",Q495)))</formula>
    </cfRule>
  </conditionalFormatting>
  <conditionalFormatting sqref="Q495:Q501">
    <cfRule type="containsText" dxfId="1397" priority="1394" operator="containsText" text="PETICION DE BAJA SIN RETIRO ">
      <formula>NOT(ISERROR(SEARCH("PETICION DE BAJA SIN RETIRO ",Q495)))</formula>
    </cfRule>
    <cfRule type="containsText" dxfId="1396" priority="1393" operator="containsText" text="PETICION DE BAJA SIN RETIRO">
      <formula>NOT(ISERROR(SEARCH("PETICION DE BAJA SIN RETIRO",Q495)))</formula>
    </cfRule>
    <cfRule type="containsText" dxfId="1395" priority="1392" operator="containsText" text="BAJA NO ESTABA EN EL LISTADO">
      <formula>NOT(ISERROR(SEARCH("BAJA NO ESTABA EN EL LISTADO",Q495)))</formula>
    </cfRule>
    <cfRule type="containsText" dxfId="1394" priority="1391" operator="containsText" text="BAJA NO ESTABA EN ">
      <formula>NOT(ISERROR(SEARCH("BAJA NO ESTABA EN ",Q495)))</formula>
    </cfRule>
  </conditionalFormatting>
  <conditionalFormatting sqref="Q501:Q504">
    <cfRule type="containsText" dxfId="1393" priority="1375" operator="containsText" text="PETICION DE BAJA SIN RETIRO">
      <formula>NOT(ISERROR(SEARCH("PETICION DE BAJA SIN RETIRO",Q501)))</formula>
    </cfRule>
    <cfRule type="containsText" dxfId="1392" priority="1376" operator="containsText" text="PETICION DE BAJA SIN RETIRO ">
      <formula>NOT(ISERROR(SEARCH("PETICION DE BAJA SIN RETIRO ",Q501)))</formula>
    </cfRule>
  </conditionalFormatting>
  <conditionalFormatting sqref="Q502">
    <cfRule type="containsText" dxfId="1391" priority="1372" operator="containsText" text="PETICION DE BAJA SIN RETIRO ">
      <formula>NOT(ISERROR(SEARCH("PETICION DE BAJA SIN RETIRO ",Q502)))</formula>
    </cfRule>
    <cfRule type="containsText" dxfId="1390" priority="1371" operator="containsText" text="PETICION DE BAJA SIN RETIRO">
      <formula>NOT(ISERROR(SEARCH("PETICION DE BAJA SIN RETIRO",Q502)))</formula>
    </cfRule>
  </conditionalFormatting>
  <conditionalFormatting sqref="Q502:Q504">
    <cfRule type="containsText" dxfId="1389" priority="1374" operator="containsText" text="BAJA NO ESTABA EN EL LISTADO">
      <formula>NOT(ISERROR(SEARCH("BAJA NO ESTABA EN EL LISTADO",Q502)))</formula>
    </cfRule>
    <cfRule type="containsText" dxfId="1388" priority="1373" operator="containsText" text="BAJA NO ESTABA EN ">
      <formula>NOT(ISERROR(SEARCH("BAJA NO ESTABA EN ",Q502)))</formula>
    </cfRule>
  </conditionalFormatting>
  <conditionalFormatting sqref="Q505:Q506">
    <cfRule type="containsText" dxfId="1387" priority="1354" operator="containsText" text="PETICION DE BAJA SIN RETIRO ">
      <formula>NOT(ISERROR(SEARCH("PETICION DE BAJA SIN RETIRO ",Q505)))</formula>
    </cfRule>
    <cfRule type="containsText" dxfId="1386" priority="1353" operator="containsText" text="PETICION DE BAJA SIN RETIRO">
      <formula>NOT(ISERROR(SEARCH("PETICION DE BAJA SIN RETIRO",Q505)))</formula>
    </cfRule>
  </conditionalFormatting>
  <conditionalFormatting sqref="Q505:Q510">
    <cfRule type="containsText" dxfId="1385" priority="1365" operator="containsText" text="PETICION DE BAJA SIN RETIRO">
      <formula>NOT(ISERROR(SEARCH("PETICION DE BAJA SIN RETIRO",Q505)))</formula>
    </cfRule>
    <cfRule type="containsText" dxfId="1384" priority="1366" operator="containsText" text="PETICION DE BAJA SIN RETIRO ">
      <formula>NOT(ISERROR(SEARCH("PETICION DE BAJA SIN RETIRO ",Q505)))</formula>
    </cfRule>
    <cfRule type="containsText" dxfId="1383" priority="1364" operator="containsText" text="BAJA NO ESTABA EN EL LISTADO">
      <formula>NOT(ISERROR(SEARCH("BAJA NO ESTABA EN EL LISTADO",Q505)))</formula>
    </cfRule>
    <cfRule type="containsText" dxfId="1382" priority="1363" operator="containsText" text="BAJA NO ESTABA EN ">
      <formula>NOT(ISERROR(SEARCH("BAJA NO ESTABA EN ",Q505)))</formula>
    </cfRule>
  </conditionalFormatting>
  <conditionalFormatting sqref="Q511">
    <cfRule type="containsText" dxfId="1381" priority="1343" operator="containsText" text="PETICION DE BAJA SIN RETIRO">
      <formula>NOT(ISERROR(SEARCH("PETICION DE BAJA SIN RETIRO",Q511)))</formula>
    </cfRule>
    <cfRule type="containsText" dxfId="1380" priority="1344" operator="containsText" text="PETICION DE BAJA SIN RETIRO ">
      <formula>NOT(ISERROR(SEARCH("PETICION DE BAJA SIN RETIRO ",Q511)))</formula>
    </cfRule>
  </conditionalFormatting>
  <conditionalFormatting sqref="Q511:Q528">
    <cfRule type="containsText" dxfId="1379" priority="1347" operator="containsText" text="PETICION DE BAJA SIN RETIRO">
      <formula>NOT(ISERROR(SEARCH("PETICION DE BAJA SIN RETIRO",Q511)))</formula>
    </cfRule>
    <cfRule type="containsText" dxfId="1378" priority="1348" operator="containsText" text="PETICION DE BAJA SIN RETIRO ">
      <formula>NOT(ISERROR(SEARCH("PETICION DE BAJA SIN RETIRO ",Q511)))</formula>
    </cfRule>
    <cfRule type="containsText" dxfId="1377" priority="1345" operator="containsText" text="BAJA NO ESTABA EN ">
      <formula>NOT(ISERROR(SEARCH("BAJA NO ESTABA EN ",Q511)))</formula>
    </cfRule>
    <cfRule type="containsText" dxfId="1376" priority="1346" operator="containsText" text="BAJA NO ESTABA EN EL LISTADO">
      <formula>NOT(ISERROR(SEARCH("BAJA NO ESTABA EN EL LISTADO",Q511)))</formula>
    </cfRule>
  </conditionalFormatting>
  <conditionalFormatting sqref="Q513">
    <cfRule type="containsText" dxfId="1375" priority="1335" operator="containsText" text="PETICION DE BAJA SIN RETIRO">
      <formula>NOT(ISERROR(SEARCH("PETICION DE BAJA SIN RETIRO",Q513)))</formula>
    </cfRule>
    <cfRule type="containsText" dxfId="1374" priority="1336" operator="containsText" text="PETICION DE BAJA SIN RETIRO ">
      <formula>NOT(ISERROR(SEARCH("PETICION DE BAJA SIN RETIRO ",Q513)))</formula>
    </cfRule>
  </conditionalFormatting>
  <conditionalFormatting sqref="Q515:Q516">
    <cfRule type="containsText" dxfId="1373" priority="1318" operator="containsText" text="PETICION DE BAJA SIN RETIRO">
      <formula>NOT(ISERROR(SEARCH("PETICION DE BAJA SIN RETIRO",Q515)))</formula>
    </cfRule>
    <cfRule type="containsText" dxfId="1372" priority="1319" operator="containsText" text="PETICION DE BAJA SIN RETIRO ">
      <formula>NOT(ISERROR(SEARCH("PETICION DE BAJA SIN RETIRO ",Q515)))</formula>
    </cfRule>
  </conditionalFormatting>
  <conditionalFormatting sqref="Q518">
    <cfRule type="containsText" dxfId="1371" priority="1309" operator="containsText" text="PETICION DE BAJA SIN RETIRO">
      <formula>NOT(ISERROR(SEARCH("PETICION DE BAJA SIN RETIRO",Q518)))</formula>
    </cfRule>
    <cfRule type="containsText" dxfId="1370" priority="1310" operator="containsText" text="PETICION DE BAJA SIN RETIRO ">
      <formula>NOT(ISERROR(SEARCH("PETICION DE BAJA SIN RETIRO ",Q518)))</formula>
    </cfRule>
  </conditionalFormatting>
  <conditionalFormatting sqref="Q521">
    <cfRule type="containsText" dxfId="1369" priority="1300" operator="containsText" text="PETICION DE BAJA SIN RETIRO">
      <formula>NOT(ISERROR(SEARCH("PETICION DE BAJA SIN RETIRO",Q521)))</formula>
    </cfRule>
    <cfRule type="containsText" dxfId="1368" priority="1301" operator="containsText" text="PETICION DE BAJA SIN RETIRO ">
      <formula>NOT(ISERROR(SEARCH("PETICION DE BAJA SIN RETIRO ",Q521)))</formula>
    </cfRule>
  </conditionalFormatting>
  <conditionalFormatting sqref="Q529">
    <cfRule type="containsText" dxfId="1367" priority="1291" operator="containsText" text="BAJA NO ESTABA EN ">
      <formula>NOT(ISERROR(SEARCH("BAJA NO ESTABA EN ",Q529)))</formula>
    </cfRule>
    <cfRule type="containsText" dxfId="1366" priority="1294" operator="containsText" text="PETICION DE BAJA SIN RETIRO ">
      <formula>NOT(ISERROR(SEARCH("PETICION DE BAJA SIN RETIRO ",Q529)))</formula>
    </cfRule>
    <cfRule type="containsText" dxfId="1365" priority="1293" operator="containsText" text="PETICION DE BAJA SIN RETIRO">
      <formula>NOT(ISERROR(SEARCH("PETICION DE BAJA SIN RETIRO",Q529)))</formula>
    </cfRule>
    <cfRule type="containsText" dxfId="1364" priority="1292" operator="containsText" text="BAJA NO ESTABA EN EL LISTADO">
      <formula>NOT(ISERROR(SEARCH("BAJA NO ESTABA EN EL LISTADO",Q529)))</formula>
    </cfRule>
  </conditionalFormatting>
  <conditionalFormatting sqref="Q529:Q538">
    <cfRule type="containsText" dxfId="1363" priority="1283" operator="containsText" text="PETICION DE BAJA SIN RETIRO">
      <formula>NOT(ISERROR(SEARCH("PETICION DE BAJA SIN RETIRO",Q529)))</formula>
    </cfRule>
    <cfRule type="containsText" dxfId="1362" priority="1284" operator="containsText" text="PETICION DE BAJA SIN RETIRO ">
      <formula>NOT(ISERROR(SEARCH("PETICION DE BAJA SIN RETIRO ",Q529)))</formula>
    </cfRule>
  </conditionalFormatting>
  <conditionalFormatting sqref="Q530">
    <cfRule type="containsText" dxfId="1361" priority="1280" operator="containsText" text="PETICION DE BAJA SIN RETIRO ">
      <formula>NOT(ISERROR(SEARCH("PETICION DE BAJA SIN RETIRO ",Q530)))</formula>
    </cfRule>
    <cfRule type="containsText" dxfId="1360" priority="1279" operator="containsText" text="PETICION DE BAJA SIN RETIRO">
      <formula>NOT(ISERROR(SEARCH("PETICION DE BAJA SIN RETIRO",Q530)))</formula>
    </cfRule>
  </conditionalFormatting>
  <conditionalFormatting sqref="Q530:Q538">
    <cfRule type="containsText" dxfId="1359" priority="1281" operator="containsText" text="BAJA NO ESTABA EN ">
      <formula>NOT(ISERROR(SEARCH("BAJA NO ESTABA EN ",Q530)))</formula>
    </cfRule>
    <cfRule type="containsText" dxfId="1358" priority="1282" operator="containsText" text="BAJA NO ESTABA EN EL LISTADO">
      <formula>NOT(ISERROR(SEARCH("BAJA NO ESTABA EN EL LISTADO",Q530)))</formula>
    </cfRule>
  </conditionalFormatting>
  <conditionalFormatting sqref="Q539">
    <cfRule type="containsText" dxfId="1357" priority="1269" operator="containsText" text="PETICION DE BAJA SIN RETIRO">
      <formula>NOT(ISERROR(SEARCH("PETICION DE BAJA SIN RETIRO",Q539)))</formula>
    </cfRule>
    <cfRule type="containsText" dxfId="1356" priority="1270" operator="containsText" text="PETICION DE BAJA SIN RETIRO ">
      <formula>NOT(ISERROR(SEARCH("PETICION DE BAJA SIN RETIRO ",Q539)))</formula>
    </cfRule>
  </conditionalFormatting>
  <conditionalFormatting sqref="Q539:Q542 Q544:Q548">
    <cfRule type="containsText" dxfId="1355" priority="1273" operator="containsText" text="PETICION DE BAJA SIN RETIRO">
      <formula>NOT(ISERROR(SEARCH("PETICION DE BAJA SIN RETIRO",Q539)))</formula>
    </cfRule>
    <cfRule type="containsText" dxfId="1354" priority="1272" operator="containsText" text="BAJA NO ESTABA EN EL LISTADO">
      <formula>NOT(ISERROR(SEARCH("BAJA NO ESTABA EN EL LISTADO",Q539)))</formula>
    </cfRule>
    <cfRule type="containsText" dxfId="1353" priority="1274" operator="containsText" text="PETICION DE BAJA SIN RETIRO ">
      <formula>NOT(ISERROR(SEARCH("PETICION DE BAJA SIN RETIRO ",Q539)))</formula>
    </cfRule>
    <cfRule type="containsText" dxfId="1352" priority="1271" operator="containsText" text="BAJA NO ESTABA EN ">
      <formula>NOT(ISERROR(SEARCH("BAJA NO ESTABA EN ",Q539)))</formula>
    </cfRule>
  </conditionalFormatting>
  <conditionalFormatting sqref="Q541">
    <cfRule type="containsText" dxfId="1351" priority="1262" operator="containsText" text="PETICION DE BAJA SIN RETIRO ">
      <formula>NOT(ISERROR(SEARCH("PETICION DE BAJA SIN RETIRO ",Q541)))</formula>
    </cfRule>
    <cfRule type="containsText" dxfId="1350" priority="1261" operator="containsText" text="PETICION DE BAJA SIN RETIRO">
      <formula>NOT(ISERROR(SEARCH("PETICION DE BAJA SIN RETIRO",Q541)))</formula>
    </cfRule>
  </conditionalFormatting>
  <conditionalFormatting sqref="Q543">
    <cfRule type="containsText" dxfId="1349" priority="648" operator="containsText" text="PETICION DE BAJA SIN RETIRO">
      <formula>NOT(ISERROR(SEARCH("PETICION DE BAJA SIN RETIRO",Q543)))</formula>
    </cfRule>
    <cfRule type="containsText" dxfId="1348" priority="646" operator="containsText" text="BAJA NO ESTABA EN ">
      <formula>NOT(ISERROR(SEARCH("BAJA NO ESTABA EN ",Q543)))</formula>
    </cfRule>
    <cfRule type="containsText" dxfId="1347" priority="647" operator="containsText" text="BAJA NO ESTABA EN EL LISTADO">
      <formula>NOT(ISERROR(SEARCH("BAJA NO ESTABA EN EL LISTADO",Q543)))</formula>
    </cfRule>
    <cfRule type="containsText" dxfId="1346" priority="649" operator="containsText" text="PETICION DE BAJA SIN RETIRO ">
      <formula>NOT(ISERROR(SEARCH("PETICION DE BAJA SIN RETIRO ",Q543)))</formula>
    </cfRule>
  </conditionalFormatting>
  <conditionalFormatting sqref="Q547">
    <cfRule type="containsText" dxfId="1345" priority="1253" operator="containsText" text="PETICION DE BAJA SIN RETIRO">
      <formula>NOT(ISERROR(SEARCH("PETICION DE BAJA SIN RETIRO",Q547)))</formula>
    </cfRule>
    <cfRule type="containsText" dxfId="1344" priority="1254" operator="containsText" text="PETICION DE BAJA SIN RETIRO ">
      <formula>NOT(ISERROR(SEARCH("PETICION DE BAJA SIN RETIRO ",Q547)))</formula>
    </cfRule>
  </conditionalFormatting>
  <conditionalFormatting sqref="Q549">
    <cfRule type="containsText" dxfId="1343" priority="1242" operator="containsText" text="PETICION DE BAJA SIN RETIRO">
      <formula>NOT(ISERROR(SEARCH("PETICION DE BAJA SIN RETIRO",Q549)))</formula>
    </cfRule>
    <cfRule type="containsText" dxfId="1342" priority="1243" operator="containsText" text="PETICION DE BAJA SIN RETIRO ">
      <formula>NOT(ISERROR(SEARCH("PETICION DE BAJA SIN RETIRO ",Q549)))</formula>
    </cfRule>
  </conditionalFormatting>
  <conditionalFormatting sqref="Q549:Q551">
    <cfRule type="containsText" dxfId="1341" priority="1247" operator="containsText" text="PETICION DE BAJA SIN RETIRO ">
      <formula>NOT(ISERROR(SEARCH("PETICION DE BAJA SIN RETIRO ",Q549)))</formula>
    </cfRule>
    <cfRule type="containsText" dxfId="1340" priority="1244" operator="containsText" text="BAJA NO ESTABA EN ">
      <formula>NOT(ISERROR(SEARCH("BAJA NO ESTABA EN ",Q549)))</formula>
    </cfRule>
    <cfRule type="containsText" dxfId="1339" priority="1245" operator="containsText" text="BAJA NO ESTABA EN EL LISTADO">
      <formula>NOT(ISERROR(SEARCH("BAJA NO ESTABA EN EL LISTADO",Q549)))</formula>
    </cfRule>
    <cfRule type="containsText" dxfId="1338" priority="1246" operator="containsText" text="PETICION DE BAJA SIN RETIRO">
      <formula>NOT(ISERROR(SEARCH("PETICION DE BAJA SIN RETIRO",Q549)))</formula>
    </cfRule>
  </conditionalFormatting>
  <conditionalFormatting sqref="Q552">
    <cfRule type="containsText" dxfId="1337" priority="633" operator="containsText" text="BAJA NO ESTABA EN EL LISTADO">
      <formula>NOT(ISERROR(SEARCH("BAJA NO ESTABA EN EL LISTADO",Q552)))</formula>
    </cfRule>
    <cfRule type="containsText" dxfId="1336" priority="634" operator="containsText" text="PETICION DE BAJA SIN RETIRO">
      <formula>NOT(ISERROR(SEARCH("PETICION DE BAJA SIN RETIRO",Q552)))</formula>
    </cfRule>
    <cfRule type="containsText" dxfId="1335" priority="635" operator="containsText" text="PETICION DE BAJA SIN RETIRO ">
      <formula>NOT(ISERROR(SEARCH("PETICION DE BAJA SIN RETIRO ",Q552)))</formula>
    </cfRule>
    <cfRule type="containsText" dxfId="1334" priority="632" operator="containsText" text="BAJA NO ESTABA EN ">
      <formula>NOT(ISERROR(SEARCH("BAJA NO ESTABA EN ",Q552)))</formula>
    </cfRule>
  </conditionalFormatting>
  <conditionalFormatting sqref="Q553:Q563">
    <cfRule type="containsText" dxfId="1333" priority="1234" operator="containsText" text="BAJA NO ESTABA EN ">
      <formula>NOT(ISERROR(SEARCH("BAJA NO ESTABA EN ",Q553)))</formula>
    </cfRule>
    <cfRule type="containsText" dxfId="1332" priority="1235" operator="containsText" text="BAJA NO ESTABA EN EL LISTADO">
      <formula>NOT(ISERROR(SEARCH("BAJA NO ESTABA EN EL LISTADO",Q553)))</formula>
    </cfRule>
    <cfRule type="containsText" dxfId="1331" priority="1236" operator="containsText" text="PETICION DE BAJA SIN RETIRO">
      <formula>NOT(ISERROR(SEARCH("PETICION DE BAJA SIN RETIRO",Q553)))</formula>
    </cfRule>
    <cfRule type="containsText" dxfId="1330" priority="1237" operator="containsText" text="PETICION DE BAJA SIN RETIRO ">
      <formula>NOT(ISERROR(SEARCH("PETICION DE BAJA SIN RETIRO ",Q553)))</formula>
    </cfRule>
  </conditionalFormatting>
  <conditionalFormatting sqref="Q560">
    <cfRule type="containsText" dxfId="1329" priority="1233" operator="containsText" text="PETICION DE BAJA SIN RETIRO ">
      <formula>NOT(ISERROR(SEARCH("PETICION DE BAJA SIN RETIRO ",Q560)))</formula>
    </cfRule>
    <cfRule type="containsText" dxfId="1328" priority="1232" operator="containsText" text="PETICION DE BAJA SIN RETIRO">
      <formula>NOT(ISERROR(SEARCH("PETICION DE BAJA SIN RETIRO",Q560)))</formula>
    </cfRule>
  </conditionalFormatting>
  <conditionalFormatting sqref="Q564">
    <cfRule type="containsText" dxfId="1327" priority="1223" operator="containsText" text="PETICION DE BAJA SIN RETIRO ">
      <formula>NOT(ISERROR(SEARCH("PETICION DE BAJA SIN RETIRO ",Q564)))</formula>
    </cfRule>
    <cfRule type="containsText" dxfId="1326" priority="1222" operator="containsText" text="PETICION DE BAJA SIN RETIRO">
      <formula>NOT(ISERROR(SEARCH("PETICION DE BAJA SIN RETIRO",Q564)))</formula>
    </cfRule>
  </conditionalFormatting>
  <conditionalFormatting sqref="Q564:Q567">
    <cfRule type="containsText" dxfId="1325" priority="1226" operator="containsText" text="PETICION DE BAJA SIN RETIRO">
      <formula>NOT(ISERROR(SEARCH("PETICION DE BAJA SIN RETIRO",Q564)))</formula>
    </cfRule>
    <cfRule type="containsText" dxfId="1324" priority="1225" operator="containsText" text="BAJA NO ESTABA EN EL LISTADO">
      <formula>NOT(ISERROR(SEARCH("BAJA NO ESTABA EN EL LISTADO",Q564)))</formula>
    </cfRule>
    <cfRule type="containsText" dxfId="1323" priority="1224" operator="containsText" text="BAJA NO ESTABA EN ">
      <formula>NOT(ISERROR(SEARCH("BAJA NO ESTABA EN ",Q564)))</formula>
    </cfRule>
    <cfRule type="containsText" dxfId="1322" priority="1227" operator="containsText" text="PETICION DE BAJA SIN RETIRO ">
      <formula>NOT(ISERROR(SEARCH("PETICION DE BAJA SIN RETIRO ",Q564)))</formula>
    </cfRule>
  </conditionalFormatting>
  <conditionalFormatting sqref="Q568:Q573">
    <cfRule type="containsText" dxfId="1321" priority="606" operator="containsText" text="BAJA NO ESTABA EN EL LISTADO">
      <formula>NOT(ISERROR(SEARCH("BAJA NO ESTABA EN EL LISTADO",Q568)))</formula>
    </cfRule>
    <cfRule type="containsText" dxfId="1320" priority="608" operator="containsText" text="PETICION DE BAJA SIN RETIRO ">
      <formula>NOT(ISERROR(SEARCH("PETICION DE BAJA SIN RETIRO ",Q568)))</formula>
    </cfRule>
    <cfRule type="containsText" dxfId="1319" priority="607" operator="containsText" text="PETICION DE BAJA SIN RETIRO">
      <formula>NOT(ISERROR(SEARCH("PETICION DE BAJA SIN RETIRO",Q568)))</formula>
    </cfRule>
    <cfRule type="containsText" dxfId="1318" priority="605" operator="containsText" text="BAJA NO ESTABA EN ">
      <formula>NOT(ISERROR(SEARCH("BAJA NO ESTABA EN ",Q568)))</formula>
    </cfRule>
  </conditionalFormatting>
  <conditionalFormatting sqref="Q574:Q576">
    <cfRule type="containsText" dxfId="1317" priority="1217" operator="containsText" text="PETICION DE BAJA SIN RETIRO ">
      <formula>NOT(ISERROR(SEARCH("PETICION DE BAJA SIN RETIRO ",Q574)))</formula>
    </cfRule>
    <cfRule type="containsText" dxfId="1316" priority="1214" operator="containsText" text="BAJA NO ESTABA EN ">
      <formula>NOT(ISERROR(SEARCH("BAJA NO ESTABA EN ",Q574)))</formula>
    </cfRule>
    <cfRule type="containsText" dxfId="1315" priority="1215" operator="containsText" text="BAJA NO ESTABA EN EL LISTADO">
      <formula>NOT(ISERROR(SEARCH("BAJA NO ESTABA EN EL LISTADO",Q574)))</formula>
    </cfRule>
    <cfRule type="containsText" dxfId="1314" priority="1216" operator="containsText" text="PETICION DE BAJA SIN RETIRO">
      <formula>NOT(ISERROR(SEARCH("PETICION DE BAJA SIN RETIRO",Q574)))</formula>
    </cfRule>
  </conditionalFormatting>
  <conditionalFormatting sqref="Q576:Q578">
    <cfRule type="containsText" dxfId="1313" priority="1206" operator="containsText" text="PETICION DE BAJA SIN RETIRO">
      <formula>NOT(ISERROR(SEARCH("PETICION DE BAJA SIN RETIRO",Q576)))</formula>
    </cfRule>
    <cfRule type="containsText" dxfId="1312" priority="1207" operator="containsText" text="PETICION DE BAJA SIN RETIRO ">
      <formula>NOT(ISERROR(SEARCH("PETICION DE BAJA SIN RETIRO ",Q576)))</formula>
    </cfRule>
  </conditionalFormatting>
  <conditionalFormatting sqref="Q577">
    <cfRule type="containsText" dxfId="1311" priority="1202" operator="containsText" text="PETICION DE BAJA SIN RETIRO">
      <formula>NOT(ISERROR(SEARCH("PETICION DE BAJA SIN RETIRO",Q577)))</formula>
    </cfRule>
    <cfRule type="containsText" dxfId="1310" priority="1203" operator="containsText" text="PETICION DE BAJA SIN RETIRO ">
      <formula>NOT(ISERROR(SEARCH("PETICION DE BAJA SIN RETIRO ",Q577)))</formula>
    </cfRule>
  </conditionalFormatting>
  <conditionalFormatting sqref="Q577:Q578">
    <cfRule type="containsText" dxfId="1309" priority="1204" operator="containsText" text="BAJA NO ESTABA EN ">
      <formula>NOT(ISERROR(SEARCH("BAJA NO ESTABA EN ",Q577)))</formula>
    </cfRule>
    <cfRule type="containsText" dxfId="1308" priority="1205" operator="containsText" text="BAJA NO ESTABA EN EL LISTADO">
      <formula>NOT(ISERROR(SEARCH("BAJA NO ESTABA EN EL LISTADO",Q577)))</formula>
    </cfRule>
  </conditionalFormatting>
  <conditionalFormatting sqref="Q579">
    <cfRule type="containsText" dxfId="1307" priority="1192" operator="containsText" text="PETICION DE BAJA SIN RETIRO">
      <formula>NOT(ISERROR(SEARCH("PETICION DE BAJA SIN RETIRO",Q579)))</formula>
    </cfRule>
    <cfRule type="containsText" dxfId="1306" priority="1193" operator="containsText" text="PETICION DE BAJA SIN RETIRO ">
      <formula>NOT(ISERROR(SEARCH("PETICION DE BAJA SIN RETIRO ",Q579)))</formula>
    </cfRule>
  </conditionalFormatting>
  <conditionalFormatting sqref="Q579:Q590">
    <cfRule type="containsText" dxfId="1305" priority="1195" operator="containsText" text="BAJA NO ESTABA EN EL LISTADO">
      <formula>NOT(ISERROR(SEARCH("BAJA NO ESTABA EN EL LISTADO",Q579)))</formula>
    </cfRule>
    <cfRule type="containsText" dxfId="1304" priority="1194" operator="containsText" text="BAJA NO ESTABA EN ">
      <formula>NOT(ISERROR(SEARCH("BAJA NO ESTABA EN ",Q579)))</formula>
    </cfRule>
    <cfRule type="containsText" dxfId="1303" priority="1197" operator="containsText" text="PETICION DE BAJA SIN RETIRO ">
      <formula>NOT(ISERROR(SEARCH("PETICION DE BAJA SIN RETIRO ",Q579)))</formula>
    </cfRule>
    <cfRule type="containsText" dxfId="1302" priority="1196" operator="containsText" text="PETICION DE BAJA SIN RETIRO">
      <formula>NOT(ISERROR(SEARCH("PETICION DE BAJA SIN RETIRO",Q579)))</formula>
    </cfRule>
  </conditionalFormatting>
  <conditionalFormatting sqref="Q583">
    <cfRule type="containsText" dxfId="1301" priority="1185" operator="containsText" text="PETICION DE BAJA SIN RETIRO ">
      <formula>NOT(ISERROR(SEARCH("PETICION DE BAJA SIN RETIRO ",Q583)))</formula>
    </cfRule>
    <cfRule type="containsText" dxfId="1300" priority="1184" operator="containsText" text="PETICION DE BAJA SIN RETIRO">
      <formula>NOT(ISERROR(SEARCH("PETICION DE BAJA SIN RETIRO",Q583)))</formula>
    </cfRule>
  </conditionalFormatting>
  <conditionalFormatting sqref="Q587">
    <cfRule type="containsText" dxfId="1299" priority="699" operator="containsText" text="PETICION DE BAJA SIN RETIRO ">
      <formula>NOT(ISERROR(SEARCH("PETICION DE BAJA SIN RETIRO ",Q587)))</formula>
    </cfRule>
    <cfRule type="containsText" dxfId="1298" priority="698" operator="containsText" text="PETICION DE BAJA SIN RETIRO">
      <formula>NOT(ISERROR(SEARCH("PETICION DE BAJA SIN RETIRO",Q587)))</formula>
    </cfRule>
  </conditionalFormatting>
  <conditionalFormatting sqref="Q591:Q593">
    <cfRule type="containsText" dxfId="1297" priority="1158" operator="containsText" text="PETICION DE BAJA SIN RETIRO ">
      <formula>NOT(ISERROR(SEARCH("PETICION DE BAJA SIN RETIRO ",Q591)))</formula>
    </cfRule>
    <cfRule type="containsText" dxfId="1296" priority="1157" operator="containsText" text="PETICION DE BAJA SIN RETIRO">
      <formula>NOT(ISERROR(SEARCH("PETICION DE BAJA SIN RETIRO",Q591)))</formula>
    </cfRule>
  </conditionalFormatting>
  <conditionalFormatting sqref="Q591:Q622">
    <cfRule type="containsText" dxfId="1295" priority="1175" operator="containsText" text="BAJA NO ESTABA EN ">
      <formula>NOT(ISERROR(SEARCH("BAJA NO ESTABA EN ",Q591)))</formula>
    </cfRule>
    <cfRule type="containsText" dxfId="1294" priority="1176" operator="containsText" text="BAJA NO ESTABA EN EL LISTADO">
      <formula>NOT(ISERROR(SEARCH("BAJA NO ESTABA EN EL LISTADO",Q591)))</formula>
    </cfRule>
    <cfRule type="containsText" dxfId="1293" priority="1177" operator="containsText" text="PETICION DE BAJA SIN RETIRO">
      <formula>NOT(ISERROR(SEARCH("PETICION DE BAJA SIN RETIRO",Q591)))</formula>
    </cfRule>
    <cfRule type="containsText" dxfId="1292" priority="1178" operator="containsText" text="PETICION DE BAJA SIN RETIRO ">
      <formula>NOT(ISERROR(SEARCH("PETICION DE BAJA SIN RETIRO ",Q591)))</formula>
    </cfRule>
  </conditionalFormatting>
  <conditionalFormatting sqref="Q597">
    <cfRule type="containsText" dxfId="1291" priority="1150" operator="containsText" text="PETICION DE BAJA SIN RETIRO ">
      <formula>NOT(ISERROR(SEARCH("PETICION DE BAJA SIN RETIRO ",Q597)))</formula>
    </cfRule>
    <cfRule type="containsText" dxfId="1290" priority="1149" operator="containsText" text="PETICION DE BAJA SIN RETIRO">
      <formula>NOT(ISERROR(SEARCH("PETICION DE BAJA SIN RETIRO",Q597)))</formula>
    </cfRule>
  </conditionalFormatting>
  <conditionalFormatting sqref="Q618">
    <cfRule type="containsText" dxfId="1289" priority="944" operator="containsText" text="PETICION DE BAJA SIN RETIRO ">
      <formula>NOT(ISERROR(SEARCH("PETICION DE BAJA SIN RETIRO ",Q618)))</formula>
    </cfRule>
    <cfRule type="containsText" dxfId="1288" priority="943" operator="containsText" text="PETICION DE BAJA SIN RETIRO">
      <formula>NOT(ISERROR(SEARCH("PETICION DE BAJA SIN RETIRO",Q618)))</formula>
    </cfRule>
  </conditionalFormatting>
  <conditionalFormatting sqref="Q623:Q661">
    <cfRule type="containsText" dxfId="1287" priority="546" operator="containsText" text="BAJA NO ESTABA EN ">
      <formula>NOT(ISERROR(SEARCH("BAJA NO ESTABA EN ",Q623)))</formula>
    </cfRule>
    <cfRule type="containsText" dxfId="1286" priority="547" operator="containsText" text="BAJA NO ESTABA EN EL LISTADO">
      <formula>NOT(ISERROR(SEARCH("BAJA NO ESTABA EN EL LISTADO",Q623)))</formula>
    </cfRule>
  </conditionalFormatting>
  <conditionalFormatting sqref="Q623:Q662">
    <cfRule type="containsText" dxfId="1285" priority="548" operator="containsText" text="PETICION DE BAJA SIN RETIRO">
      <formula>NOT(ISERROR(SEARCH("PETICION DE BAJA SIN RETIRO",Q623)))</formula>
    </cfRule>
    <cfRule type="containsText" dxfId="1284" priority="549" operator="containsText" text="PETICION DE BAJA SIN RETIRO ">
      <formula>NOT(ISERROR(SEARCH("PETICION DE BAJA SIN RETIRO ",Q623)))</formula>
    </cfRule>
  </conditionalFormatting>
  <conditionalFormatting sqref="Q662:Q693">
    <cfRule type="containsText" dxfId="1283" priority="2704" operator="containsText" text="PETICION DE BAJA SIN RETIRO">
      <formula>NOT(ISERROR(SEARCH("PETICION DE BAJA SIN RETIRO",Q662)))</formula>
    </cfRule>
    <cfRule type="containsText" dxfId="1282" priority="2705" operator="containsText" text="PETICION DE BAJA SIN RETIRO ">
      <formula>NOT(ISERROR(SEARCH("PETICION DE BAJA SIN RETIRO ",Q662)))</formula>
    </cfRule>
  </conditionalFormatting>
  <conditionalFormatting sqref="Q693:Q694">
    <cfRule type="containsText" dxfId="1281" priority="922" operator="containsText" text="PETICION DE BAJA SIN RETIRO">
      <formula>NOT(ISERROR(SEARCH("PETICION DE BAJA SIN RETIRO",Q693)))</formula>
    </cfRule>
    <cfRule type="containsText" dxfId="1280" priority="923" operator="containsText" text="PETICION DE BAJA SIN RETIRO ">
      <formula>NOT(ISERROR(SEARCH("PETICION DE BAJA SIN RETIRO ",Q693)))</formula>
    </cfRule>
  </conditionalFormatting>
  <conditionalFormatting sqref="Q695 Q742:Q743 Q753:Q754 V853">
    <cfRule type="containsText" dxfId="1279" priority="4341" operator="containsText" text="PETICION DE BAJA SIN RETIRO">
      <formula>NOT(ISERROR(SEARCH("PETICION DE BAJA SIN RETIRO",Q695)))</formula>
    </cfRule>
    <cfRule type="containsText" dxfId="1278" priority="4342" operator="containsText" text="PETICION DE BAJA SIN RETIRO ">
      <formula>NOT(ISERROR(SEARCH("PETICION DE BAJA SIN RETIRO ",Q695)))</formula>
    </cfRule>
  </conditionalFormatting>
  <conditionalFormatting sqref="Q696">
    <cfRule type="containsText" dxfId="1277" priority="537" operator="containsText" text="BAJA NO ESTABA EN EL LISTADO">
      <formula>NOT(ISERROR(SEARCH("BAJA NO ESTABA EN EL LISTADO",Q696)))</formula>
    </cfRule>
    <cfRule type="containsText" dxfId="1276" priority="536" operator="containsText" text="BAJA NO ESTABA EN ">
      <formula>NOT(ISERROR(SEARCH("BAJA NO ESTABA EN ",Q696)))</formula>
    </cfRule>
  </conditionalFormatting>
  <conditionalFormatting sqref="Q696:Q697">
    <cfRule type="containsText" dxfId="1275" priority="538" operator="containsText" text="PETICION DE BAJA SIN RETIRO">
      <formula>NOT(ISERROR(SEARCH("PETICION DE BAJA SIN RETIRO",Q696)))</formula>
    </cfRule>
    <cfRule type="containsText" dxfId="1274" priority="539" operator="containsText" text="PETICION DE BAJA SIN RETIRO ">
      <formula>NOT(ISERROR(SEARCH("PETICION DE BAJA SIN RETIRO ",Q696)))</formula>
    </cfRule>
  </conditionalFormatting>
  <conditionalFormatting sqref="Q698:Q706">
    <cfRule type="containsText" dxfId="1273" priority="3670" operator="containsText" text="PETICION DE BAJA SIN RETIRO ">
      <formula>NOT(ISERROR(SEARCH("PETICION DE BAJA SIN RETIRO ",Q698)))</formula>
    </cfRule>
    <cfRule type="containsText" dxfId="1272" priority="3669" operator="containsText" text="PETICION DE BAJA SIN RETIRO">
      <formula>NOT(ISERROR(SEARCH("PETICION DE BAJA SIN RETIRO",Q698)))</formula>
    </cfRule>
  </conditionalFormatting>
  <conditionalFormatting sqref="Q707">
    <cfRule type="containsText" dxfId="1271" priority="907" operator="containsText" text="PETICION DE BAJA SIN RETIRO ">
      <formula>NOT(ISERROR(SEARCH("PETICION DE BAJA SIN RETIRO ",Q707)))</formula>
    </cfRule>
    <cfRule type="containsText" dxfId="1270" priority="906" operator="containsText" text="PETICION DE BAJA SIN RETIRO">
      <formula>NOT(ISERROR(SEARCH("PETICION DE BAJA SIN RETIRO",Q707)))</formula>
    </cfRule>
  </conditionalFormatting>
  <conditionalFormatting sqref="Q708:Q738">
    <cfRule type="containsText" dxfId="1269" priority="2662" operator="containsText" text="PETICION DE BAJA SIN RETIRO">
      <formula>NOT(ISERROR(SEARCH("PETICION DE BAJA SIN RETIRO",Q708)))</formula>
    </cfRule>
    <cfRule type="containsText" dxfId="1268" priority="2663" operator="containsText" text="PETICION DE BAJA SIN RETIRO ">
      <formula>NOT(ISERROR(SEARCH("PETICION DE BAJA SIN RETIRO ",Q708)))</formula>
    </cfRule>
  </conditionalFormatting>
  <conditionalFormatting sqref="Q722">
    <cfRule type="containsText" dxfId="1267" priority="1420" operator="containsText" text="PETICION DE BAJA SIN RETIRO">
      <formula>NOT(ISERROR(SEARCH("PETICION DE BAJA SIN RETIRO",Q722)))</formula>
    </cfRule>
    <cfRule type="containsText" dxfId="1266" priority="1421" operator="containsText" text="PETICION DE BAJA SIN RETIRO ">
      <formula>NOT(ISERROR(SEARCH("PETICION DE BAJA SIN RETIRO ",Q722)))</formula>
    </cfRule>
  </conditionalFormatting>
  <conditionalFormatting sqref="Q739:Q740">
    <cfRule type="containsText" dxfId="1265" priority="1055" operator="containsText" text="PETICION DE BAJA SIN RETIRO">
      <formula>NOT(ISERROR(SEARCH("PETICION DE BAJA SIN RETIRO",Q739)))</formula>
    </cfRule>
    <cfRule type="containsText" dxfId="1264" priority="1056" operator="containsText" text="PETICION DE BAJA SIN RETIRO ">
      <formula>NOT(ISERROR(SEARCH("PETICION DE BAJA SIN RETIRO ",Q739)))</formula>
    </cfRule>
  </conditionalFormatting>
  <conditionalFormatting sqref="Q739:Q788 Q790:Q814 Q816:Q1049">
    <cfRule type="containsText" dxfId="1263" priority="1024" operator="containsText" text="BAJA NO ESTABA EN EL LISTADO">
      <formula>NOT(ISERROR(SEARCH("BAJA NO ESTABA EN EL LISTADO",Q739)))</formula>
    </cfRule>
    <cfRule type="containsText" dxfId="1262" priority="1023" operator="containsText" text="BAJA NO ESTABA EN ">
      <formula>NOT(ISERROR(SEARCH("BAJA NO ESTABA EN ",Q739)))</formula>
    </cfRule>
  </conditionalFormatting>
  <conditionalFormatting sqref="Q741">
    <cfRule type="containsText" dxfId="1261" priority="899" operator="containsText" text="PETICION DE BAJA SIN RETIRO ">
      <formula>NOT(ISERROR(SEARCH("PETICION DE BAJA SIN RETIRO ",Q741)))</formula>
    </cfRule>
    <cfRule type="containsText" dxfId="1260" priority="898" operator="containsText" text="PETICION DE BAJA SIN RETIRO">
      <formula>NOT(ISERROR(SEARCH("PETICION DE BAJA SIN RETIRO",Q741)))</formula>
    </cfRule>
  </conditionalFormatting>
  <conditionalFormatting sqref="Q744">
    <cfRule type="containsText" dxfId="1259" priority="891" operator="containsText" text="PETICION DE BAJA SIN RETIRO ">
      <formula>NOT(ISERROR(SEARCH("PETICION DE BAJA SIN RETIRO ",Q744)))</formula>
    </cfRule>
    <cfRule type="containsText" dxfId="1258" priority="890" operator="containsText" text="PETICION DE BAJA SIN RETIRO">
      <formula>NOT(ISERROR(SEARCH("PETICION DE BAJA SIN RETIRO",Q744)))</formula>
    </cfRule>
  </conditionalFormatting>
  <conditionalFormatting sqref="Q745:Q751">
    <cfRule type="containsText" dxfId="1257" priority="3306" operator="containsText" text="PETICION DE BAJA SIN RETIRO">
      <formula>NOT(ISERROR(SEARCH("PETICION DE BAJA SIN RETIRO",Q745)))</formula>
    </cfRule>
    <cfRule type="containsText" dxfId="1256" priority="3307" operator="containsText" text="PETICION DE BAJA SIN RETIRO ">
      <formula>NOT(ISERROR(SEARCH("PETICION DE BAJA SIN RETIRO ",Q745)))</formula>
    </cfRule>
  </conditionalFormatting>
  <conditionalFormatting sqref="Q752">
    <cfRule type="containsText" dxfId="1255" priority="883" operator="containsText" text="PETICION DE BAJA SIN RETIRO ">
      <formula>NOT(ISERROR(SEARCH("PETICION DE BAJA SIN RETIRO ",Q752)))</formula>
    </cfRule>
    <cfRule type="containsText" dxfId="1254" priority="882" operator="containsText" text="PETICION DE BAJA SIN RETIRO">
      <formula>NOT(ISERROR(SEARCH("PETICION DE BAJA SIN RETIRO",Q752)))</formula>
    </cfRule>
  </conditionalFormatting>
  <conditionalFormatting sqref="Q755">
    <cfRule type="containsText" dxfId="1253" priority="875" operator="containsText" text="PETICION DE BAJA SIN RETIRO ">
      <formula>NOT(ISERROR(SEARCH("PETICION DE BAJA SIN RETIRO ",Q755)))</formula>
    </cfRule>
    <cfRule type="containsText" dxfId="1252" priority="874" operator="containsText" text="PETICION DE BAJA SIN RETIRO">
      <formula>NOT(ISERROR(SEARCH("PETICION DE BAJA SIN RETIRO",Q755)))</formula>
    </cfRule>
  </conditionalFormatting>
  <conditionalFormatting sqref="Q756:Q764">
    <cfRule type="containsText" dxfId="1251" priority="2703" operator="containsText" text="PETICION DE BAJA SIN RETIRO ">
      <formula>NOT(ISERROR(SEARCH("PETICION DE BAJA SIN RETIRO ",Q756)))</formula>
    </cfRule>
    <cfRule type="containsText" dxfId="1250" priority="2702" operator="containsText" text="PETICION DE BAJA SIN RETIRO">
      <formula>NOT(ISERROR(SEARCH("PETICION DE BAJA SIN RETIRO",Q756)))</formula>
    </cfRule>
  </conditionalFormatting>
  <conditionalFormatting sqref="Q765">
    <cfRule type="containsText" dxfId="1249" priority="867" operator="containsText" text="PETICION DE BAJA SIN RETIRO ">
      <formula>NOT(ISERROR(SEARCH("PETICION DE BAJA SIN RETIRO ",Q765)))</formula>
    </cfRule>
    <cfRule type="containsText" dxfId="1248" priority="866" operator="containsText" text="PETICION DE BAJA SIN RETIRO">
      <formula>NOT(ISERROR(SEARCH("PETICION DE BAJA SIN RETIRO",Q765)))</formula>
    </cfRule>
  </conditionalFormatting>
  <conditionalFormatting sqref="Q766:Q781">
    <cfRule type="containsText" dxfId="1247" priority="1045" operator="containsText" text="PETICION DE BAJA SIN RETIRO">
      <formula>NOT(ISERROR(SEARCH("PETICION DE BAJA SIN RETIRO",Q766)))</formula>
    </cfRule>
    <cfRule type="containsText" dxfId="1246" priority="1046" operator="containsText" text="PETICION DE BAJA SIN RETIRO ">
      <formula>NOT(ISERROR(SEARCH("PETICION DE BAJA SIN RETIRO ",Q766)))</formula>
    </cfRule>
  </conditionalFormatting>
  <conditionalFormatting sqref="Q776">
    <cfRule type="containsText" dxfId="1245" priority="859" operator="containsText" text="PETICION DE BAJA SIN RETIRO ">
      <formula>NOT(ISERROR(SEARCH("PETICION DE BAJA SIN RETIRO ",Q776)))</formula>
    </cfRule>
    <cfRule type="containsText" dxfId="1244" priority="858" operator="containsText" text="PETICION DE BAJA SIN RETIRO">
      <formula>NOT(ISERROR(SEARCH("PETICION DE BAJA SIN RETIRO",Q776)))</formula>
    </cfRule>
  </conditionalFormatting>
  <conditionalFormatting sqref="Q779">
    <cfRule type="containsText" dxfId="1243" priority="704" operator="containsText" text="PETICION DE BAJA SIN RETIRO">
      <formula>NOT(ISERROR(SEARCH("PETICION DE BAJA SIN RETIRO",Q779)))</formula>
    </cfRule>
    <cfRule type="containsText" dxfId="1242" priority="705" operator="containsText" text="PETICION DE BAJA SIN RETIRO ">
      <formula>NOT(ISERROR(SEARCH("PETICION DE BAJA SIN RETIRO ",Q779)))</formula>
    </cfRule>
  </conditionalFormatting>
  <conditionalFormatting sqref="Q782">
    <cfRule type="containsText" dxfId="1241" priority="851" operator="containsText" text="PETICION DE BAJA SIN RETIRO ">
      <formula>NOT(ISERROR(SEARCH("PETICION DE BAJA SIN RETIRO ",Q782)))</formula>
    </cfRule>
    <cfRule type="containsText" dxfId="1240" priority="850" operator="containsText" text="PETICION DE BAJA SIN RETIRO">
      <formula>NOT(ISERROR(SEARCH("PETICION DE BAJA SIN RETIRO",Q782)))</formula>
    </cfRule>
  </conditionalFormatting>
  <conditionalFormatting sqref="Q783:Q788 Q790:Q798">
    <cfRule type="containsText" dxfId="1239" priority="3300" operator="containsText" text="PETICION DE BAJA SIN RETIRO ">
      <formula>NOT(ISERROR(SEARCH("PETICION DE BAJA SIN RETIRO ",Q783)))</formula>
    </cfRule>
    <cfRule type="containsText" dxfId="1238" priority="3299" operator="containsText" text="PETICION DE BAJA SIN RETIRO">
      <formula>NOT(ISERROR(SEARCH("PETICION DE BAJA SIN RETIRO",Q783)))</formula>
    </cfRule>
  </conditionalFormatting>
  <conditionalFormatting sqref="Q789">
    <cfRule type="containsText" dxfId="1237" priority="529" operator="containsText" text="PETICION DE BAJA SIN RETIRO ">
      <formula>NOT(ISERROR(SEARCH("PETICION DE BAJA SIN RETIRO ",Q789)))</formula>
    </cfRule>
    <cfRule type="containsText" dxfId="1236" priority="526" operator="containsText" text="BAJA NO ESTABA EN ">
      <formula>NOT(ISERROR(SEARCH("BAJA NO ESTABA EN ",Q789)))</formula>
    </cfRule>
    <cfRule type="containsText" dxfId="1235" priority="527" operator="containsText" text="BAJA NO ESTABA EN EL LISTADO">
      <formula>NOT(ISERROR(SEARCH("BAJA NO ESTABA EN EL LISTADO",Q789)))</formula>
    </cfRule>
    <cfRule type="containsText" dxfId="1234" priority="528" operator="containsText" text="PETICION DE BAJA SIN RETIRO">
      <formula>NOT(ISERROR(SEARCH("PETICION DE BAJA SIN RETIRO",Q789)))</formula>
    </cfRule>
  </conditionalFormatting>
  <conditionalFormatting sqref="Q791">
    <cfRule type="containsText" dxfId="1233" priority="842" operator="containsText" text="PETICION DE BAJA SIN RETIRO">
      <formula>NOT(ISERROR(SEARCH("PETICION DE BAJA SIN RETIRO",Q791)))</formula>
    </cfRule>
    <cfRule type="containsText" dxfId="1232" priority="843" operator="containsText" text="PETICION DE BAJA SIN RETIRO ">
      <formula>NOT(ISERROR(SEARCH("PETICION DE BAJA SIN RETIRO ",Q791)))</formula>
    </cfRule>
  </conditionalFormatting>
  <conditionalFormatting sqref="Q799">
    <cfRule type="containsText" dxfId="1231" priority="834" operator="containsText" text="PETICION DE BAJA SIN RETIRO">
      <formula>NOT(ISERROR(SEARCH("PETICION DE BAJA SIN RETIRO",Q799)))</formula>
    </cfRule>
    <cfRule type="containsText" dxfId="1230" priority="835" operator="containsText" text="PETICION DE BAJA SIN RETIRO ">
      <formula>NOT(ISERROR(SEARCH("PETICION DE BAJA SIN RETIRO ",Q799)))</formula>
    </cfRule>
  </conditionalFormatting>
  <conditionalFormatting sqref="Q800:Q811">
    <cfRule type="containsText" dxfId="1229" priority="1035" operator="containsText" text="PETICION DE BAJA SIN RETIRO">
      <formula>NOT(ISERROR(SEARCH("PETICION DE BAJA SIN RETIRO",Q800)))</formula>
    </cfRule>
    <cfRule type="containsText" dxfId="1228" priority="1036" operator="containsText" text="PETICION DE BAJA SIN RETIRO ">
      <formula>NOT(ISERROR(SEARCH("PETICION DE BAJA SIN RETIRO ",Q800)))</formula>
    </cfRule>
  </conditionalFormatting>
  <conditionalFormatting sqref="Q801:Q802">
    <cfRule type="containsText" dxfId="1227" priority="818" operator="containsText" text="PETICION DE BAJA SIN RETIRO">
      <formula>NOT(ISERROR(SEARCH("PETICION DE BAJA SIN RETIRO",Q801)))</formula>
    </cfRule>
    <cfRule type="containsText" dxfId="1226" priority="819" operator="containsText" text="PETICION DE BAJA SIN RETIRO ">
      <formula>NOT(ISERROR(SEARCH("PETICION DE BAJA SIN RETIRO ",Q801)))</formula>
    </cfRule>
  </conditionalFormatting>
  <conditionalFormatting sqref="Q812:Q813">
    <cfRule type="containsText" dxfId="1225" priority="802" operator="containsText" text="PETICION DE BAJA SIN RETIRO">
      <formula>NOT(ISERROR(SEARCH("PETICION DE BAJA SIN RETIRO",Q812)))</formula>
    </cfRule>
    <cfRule type="containsText" dxfId="1224" priority="803" operator="containsText" text="PETICION DE BAJA SIN RETIRO ">
      <formula>NOT(ISERROR(SEARCH("PETICION DE BAJA SIN RETIRO ",Q812)))</formula>
    </cfRule>
  </conditionalFormatting>
  <conditionalFormatting sqref="Q814 Q816:Q852">
    <cfRule type="containsText" dxfId="1223" priority="2657" operator="containsText" text="PETICION DE BAJA SIN RETIRO ">
      <formula>NOT(ISERROR(SEARCH("PETICION DE BAJA SIN RETIRO ",Q814)))</formula>
    </cfRule>
    <cfRule type="containsText" dxfId="1222" priority="2656" operator="containsText" text="PETICION DE BAJA SIN RETIRO">
      <formula>NOT(ISERROR(SEARCH("PETICION DE BAJA SIN RETIRO",Q814)))</formula>
    </cfRule>
  </conditionalFormatting>
  <conditionalFormatting sqref="Q815">
    <cfRule type="containsText" dxfId="1221" priority="512" operator="containsText" text="PETICION DE BAJA SIN RETIRO">
      <formula>NOT(ISERROR(SEARCH("PETICION DE BAJA SIN RETIRO",Q815)))</formula>
    </cfRule>
    <cfRule type="containsText" dxfId="1220" priority="513" operator="containsText" text="PETICION DE BAJA SIN RETIRO ">
      <formula>NOT(ISERROR(SEARCH("PETICION DE BAJA SIN RETIRO ",Q815)))</formula>
    </cfRule>
    <cfRule type="containsText" dxfId="1219" priority="511" operator="containsText" text="BAJA NO ESTABA EN EL LISTADO">
      <formula>NOT(ISERROR(SEARCH("BAJA NO ESTABA EN EL LISTADO",Q815)))</formula>
    </cfRule>
    <cfRule type="containsText" dxfId="1218" priority="510" operator="containsText" text="BAJA NO ESTABA EN ">
      <formula>NOT(ISERROR(SEARCH("BAJA NO ESTABA EN ",Q815)))</formula>
    </cfRule>
  </conditionalFormatting>
  <conditionalFormatting sqref="Q826">
    <cfRule type="containsText" dxfId="1217" priority="795" operator="containsText" text="PETICION DE BAJA SIN RETIRO ">
      <formula>NOT(ISERROR(SEARCH("PETICION DE BAJA SIN RETIRO ",Q826)))</formula>
    </cfRule>
    <cfRule type="containsText" dxfId="1216" priority="794" operator="containsText" text="PETICION DE BAJA SIN RETIRO">
      <formula>NOT(ISERROR(SEARCH("PETICION DE BAJA SIN RETIRO",Q826)))</formula>
    </cfRule>
  </conditionalFormatting>
  <conditionalFormatting sqref="Q830">
    <cfRule type="containsText" dxfId="1215" priority="786" operator="containsText" text="PETICION DE BAJA SIN RETIRO">
      <formula>NOT(ISERROR(SEARCH("PETICION DE BAJA SIN RETIRO",Q830)))</formula>
    </cfRule>
    <cfRule type="containsText" dxfId="1214" priority="787" operator="containsText" text="PETICION DE BAJA SIN RETIRO ">
      <formula>NOT(ISERROR(SEARCH("PETICION DE BAJA SIN RETIRO ",Q830)))</formula>
    </cfRule>
  </conditionalFormatting>
  <conditionalFormatting sqref="Q854:Q1049">
    <cfRule type="containsText" dxfId="1213" priority="1025" operator="containsText" text="PETICION DE BAJA SIN RETIRO">
      <formula>NOT(ISERROR(SEARCH("PETICION DE BAJA SIN RETIRO",Q854)))</formula>
    </cfRule>
    <cfRule type="containsText" dxfId="1212" priority="1026" operator="containsText" text="PETICION DE BAJA SIN RETIRO ">
      <formula>NOT(ISERROR(SEARCH("PETICION DE BAJA SIN RETIRO ",Q854)))</formula>
    </cfRule>
  </conditionalFormatting>
  <conditionalFormatting sqref="Q891">
    <cfRule type="containsText" dxfId="1211" priority="779" operator="containsText" text="PETICION DE BAJA SIN RETIRO ">
      <formula>NOT(ISERROR(SEARCH("PETICION DE BAJA SIN RETIRO ",Q891)))</formula>
    </cfRule>
    <cfRule type="containsText" dxfId="1210" priority="778" operator="containsText" text="PETICION DE BAJA SIN RETIRO">
      <formula>NOT(ISERROR(SEARCH("PETICION DE BAJA SIN RETIRO",Q891)))</formula>
    </cfRule>
  </conditionalFormatting>
  <conditionalFormatting sqref="Q899">
    <cfRule type="containsText" dxfId="1209" priority="771" operator="containsText" text="PETICION DE BAJA SIN RETIRO ">
      <formula>NOT(ISERROR(SEARCH("PETICION DE BAJA SIN RETIRO ",Q899)))</formula>
    </cfRule>
    <cfRule type="containsText" dxfId="1208" priority="770" operator="containsText" text="PETICION DE BAJA SIN RETIRO">
      <formula>NOT(ISERROR(SEARCH("PETICION DE BAJA SIN RETIRO",Q899)))</formula>
    </cfRule>
  </conditionalFormatting>
  <conditionalFormatting sqref="Q913">
    <cfRule type="containsText" dxfId="1207" priority="758" operator="containsText" text="PETICION DE BAJA SIN RETIRO">
      <formula>NOT(ISERROR(SEARCH("PETICION DE BAJA SIN RETIRO",Q913)))</formula>
    </cfRule>
    <cfRule type="containsText" dxfId="1206" priority="759" operator="containsText" text="PETICION DE BAJA SIN RETIRO ">
      <formula>NOT(ISERROR(SEARCH("PETICION DE BAJA SIN RETIRO ",Q913)))</formula>
    </cfRule>
  </conditionalFormatting>
  <conditionalFormatting sqref="Q919">
    <cfRule type="containsText" dxfId="1205" priority="746" operator="containsText" text="PETICION DE BAJA SIN RETIRO">
      <formula>NOT(ISERROR(SEARCH("PETICION DE BAJA SIN RETIRO",Q919)))</formula>
    </cfRule>
    <cfRule type="containsText" dxfId="1204" priority="747" operator="containsText" text="PETICION DE BAJA SIN RETIRO ">
      <formula>NOT(ISERROR(SEARCH("PETICION DE BAJA SIN RETIRO ",Q919)))</formula>
    </cfRule>
  </conditionalFormatting>
  <conditionalFormatting sqref="Q1048">
    <cfRule type="containsText" dxfId="1203" priority="738" operator="containsText" text="PETICION DE BAJA SIN RETIRO">
      <formula>NOT(ISERROR(SEARCH("PETICION DE BAJA SIN RETIRO",Q1048)))</formula>
    </cfRule>
    <cfRule type="containsText" dxfId="1202" priority="739" operator="containsText" text="PETICION DE BAJA SIN RETIRO ">
      <formula>NOT(ISERROR(SEARCH("PETICION DE BAJA SIN RETIRO ",Q1048)))</formula>
    </cfRule>
  </conditionalFormatting>
  <conditionalFormatting sqref="Q1050:Q1073">
    <cfRule type="containsText" dxfId="1201" priority="490" operator="containsText" text="PETICION DE BAJA SIN RETIRO">
      <formula>NOT(ISERROR(SEARCH("PETICION DE BAJA SIN RETIRO",Q1050)))</formula>
    </cfRule>
    <cfRule type="containsText" dxfId="1200" priority="489" operator="containsText" text="BAJA NO ESTABA EN EL LISTADO">
      <formula>NOT(ISERROR(SEARCH("BAJA NO ESTABA EN EL LISTADO",Q1050)))</formula>
    </cfRule>
    <cfRule type="containsText" dxfId="1199" priority="488" operator="containsText" text="BAJA NO ESTABA EN ">
      <formula>NOT(ISERROR(SEARCH("BAJA NO ESTABA EN ",Q1050)))</formula>
    </cfRule>
    <cfRule type="containsText" dxfId="1198" priority="491" operator="containsText" text="PETICION DE BAJA SIN RETIRO ">
      <formula>NOT(ISERROR(SEARCH("PETICION DE BAJA SIN RETIRO ",Q1050)))</formula>
    </cfRule>
  </conditionalFormatting>
  <conditionalFormatting sqref="Q1074:Q1076">
    <cfRule type="containsText" dxfId="1197" priority="2669" operator="containsText" text="PETICION DE BAJA SIN RETIRO ">
      <formula>NOT(ISERROR(SEARCH("PETICION DE BAJA SIN RETIRO ",Q1074)))</formula>
    </cfRule>
    <cfRule type="containsText" dxfId="1196" priority="2668" operator="containsText" text="PETICION DE BAJA SIN RETIRO">
      <formula>NOT(ISERROR(SEARCH("PETICION DE BAJA SIN RETIRO",Q1074)))</formula>
    </cfRule>
  </conditionalFormatting>
  <conditionalFormatting sqref="Q1077">
    <cfRule type="containsText" dxfId="1195" priority="734" operator="containsText" text="PETICION DE BAJA SIN RETIRO">
      <formula>NOT(ISERROR(SEARCH("PETICION DE BAJA SIN RETIRO",Q1077)))</formula>
    </cfRule>
    <cfRule type="containsText" dxfId="1194" priority="735" operator="containsText" text="PETICION DE BAJA SIN RETIRO ">
      <formula>NOT(ISERROR(SEARCH("PETICION DE BAJA SIN RETIRO ",Q1077)))</formula>
    </cfRule>
  </conditionalFormatting>
  <conditionalFormatting sqref="Q1078:Q1103 Q1105:Q1153">
    <cfRule type="containsText" dxfId="1193" priority="3221" operator="containsText" text="PETICION DE BAJA SIN RETIRO">
      <formula>NOT(ISERROR(SEARCH("PETICION DE BAJA SIN RETIRO",Q1078)))</formula>
    </cfRule>
    <cfRule type="containsText" dxfId="1192" priority="3222" operator="containsText" text="PETICION DE BAJA SIN RETIRO ">
      <formula>NOT(ISERROR(SEARCH("PETICION DE BAJA SIN RETIRO ",Q1078)))</formula>
    </cfRule>
  </conditionalFormatting>
  <conditionalFormatting sqref="Q1104">
    <cfRule type="containsText" dxfId="1191" priority="482" operator="containsText" text="PETICION DE BAJA SIN RETIRO ">
      <formula>NOT(ISERROR(SEARCH("PETICION DE BAJA SIN RETIRO ",Q1104)))</formula>
    </cfRule>
    <cfRule type="containsText" dxfId="1190" priority="481" operator="containsText" text="PETICION DE BAJA SIN RETIRO">
      <formula>NOT(ISERROR(SEARCH("PETICION DE BAJA SIN RETIRO",Q1104)))</formula>
    </cfRule>
    <cfRule type="containsText" dxfId="1189" priority="479" operator="containsText" text="BAJA NO ESTABA EN ">
      <formula>NOT(ISERROR(SEARCH("BAJA NO ESTABA EN ",Q1104)))</formula>
    </cfRule>
    <cfRule type="containsText" dxfId="1188" priority="480" operator="containsText" text="BAJA NO ESTABA EN EL LISTADO">
      <formula>NOT(ISERROR(SEARCH("BAJA NO ESTABA EN EL LISTADO",Q1104)))</formula>
    </cfRule>
  </conditionalFormatting>
  <conditionalFormatting sqref="Q1105:Q1478 Q1:Q29 Q223:Q225 Q697:Q738 Q662:Q695 Q1074:Q1103">
    <cfRule type="containsText" dxfId="1187" priority="2643" operator="containsText" text="BAJA NO ESTABA EN ">
      <formula>NOT(ISERROR(SEARCH("BAJA NO ESTABA EN ",Q1)))</formula>
    </cfRule>
    <cfRule type="containsText" dxfId="1186" priority="2644" operator="containsText" text="BAJA NO ESTABA EN EL LISTADO">
      <formula>NOT(ISERROR(SEARCH("BAJA NO ESTABA EN EL LISTADO",Q1)))</formula>
    </cfRule>
  </conditionalFormatting>
  <conditionalFormatting sqref="Q1155:Q1157">
    <cfRule type="containsText" dxfId="1185" priority="711" operator="containsText" text="PETICION DE BAJA SIN RETIRO ">
      <formula>NOT(ISERROR(SEARCH("PETICION DE BAJA SIN RETIRO ",Q1155)))</formula>
    </cfRule>
    <cfRule type="containsText" dxfId="1184" priority="710" operator="containsText" text="PETICION DE BAJA SIN RETIRO">
      <formula>NOT(ISERROR(SEARCH("PETICION DE BAJA SIN RETIRO",Q1155)))</formula>
    </cfRule>
  </conditionalFormatting>
  <conditionalFormatting sqref="Q1155:Q1478">
    <cfRule type="containsText" dxfId="1183" priority="2650" operator="containsText" text="PETICION DE BAJA SIN RETIRO ">
      <formula>NOT(ISERROR(SEARCH("PETICION DE BAJA SIN RETIRO ",Q1155)))</formula>
    </cfRule>
    <cfRule type="containsText" dxfId="1182" priority="2649" operator="containsText" text="PETICION DE BAJA SIN RETIRO">
      <formula>NOT(ISERROR(SEARCH("PETICION DE BAJA SIN RETIRO",Q1155)))</formula>
    </cfRule>
  </conditionalFormatting>
  <conditionalFormatting sqref="Q1295:Q1476">
    <cfRule type="containsText" dxfId="1181" priority="2641" operator="containsText" text="PETICION DE BAJA SIN RETIRO">
      <formula>NOT(ISERROR(SEARCH("PETICION DE BAJA SIN RETIRO",Q1295)))</formula>
    </cfRule>
    <cfRule type="containsText" dxfId="1180" priority="2642" operator="containsText" text="PETICION DE BAJA SIN RETIRO ">
      <formula>NOT(ISERROR(SEARCH("PETICION DE BAJA SIN RETIRO ",Q1295)))</formula>
    </cfRule>
  </conditionalFormatting>
  <conditionalFormatting sqref="Q1479">
    <cfRule type="containsText" dxfId="1179" priority="474" operator="containsText" text="PETICION DE BAJA SIN RETIRO ">
      <formula>NOT(ISERROR(SEARCH("PETICION DE BAJA SIN RETIRO ",Q1479)))</formula>
    </cfRule>
    <cfRule type="containsText" dxfId="1178" priority="472" operator="containsText" text="BAJA NO ESTABA EN EL LISTADO">
      <formula>NOT(ISERROR(SEARCH("BAJA NO ESTABA EN EL LISTADO",Q1479)))</formula>
    </cfRule>
    <cfRule type="containsText" dxfId="1177" priority="471" operator="containsText" text="BAJA NO ESTABA EN ">
      <formula>NOT(ISERROR(SEARCH("BAJA NO ESTABA EN ",Q1479)))</formula>
    </cfRule>
    <cfRule type="containsText" dxfId="1176" priority="473" operator="containsText" text="PETICION DE BAJA SIN RETIRO">
      <formula>NOT(ISERROR(SEARCH("PETICION DE BAJA SIN RETIRO",Q1479)))</formula>
    </cfRule>
  </conditionalFormatting>
  <conditionalFormatting sqref="Q1525">
    <cfRule type="containsText" dxfId="1175" priority="694" operator="containsText" text="BAJA NO ESTABA EN EL LISTADO">
      <formula>NOT(ISERROR(SEARCH("BAJA NO ESTABA EN EL LISTADO",Q1525)))</formula>
    </cfRule>
    <cfRule type="containsText" dxfId="1174" priority="696" operator="containsText" text="PETICION DE BAJA SIN RETIRO ">
      <formula>NOT(ISERROR(SEARCH("PETICION DE BAJA SIN RETIRO ",Q1525)))</formula>
    </cfRule>
    <cfRule type="containsText" dxfId="1173" priority="693" operator="containsText" text="BAJA NO ESTABA EN ">
      <formula>NOT(ISERROR(SEARCH("BAJA NO ESTABA EN ",Q1525)))</formula>
    </cfRule>
    <cfRule type="containsText" dxfId="1172" priority="695" operator="containsText" text="PETICION DE BAJA SIN RETIRO">
      <formula>NOT(ISERROR(SEARCH("PETICION DE BAJA SIN RETIRO",Q1525)))</formula>
    </cfRule>
  </conditionalFormatting>
  <conditionalFormatting sqref="S1:S8">
    <cfRule type="containsText" dxfId="1171" priority="2539" operator="containsText" text="VISITA EN FALSO">
      <formula>NOT(ISERROR(SEARCH("VISITA EN FALSO",S1)))</formula>
    </cfRule>
  </conditionalFormatting>
  <conditionalFormatting sqref="S1:S9 D1:D1048576">
    <cfRule type="containsText" dxfId="1170" priority="2540" operator="containsText" text="BAJA">
      <formula>NOT(ISERROR(SEARCH("BAJA",D1)))</formula>
    </cfRule>
  </conditionalFormatting>
  <conditionalFormatting sqref="S1:S10 S1790:S1048576 S607:S614">
    <cfRule type="containsText" dxfId="1169" priority="2522" operator="containsText" text="DES-INSTALACION">
      <formula>NOT(ISERROR(SEARCH("DES-INSTALACION",S1)))</formula>
    </cfRule>
  </conditionalFormatting>
  <conditionalFormatting sqref="S1:S55">
    <cfRule type="containsText" dxfId="1168" priority="2471" operator="containsText" text="DES-INSTALACION">
      <formula>NOT(ISERROR(SEARCH("DES-INSTALACION",S1)))</formula>
    </cfRule>
  </conditionalFormatting>
  <conditionalFormatting sqref="S9 S38:S43 S46:S48 S50:S51 S57 S61 S77:S78 S86 S90:S92 S99 S101 S66">
    <cfRule type="containsText" dxfId="1167" priority="9773" operator="containsText" text="BAJA">
      <formula>NOT(ISERROR(SEARCH("BAJA",S9)))</formula>
    </cfRule>
  </conditionalFormatting>
  <conditionalFormatting sqref="S10">
    <cfRule type="containsText" dxfId="1166" priority="2524" operator="containsText" text="BAJA">
      <formula>NOT(ISERROR(SEARCH("BAJA",S10)))</formula>
    </cfRule>
    <cfRule type="containsText" dxfId="1165" priority="2523" operator="containsText" text="VISITA EN FALSO">
      <formula>NOT(ISERROR(SEARCH("VISITA EN FALSO",S10)))</formula>
    </cfRule>
  </conditionalFormatting>
  <conditionalFormatting sqref="S11">
    <cfRule type="containsText" dxfId="1164" priority="4172" operator="containsText" text="BAJA">
      <formula>NOT(ISERROR(SEARCH("BAJA",S11)))</formula>
    </cfRule>
  </conditionalFormatting>
  <conditionalFormatting sqref="S11:S12">
    <cfRule type="containsText" dxfId="1163" priority="4171" operator="containsText" text="VISITA EN FALSO">
      <formula>NOT(ISERROR(SEARCH("VISITA EN FALSO",S11)))</formula>
    </cfRule>
  </conditionalFormatting>
  <conditionalFormatting sqref="S12">
    <cfRule type="containsText" dxfId="1162" priority="9478" operator="containsText" text="REVISION">
      <formula>NOT(ISERROR(SEARCH("REVISION",S12)))</formula>
    </cfRule>
    <cfRule type="containsText" dxfId="1161" priority="9482" operator="containsText" text="INACTIVO">
      <formula>NOT(ISERROR(SEARCH("INACTIVO",S12)))</formula>
    </cfRule>
    <cfRule type="containsText" dxfId="1160" priority="9483" operator="containsText" text="ACTIVO">
      <formula>NOT(ISERROR(SEARCH("ACTIVO",S12)))</formula>
    </cfRule>
    <cfRule type="containsText" dxfId="1159" priority="9479" operator="containsText" text="ACTIVO ">
      <formula>NOT(ISERROR(SEARCH("ACTIVO ",S12)))</formula>
    </cfRule>
    <cfRule type="containsText" dxfId="1158" priority="9481" operator="containsText" text="BAJA">
      <formula>NOT(ISERROR(SEARCH("BAJA",S12)))</formula>
    </cfRule>
    <cfRule type="containsText" dxfId="1157" priority="9477" operator="containsText" text="ACTIVO">
      <formula>NOT(ISERROR(SEARCH("ACTIVO",S12)))</formula>
    </cfRule>
    <cfRule type="containsText" dxfId="1156" priority="9480" operator="containsText" text="REVISION">
      <formula>NOT(ISERROR(SEARCH("REVISION",S12)))</formula>
    </cfRule>
  </conditionalFormatting>
  <conditionalFormatting sqref="S12:S55">
    <cfRule type="containsText" dxfId="1155" priority="2472" operator="containsText" text="DES-INSTALACION">
      <formula>NOT(ISERROR(SEARCH("DES-INSTALACION",S12)))</formula>
    </cfRule>
  </conditionalFormatting>
  <conditionalFormatting sqref="S13:S15">
    <cfRule type="containsText" dxfId="1154" priority="2515" operator="containsText" text="VISITA EN FALSO">
      <formula>NOT(ISERROR(SEARCH("VISITA EN FALSO",S13)))</formula>
    </cfRule>
    <cfRule type="containsText" dxfId="1153" priority="2516" operator="containsText" text="BAJA">
      <formula>NOT(ISERROR(SEARCH("BAJA",S13)))</formula>
    </cfRule>
  </conditionalFormatting>
  <conditionalFormatting sqref="S15:S17">
    <cfRule type="containsText" dxfId="1152" priority="2508" operator="containsText" text="BAJA">
      <formula>NOT(ISERROR(SEARCH("BAJA",S15)))</formula>
    </cfRule>
  </conditionalFormatting>
  <conditionalFormatting sqref="S16:S37">
    <cfRule type="containsText" dxfId="1151" priority="2507" operator="containsText" text="VISITA EN FALSO">
      <formula>NOT(ISERROR(SEARCH("VISITA EN FALSO",S16)))</formula>
    </cfRule>
  </conditionalFormatting>
  <conditionalFormatting sqref="S18">
    <cfRule type="containsText" dxfId="1150" priority="9476" operator="containsText" text="ACTIVO">
      <formula>NOT(ISERROR(SEARCH("ACTIVO",S18)))</formula>
    </cfRule>
    <cfRule type="containsText" dxfId="1149" priority="9474" operator="containsText" text="BAJA">
      <formula>NOT(ISERROR(SEARCH("BAJA",S18)))</formula>
    </cfRule>
    <cfRule type="containsText" dxfId="1148" priority="9475" operator="containsText" text="INACTIVO">
      <formula>NOT(ISERROR(SEARCH("INACTIVO",S18)))</formula>
    </cfRule>
    <cfRule type="containsText" dxfId="1147" priority="9472" operator="containsText" text="ACTIVO ">
      <formula>NOT(ISERROR(SEARCH("ACTIVO ",S18)))</formula>
    </cfRule>
    <cfRule type="containsText" dxfId="1146" priority="9471" operator="containsText" text="REVISION">
      <formula>NOT(ISERROR(SEARCH("REVISION",S18)))</formula>
    </cfRule>
    <cfRule type="containsText" dxfId="1145" priority="9473" operator="containsText" text="REVISION">
      <formula>NOT(ISERROR(SEARCH("REVISION",S18)))</formula>
    </cfRule>
    <cfRule type="containsText" dxfId="1144" priority="9470" operator="containsText" text="ACTIVO">
      <formula>NOT(ISERROR(SEARCH("ACTIVO",S18)))</formula>
    </cfRule>
  </conditionalFormatting>
  <conditionalFormatting sqref="S19:S37">
    <cfRule type="containsText" dxfId="1143" priority="2544" operator="containsText" text="BAJA">
      <formula>NOT(ISERROR(SEARCH("BAJA",S19)))</formula>
    </cfRule>
  </conditionalFormatting>
  <conditionalFormatting sqref="S38:S43 S635:S660 S60:S61 S99:S102 S77:S78 S86 S603 S626:S627 S57 S90:S92 S9 S46:S48 S50:S51 S126:S127">
    <cfRule type="containsText" dxfId="1142" priority="9415" operator="containsText" text="VISITA EN FALSO">
      <formula>NOT(ISERROR(SEARCH("VISITA EN FALSO",S9)))</formula>
    </cfRule>
  </conditionalFormatting>
  <conditionalFormatting sqref="S40">
    <cfRule type="containsText" dxfId="1141" priority="8835" operator="containsText" text="BAJA">
      <formula>NOT(ISERROR(SEARCH("BAJA",S40)))</formula>
    </cfRule>
  </conditionalFormatting>
  <conditionalFormatting sqref="S42:S46">
    <cfRule type="containsText" dxfId="1140" priority="2492" operator="containsText" text="BAJA">
      <formula>NOT(ISERROR(SEARCH("BAJA",S42)))</formula>
    </cfRule>
  </conditionalFormatting>
  <conditionalFormatting sqref="S44:S45">
    <cfRule type="containsText" dxfId="1139" priority="2491" operator="containsText" text="VISITA EN FALSO">
      <formula>NOT(ISERROR(SEARCH("VISITA EN FALSO",S44)))</formula>
    </cfRule>
  </conditionalFormatting>
  <conditionalFormatting sqref="S48:S50">
    <cfRule type="containsText" dxfId="1138" priority="2484" operator="containsText" text="BAJA">
      <formula>NOT(ISERROR(SEARCH("BAJA",S48)))</formula>
    </cfRule>
  </conditionalFormatting>
  <conditionalFormatting sqref="S49">
    <cfRule type="containsText" dxfId="1137" priority="2483" operator="containsText" text="VISITA EN FALSO">
      <formula>NOT(ISERROR(SEARCH("VISITA EN FALSO",S49)))</formula>
    </cfRule>
  </conditionalFormatting>
  <conditionalFormatting sqref="S52:S55">
    <cfRule type="containsText" dxfId="1136" priority="2474" operator="containsText" text="BAJA">
      <formula>NOT(ISERROR(SEARCH("BAJA",S52)))</formula>
    </cfRule>
    <cfRule type="containsText" dxfId="1135" priority="2473" operator="containsText" text="VISITA EN FALSO">
      <formula>NOT(ISERROR(SEARCH("VISITA EN FALSO",S52)))</formula>
    </cfRule>
  </conditionalFormatting>
  <conditionalFormatting sqref="S56">
    <cfRule type="containsText" dxfId="1134" priority="2469" operator="containsText" text="PETICION DE BAJA SIN RETIRO ">
      <formula>NOT(ISERROR(SEARCH("PETICION DE BAJA SIN RETIRO ",S56)))</formula>
    </cfRule>
    <cfRule type="containsText" dxfId="1133" priority="2467" operator="containsText" text="BAJA NO ESTABA EN EL LISTADO">
      <formula>NOT(ISERROR(SEARCH("BAJA NO ESTABA EN EL LISTADO",S56)))</formula>
    </cfRule>
    <cfRule type="containsText" dxfId="1132" priority="2466" operator="containsText" text="BAJA NO ESTABA EN ">
      <formula>NOT(ISERROR(SEARCH("BAJA NO ESTABA EN ",S56)))</formula>
    </cfRule>
    <cfRule type="containsText" dxfId="1131" priority="2468" operator="containsText" text="PETICION DE BAJA SIN RETIRO">
      <formula>NOT(ISERROR(SEARCH("PETICION DE BAJA SIN RETIRO",S56)))</formula>
    </cfRule>
  </conditionalFormatting>
  <conditionalFormatting sqref="S58">
    <cfRule type="containsText" dxfId="1130" priority="2443" operator="containsText" text="PETICION DE BAJA SIN RETIRO ">
      <formula>NOT(ISERROR(SEARCH("PETICION DE BAJA SIN RETIRO ",S58)))</formula>
    </cfRule>
    <cfRule type="containsText" dxfId="1129" priority="2442" operator="containsText" text="PETICION DE BAJA SIN RETIRO">
      <formula>NOT(ISERROR(SEARCH("PETICION DE BAJA SIN RETIRO",S58)))</formula>
    </cfRule>
    <cfRule type="containsText" dxfId="1128" priority="2441" operator="containsText" text="BAJA NO ESTABA EN EL LISTADO">
      <formula>NOT(ISERROR(SEARCH("BAJA NO ESTABA EN EL LISTADO",S58)))</formula>
    </cfRule>
    <cfRule type="containsText" dxfId="1127" priority="2440" operator="containsText" text="BAJA NO ESTABA EN ">
      <formula>NOT(ISERROR(SEARCH("BAJA NO ESTABA EN ",S58)))</formula>
    </cfRule>
  </conditionalFormatting>
  <conditionalFormatting sqref="S59">
    <cfRule type="containsText" dxfId="1126" priority="2363" operator="containsText" text="VISITA EN FALSO">
      <formula>NOT(ISERROR(SEARCH("VISITA EN FALSO",S59)))</formula>
    </cfRule>
    <cfRule type="containsText" dxfId="1125" priority="2364" operator="containsText" text="BAJA">
      <formula>NOT(ISERROR(SEARCH("BAJA",S59)))</formula>
    </cfRule>
  </conditionalFormatting>
  <conditionalFormatting sqref="S59:S97">
    <cfRule type="containsText" dxfId="1124" priority="2351" operator="containsText" text="DES-INSTALACION">
      <formula>NOT(ISERROR(SEARCH("DES-INSTALACION",S59)))</formula>
    </cfRule>
  </conditionalFormatting>
  <conditionalFormatting sqref="S59:S150 S1084:S1048576">
    <cfRule type="containsText" dxfId="1123" priority="2305" operator="containsText" text="DES-INSTALACION">
      <formula>NOT(ISERROR(SEARCH("DES-INSTALACION",S59)))</formula>
    </cfRule>
  </conditionalFormatting>
  <conditionalFormatting sqref="S60">
    <cfRule type="containsText" dxfId="1122" priority="9458" operator="containsText" text="INSTALACION">
      <formula>NOT(ISERROR(SEARCH("INSTALACION",S60)))</formula>
    </cfRule>
    <cfRule type="containsText" dxfId="1121" priority="9450" operator="containsText" text="DES-INSTALACION">
      <formula>NOT(ISERROR(SEARCH("DES-INSTALACION",S60)))</formula>
    </cfRule>
    <cfRule type="containsText" dxfId="1120" priority="9451" operator="containsText" text="instalacion">
      <formula>NOT(ISERROR(SEARCH("instalacion",S60)))</formula>
    </cfRule>
    <cfRule type="containsText" dxfId="1119" priority="9457" operator="containsText" text="DES-INSTALACION">
      <formula>NOT(ISERROR(SEARCH("DES-INSTALACION",S60)))</formula>
    </cfRule>
    <cfRule type="containsText" dxfId="1118" priority="9456" operator="containsText" text="RE-INSTALACION">
      <formula>NOT(ISERROR(SEARCH("RE-INSTALACION",S60)))</formula>
    </cfRule>
    <cfRule type="containsText" dxfId="1117" priority="9455" operator="containsText" text="BAJA">
      <formula>NOT(ISERROR(SEARCH("BAJA",S60)))</formula>
    </cfRule>
    <cfRule type="containsText" dxfId="1116" priority="9454" operator="containsText" text="REVISION">
      <formula>NOT(ISERROR(SEARCH("REVISION",S60)))</formula>
    </cfRule>
    <cfRule type="containsText" dxfId="1115" priority="9449" operator="containsText" text="RE-INSTALACION">
      <formula>NOT(ISERROR(SEARCH("RE-INSTALACION",S60)))</formula>
    </cfRule>
    <cfRule type="containsText" dxfId="1114" priority="9453" operator="containsText" text="MIGRACION">
      <formula>NOT(ISERROR(SEARCH("MIGRACION",S60)))</formula>
    </cfRule>
    <cfRule type="containsText" dxfId="1113" priority="9452" operator="containsText" text="REVISION">
      <formula>NOT(ISERROR(SEARCH("REVISION",S60)))</formula>
    </cfRule>
  </conditionalFormatting>
  <conditionalFormatting sqref="S61:S64">
    <cfRule type="containsText" dxfId="1112" priority="7033" operator="containsText" text="BAJA">
      <formula>NOT(ISERROR(SEARCH("BAJA",S61)))</formula>
    </cfRule>
  </conditionalFormatting>
  <conditionalFormatting sqref="S62:S64">
    <cfRule type="containsText" dxfId="1111" priority="7032" operator="containsText" text="VISITA EN FALSO">
      <formula>NOT(ISERROR(SEARCH("VISITA EN FALSO",S62)))</formula>
    </cfRule>
  </conditionalFormatting>
  <conditionalFormatting sqref="S64:S66">
    <cfRule type="containsText" dxfId="1110" priority="2425" operator="containsText" text="BAJA">
      <formula>NOT(ISERROR(SEARCH("BAJA",S64)))</formula>
    </cfRule>
  </conditionalFormatting>
  <conditionalFormatting sqref="S65">
    <cfRule type="containsText" dxfId="1109" priority="2424" operator="containsText" text="VISITA EN FALSO">
      <formula>NOT(ISERROR(SEARCH("VISITA EN FALSO",S65)))</formula>
    </cfRule>
  </conditionalFormatting>
  <conditionalFormatting sqref="S66:S71">
    <cfRule type="containsText" dxfId="1108" priority="5467" operator="containsText" text="VISITA EN FALSO">
      <formula>NOT(ISERROR(SEARCH("VISITA EN FALSO",S66)))</formula>
    </cfRule>
  </conditionalFormatting>
  <conditionalFormatting sqref="S67">
    <cfRule type="containsText" dxfId="1107" priority="9461" operator="containsText" text="DES-INSTALACION">
      <formula>NOT(ISERROR(SEARCH("DES-INSTALACION",S67)))</formula>
    </cfRule>
    <cfRule type="containsText" dxfId="1106" priority="9460" operator="containsText" text="RE-INSTALACION">
      <formula>NOT(ISERROR(SEARCH("RE-INSTALACION",S67)))</formula>
    </cfRule>
    <cfRule type="containsText" dxfId="1105" priority="9465" operator="containsText" text="REVISION">
      <formula>NOT(ISERROR(SEARCH("REVISION",S67)))</formula>
    </cfRule>
    <cfRule type="containsText" dxfId="1104" priority="9469" operator="containsText" text="INSTALACION">
      <formula>NOT(ISERROR(SEARCH("INSTALACION",S67)))</formula>
    </cfRule>
    <cfRule type="containsText" dxfId="1103" priority="9468" operator="containsText" text="DES-INSTALACION">
      <formula>NOT(ISERROR(SEARCH("DES-INSTALACION",S67)))</formula>
    </cfRule>
    <cfRule type="containsText" dxfId="1102" priority="9467" operator="containsText" text="RE-INSTALACION">
      <formula>NOT(ISERROR(SEARCH("RE-INSTALACION",S67)))</formula>
    </cfRule>
    <cfRule type="containsText" dxfId="1101" priority="9466" operator="containsText" text="BAJA">
      <formula>NOT(ISERROR(SEARCH("BAJA",S67)))</formula>
    </cfRule>
    <cfRule type="containsText" dxfId="1100" priority="9464" operator="containsText" text="MIGRACION">
      <formula>NOT(ISERROR(SEARCH("MIGRACION",S67)))</formula>
    </cfRule>
    <cfRule type="containsText" dxfId="1099" priority="9463" operator="containsText" text="REVISION">
      <formula>NOT(ISERROR(SEARCH("REVISION",S67)))</formula>
    </cfRule>
    <cfRule type="containsText" dxfId="1098" priority="9462" operator="containsText" text="instalacion">
      <formula>NOT(ISERROR(SEARCH("instalacion",S67)))</formula>
    </cfRule>
  </conditionalFormatting>
  <conditionalFormatting sqref="S68:S71">
    <cfRule type="containsText" dxfId="1097" priority="5468" operator="containsText" text="BAJA">
      <formula>NOT(ISERROR(SEARCH("BAJA",S68)))</formula>
    </cfRule>
  </conditionalFormatting>
  <conditionalFormatting sqref="S72:S74">
    <cfRule type="containsText" dxfId="1096" priority="2414" operator="containsText" text="VISITA EN FALSO">
      <formula>NOT(ISERROR(SEARCH("VISITA EN FALSO",S72)))</formula>
    </cfRule>
    <cfRule type="containsText" dxfId="1095" priority="2415" operator="containsText" text="BAJA">
      <formula>NOT(ISERROR(SEARCH("BAJA",S72)))</formula>
    </cfRule>
  </conditionalFormatting>
  <conditionalFormatting sqref="S74:S76">
    <cfRule type="containsText" dxfId="1094" priority="2397" operator="containsText" text="BAJA">
      <formula>NOT(ISERROR(SEARCH("BAJA",S74)))</formula>
    </cfRule>
  </conditionalFormatting>
  <conditionalFormatting sqref="S75:S76">
    <cfRule type="containsText" dxfId="1093" priority="2396" operator="containsText" text="VISITA EN FALSO">
      <formula>NOT(ISERROR(SEARCH("VISITA EN FALSO",S75)))</formula>
    </cfRule>
  </conditionalFormatting>
  <conditionalFormatting sqref="S77:S86">
    <cfRule type="containsText" dxfId="1092" priority="5441" operator="containsText" text="BAJA">
      <formula>NOT(ISERROR(SEARCH("BAJA",S77)))</formula>
    </cfRule>
  </conditionalFormatting>
  <conditionalFormatting sqref="S79:S85">
    <cfRule type="containsText" dxfId="1091" priority="5440" operator="containsText" text="VISITA EN FALSO">
      <formula>NOT(ISERROR(SEARCH("VISITA EN FALSO",S79)))</formula>
    </cfRule>
  </conditionalFormatting>
  <conditionalFormatting sqref="S87:S89">
    <cfRule type="containsText" dxfId="1090" priority="4313" operator="containsText" text="VISITA EN FALSO">
      <formula>NOT(ISERROR(SEARCH("VISITA EN FALSO",S87)))</formula>
    </cfRule>
  </conditionalFormatting>
  <conditionalFormatting sqref="S87:S93">
    <cfRule type="containsText" dxfId="1089" priority="4314" operator="containsText" text="BAJA">
      <formula>NOT(ISERROR(SEARCH("BAJA",S87)))</formula>
    </cfRule>
  </conditionalFormatting>
  <conditionalFormatting sqref="S93:S97">
    <cfRule type="containsText" dxfId="1088" priority="2352" operator="containsText" text="VISITA EN FALSO">
      <formula>NOT(ISERROR(SEARCH("VISITA EN FALSO",S93)))</formula>
    </cfRule>
  </conditionalFormatting>
  <conditionalFormatting sqref="S94">
    <cfRule type="containsText" dxfId="1087" priority="9444" operator="containsText" text="BAJA">
      <formula>NOT(ISERROR(SEARCH("BAJA",S94)))</formula>
    </cfRule>
    <cfRule type="containsText" dxfId="1086" priority="9439" operator="containsText" text="DES-INSTALACION">
      <formula>NOT(ISERROR(SEARCH("DES-INSTALACION",S94)))</formula>
    </cfRule>
    <cfRule type="containsText" dxfId="1085" priority="9438" operator="containsText" text="RE-INSTALACION">
      <formula>NOT(ISERROR(SEARCH("RE-INSTALACION",S94)))</formula>
    </cfRule>
    <cfRule type="containsText" dxfId="1084" priority="9447" operator="containsText" text="INSTALACION">
      <formula>NOT(ISERROR(SEARCH("INSTALACION",S94)))</formula>
    </cfRule>
    <cfRule type="containsText" dxfId="1083" priority="9445" operator="containsText" text="RE-INSTALACION">
      <formula>NOT(ISERROR(SEARCH("RE-INSTALACION",S94)))</formula>
    </cfRule>
    <cfRule type="containsText" dxfId="1082" priority="9446" operator="containsText" text="DES-INSTALACION">
      <formula>NOT(ISERROR(SEARCH("DES-INSTALACION",S94)))</formula>
    </cfRule>
    <cfRule type="containsText" dxfId="1081" priority="9441" operator="containsText" text="REVISION">
      <formula>NOT(ISERROR(SEARCH("REVISION",S94)))</formula>
    </cfRule>
    <cfRule type="containsText" dxfId="1080" priority="9440" operator="containsText" text="instalacion">
      <formula>NOT(ISERROR(SEARCH("instalacion",S94)))</formula>
    </cfRule>
    <cfRule type="containsText" dxfId="1079" priority="9442" operator="containsText" text="MIGRACION">
      <formula>NOT(ISERROR(SEARCH("MIGRACION",S94)))</formula>
    </cfRule>
    <cfRule type="containsText" dxfId="1078" priority="9443" operator="containsText" text="REVISION">
      <formula>NOT(ISERROR(SEARCH("REVISION",S94)))</formula>
    </cfRule>
  </conditionalFormatting>
  <conditionalFormatting sqref="S95:S97">
    <cfRule type="containsText" dxfId="1077" priority="2353" operator="containsText" text="BAJA">
      <formula>NOT(ISERROR(SEARCH("BAJA",S95)))</formula>
    </cfRule>
  </conditionalFormatting>
  <conditionalFormatting sqref="S98">
    <cfRule type="containsText" dxfId="1076" priority="6730" operator="containsText" text="VISITA EN FALSO">
      <formula>NOT(ISERROR(SEARCH("VISITA EN FALSO",S98)))</formula>
    </cfRule>
  </conditionalFormatting>
  <conditionalFormatting sqref="S98:S99">
    <cfRule type="containsText" dxfId="1075" priority="6731" operator="containsText" text="BAJA">
      <formula>NOT(ISERROR(SEARCH("BAJA",S98)))</formula>
    </cfRule>
  </conditionalFormatting>
  <conditionalFormatting sqref="S100">
    <cfRule type="containsText" dxfId="1074" priority="9489" operator="containsText" text="MIGRACION">
      <formula>NOT(ISERROR(SEARCH("MIGRACION",S100)))</formula>
    </cfRule>
    <cfRule type="containsText" dxfId="1073" priority="9485" operator="containsText" text="RE-INSTALACION">
      <formula>NOT(ISERROR(SEARCH("RE-INSTALACION",S100)))</formula>
    </cfRule>
    <cfRule type="containsText" dxfId="1072" priority="9486" operator="containsText" text="DES-INSTALACION">
      <formula>NOT(ISERROR(SEARCH("DES-INSTALACION",S100)))</formula>
    </cfRule>
    <cfRule type="containsText" dxfId="1071" priority="9487" operator="containsText" text="instalacion">
      <formula>NOT(ISERROR(SEARCH("instalacion",S100)))</formula>
    </cfRule>
    <cfRule type="containsText" dxfId="1070" priority="9494" operator="containsText" text="INSTALACION">
      <formula>NOT(ISERROR(SEARCH("INSTALACION",S100)))</formula>
    </cfRule>
    <cfRule type="containsText" dxfId="1069" priority="9493" operator="containsText" text="DES-INSTALACION">
      <formula>NOT(ISERROR(SEARCH("DES-INSTALACION",S100)))</formula>
    </cfRule>
    <cfRule type="containsText" dxfId="1068" priority="9492" operator="containsText" text="RE-INSTALACION">
      <formula>NOT(ISERROR(SEARCH("RE-INSTALACION",S100)))</formula>
    </cfRule>
    <cfRule type="containsText" dxfId="1067" priority="9491" operator="containsText" text="BAJA">
      <formula>NOT(ISERROR(SEARCH("BAJA",S100)))</formula>
    </cfRule>
    <cfRule type="containsText" dxfId="1066" priority="9490" operator="containsText" text="REVISION">
      <formula>NOT(ISERROR(SEARCH("REVISION",S100)))</formula>
    </cfRule>
    <cfRule type="containsText" dxfId="1065" priority="9488" operator="containsText" text="REVISION">
      <formula>NOT(ISERROR(SEARCH("REVISION",S100)))</formula>
    </cfRule>
  </conditionalFormatting>
  <conditionalFormatting sqref="S101 S185">
    <cfRule type="containsText" dxfId="1064" priority="4207" operator="containsText" text="BAJA">
      <formula>NOT(ISERROR(SEARCH("BAJA",S101)))</formula>
    </cfRule>
    <cfRule type="containsText" dxfId="1063" priority="4206" operator="containsText" text="VISITA EN FALSO">
      <formula>NOT(ISERROR(SEARCH("VISITA EN FALSO",S101)))</formula>
    </cfRule>
  </conditionalFormatting>
  <conditionalFormatting sqref="S102">
    <cfRule type="containsText" dxfId="1062" priority="9496" operator="containsText" text="RE-INSTALACION">
      <formula>NOT(ISERROR(SEARCH("RE-INSTALACION",S102)))</formula>
    </cfRule>
    <cfRule type="containsText" dxfId="1061" priority="9502" operator="containsText" text="BAJA">
      <formula>NOT(ISERROR(SEARCH("BAJA",S102)))</formula>
    </cfRule>
    <cfRule type="containsText" dxfId="1060" priority="9504" operator="containsText" text="DES-INSTALACION">
      <formula>NOT(ISERROR(SEARCH("DES-INSTALACION",S102)))</formula>
    </cfRule>
    <cfRule type="containsText" dxfId="1059" priority="9505" operator="containsText" text="INSTALACION">
      <formula>NOT(ISERROR(SEARCH("INSTALACION",S102)))</formula>
    </cfRule>
    <cfRule type="containsText" dxfId="1058" priority="9503" operator="containsText" text="RE-INSTALACION">
      <formula>NOT(ISERROR(SEARCH("RE-INSTALACION",S102)))</formula>
    </cfRule>
    <cfRule type="containsText" dxfId="1057" priority="9501" operator="containsText" text="REVISION">
      <formula>NOT(ISERROR(SEARCH("REVISION",S102)))</formula>
    </cfRule>
    <cfRule type="containsText" dxfId="1056" priority="9497" operator="containsText" text="DES-INSTALACION">
      <formula>NOT(ISERROR(SEARCH("DES-INSTALACION",S102)))</formula>
    </cfRule>
    <cfRule type="containsText" dxfId="1055" priority="9498" operator="containsText" text="instalacion">
      <formula>NOT(ISERROR(SEARCH("instalacion",S102)))</formula>
    </cfRule>
    <cfRule type="containsText" dxfId="1054" priority="9499" operator="containsText" text="REVISION">
      <formula>NOT(ISERROR(SEARCH("REVISION",S102)))</formula>
    </cfRule>
    <cfRule type="containsText" dxfId="1053" priority="9500" operator="containsText" text="MIGRACION">
      <formula>NOT(ISERROR(SEARCH("MIGRACION",S102)))</formula>
    </cfRule>
  </conditionalFormatting>
  <conditionalFormatting sqref="S103:S105">
    <cfRule type="containsText" dxfId="1052" priority="3540" operator="containsText" text="BAJA">
      <formula>NOT(ISERROR(SEARCH("BAJA",S103)))</formula>
    </cfRule>
  </conditionalFormatting>
  <conditionalFormatting sqref="S103:S123">
    <cfRule type="containsText" dxfId="1051" priority="2374" operator="containsText" text="VISITA EN FALSO">
      <formula>NOT(ISERROR(SEARCH("VISITA EN FALSO",S103)))</formula>
    </cfRule>
    <cfRule type="containsText" dxfId="1050" priority="2373" operator="containsText" text="DES-INSTALACION">
      <formula>NOT(ISERROR(SEARCH("DES-INSTALACION",S103)))</formula>
    </cfRule>
  </conditionalFormatting>
  <conditionalFormatting sqref="S106">
    <cfRule type="containsText" dxfId="1049" priority="9510" operator="containsText" text="REVISION">
      <formula>NOT(ISERROR(SEARCH("REVISION",S106)))</formula>
    </cfRule>
    <cfRule type="containsText" dxfId="1048" priority="9511" operator="containsText" text="MIGRACION">
      <formula>NOT(ISERROR(SEARCH("MIGRACION",S106)))</formula>
    </cfRule>
    <cfRule type="containsText" dxfId="1047" priority="9516" operator="containsText" text="INSTALACION">
      <formula>NOT(ISERROR(SEARCH("INSTALACION",S106)))</formula>
    </cfRule>
    <cfRule type="containsText" dxfId="1046" priority="9509" operator="containsText" text="instalacion">
      <formula>NOT(ISERROR(SEARCH("instalacion",S106)))</formula>
    </cfRule>
    <cfRule type="containsText" dxfId="1045" priority="9508" operator="containsText" text="DES-INSTALACION">
      <formula>NOT(ISERROR(SEARCH("DES-INSTALACION",S106)))</formula>
    </cfRule>
    <cfRule type="containsText" dxfId="1044" priority="9513" operator="containsText" text="BAJA">
      <formula>NOT(ISERROR(SEARCH("BAJA",S106)))</formula>
    </cfRule>
    <cfRule type="containsText" dxfId="1043" priority="9507" operator="containsText" text="RE-INSTALACION">
      <formula>NOT(ISERROR(SEARCH("RE-INSTALACION",S106)))</formula>
    </cfRule>
    <cfRule type="containsText" dxfId="1042" priority="9512" operator="containsText" text="REVISION">
      <formula>NOT(ISERROR(SEARCH("REVISION",S106)))</formula>
    </cfRule>
  </conditionalFormatting>
  <conditionalFormatting sqref="S106:S107">
    <cfRule type="containsText" dxfId="1041" priority="9514" operator="containsText" text="RE-INSTALACION">
      <formula>NOT(ISERROR(SEARCH("RE-INSTALACION",S106)))</formula>
    </cfRule>
    <cfRule type="containsText" dxfId="1040" priority="9515" operator="containsText" text="DES-INSTALACION">
      <formula>NOT(ISERROR(SEARCH("DES-INSTALACION",S106)))</formula>
    </cfRule>
  </conditionalFormatting>
  <conditionalFormatting sqref="S107">
    <cfRule type="containsText" dxfId="1039" priority="9527" operator="containsText" text="INSTALACION">
      <formula>NOT(ISERROR(SEARCH("INSTALACION",S107)))</formula>
    </cfRule>
    <cfRule type="containsText" dxfId="1038" priority="9526" operator="containsText" text="DES-INSTALACION">
      <formula>NOT(ISERROR(SEARCH("DES-INSTALACION",S107)))</formula>
    </cfRule>
    <cfRule type="containsText" dxfId="1037" priority="9525" operator="containsText" text="RE-INSTALACION">
      <formula>NOT(ISERROR(SEARCH("RE-INSTALACION",S107)))</formula>
    </cfRule>
    <cfRule type="containsText" dxfId="1036" priority="9520" operator="containsText" text="instalacion">
      <formula>NOT(ISERROR(SEARCH("instalacion",S107)))</formula>
    </cfRule>
    <cfRule type="containsText" dxfId="1035" priority="9524" operator="containsText" text="BAJA">
      <formula>NOT(ISERROR(SEARCH("BAJA",S107)))</formula>
    </cfRule>
    <cfRule type="containsText" dxfId="1034" priority="9523" operator="containsText" text="REVISION">
      <formula>NOT(ISERROR(SEARCH("REVISION",S107)))</formula>
    </cfRule>
    <cfRule type="containsText" dxfId="1033" priority="9522" operator="containsText" text="MIGRACION">
      <formula>NOT(ISERROR(SEARCH("MIGRACION",S107)))</formula>
    </cfRule>
    <cfRule type="containsText" dxfId="1032" priority="9521" operator="containsText" text="REVISION">
      <formula>NOT(ISERROR(SEARCH("REVISION",S107)))</formula>
    </cfRule>
  </conditionalFormatting>
  <conditionalFormatting sqref="S108:S123">
    <cfRule type="containsText" dxfId="1031" priority="2375" operator="containsText" text="BAJA">
      <formula>NOT(ISERROR(SEARCH("BAJA",S108)))</formula>
    </cfRule>
  </conditionalFormatting>
  <conditionalFormatting sqref="S123:S125">
    <cfRule type="containsText" dxfId="1030" priority="2330" operator="containsText" text="VISITA EN FALSO">
      <formula>NOT(ISERROR(SEARCH("VISITA EN FALSO",S123)))</formula>
    </cfRule>
  </conditionalFormatting>
  <conditionalFormatting sqref="S123:S128">
    <cfRule type="containsText" dxfId="1029" priority="2331" operator="containsText" text="BAJA">
      <formula>NOT(ISERROR(SEARCH("BAJA",S123)))</formula>
    </cfRule>
  </conditionalFormatting>
  <conditionalFormatting sqref="S124:S129">
    <cfRule type="containsText" dxfId="1028" priority="2318" operator="containsText" text="DES-INSTALACION">
      <formula>NOT(ISERROR(SEARCH("DES-INSTALACION",S124)))</formula>
    </cfRule>
  </conditionalFormatting>
  <conditionalFormatting sqref="S126:S127">
    <cfRule type="containsText" dxfId="1027" priority="9433" operator="containsText" text="BAJA">
      <formula>NOT(ISERROR(SEARCH("BAJA",S126)))</formula>
    </cfRule>
  </conditionalFormatting>
  <conditionalFormatting sqref="S128:S129">
    <cfRule type="containsText" dxfId="1026" priority="2319" operator="containsText" text="VISITA EN FALSO">
      <formula>NOT(ISERROR(SEARCH("VISITA EN FALSO",S128)))</formula>
    </cfRule>
  </conditionalFormatting>
  <conditionalFormatting sqref="S129">
    <cfRule type="containsText" dxfId="1025" priority="2320" operator="containsText" text="BAJA">
      <formula>NOT(ISERROR(SEARCH("BAJA",S129)))</formula>
    </cfRule>
  </conditionalFormatting>
  <conditionalFormatting sqref="S130:S143">
    <cfRule type="containsText" dxfId="1024" priority="4308" operator="containsText" text="BAJA">
      <formula>NOT(ISERROR(SEARCH("BAJA",S130)))</formula>
    </cfRule>
  </conditionalFormatting>
  <conditionalFormatting sqref="S130:S145">
    <cfRule type="containsText" dxfId="1023" priority="4306" operator="containsText" text="DES-INSTALACION">
      <formula>NOT(ISERROR(SEARCH("DES-INSTALACION",S130)))</formula>
    </cfRule>
    <cfRule type="containsText" dxfId="1022" priority="4307" operator="containsText" text="VISITA EN FALSO">
      <formula>NOT(ISERROR(SEARCH("VISITA EN FALSO",S130)))</formula>
    </cfRule>
  </conditionalFormatting>
  <conditionalFormatting sqref="S133:S134 S605">
    <cfRule type="containsText" dxfId="1021" priority="4217" operator="containsText" text="BAJA">
      <formula>NOT(ISERROR(SEARCH("BAJA",S133)))</formula>
    </cfRule>
    <cfRule type="containsText" dxfId="1020" priority="4216" operator="containsText" text="VISITA EN FALSO">
      <formula>NOT(ISERROR(SEARCH("VISITA EN FALSO",S133)))</formula>
    </cfRule>
  </conditionalFormatting>
  <conditionalFormatting sqref="S144">
    <cfRule type="containsText" dxfId="1019" priority="9426" operator="containsText" text="INSTALACION">
      <formula>NOT(ISERROR(SEARCH("INSTALACION",S144)))</formula>
    </cfRule>
    <cfRule type="containsText" dxfId="1018" priority="9425" operator="containsText" text="DES-INSTALACION">
      <formula>NOT(ISERROR(SEARCH("DES-INSTALACION",S144)))</formula>
    </cfRule>
    <cfRule type="containsText" dxfId="1017" priority="9417" operator="containsText" text="RE-INSTALACION">
      <formula>NOT(ISERROR(SEARCH("RE-INSTALACION",S144)))</formula>
    </cfRule>
    <cfRule type="containsText" dxfId="1016" priority="9423" operator="containsText" text="BAJA">
      <formula>NOT(ISERROR(SEARCH("BAJA",S144)))</formula>
    </cfRule>
    <cfRule type="containsText" dxfId="1015" priority="9421" operator="containsText" text="MIGRACION">
      <formula>NOT(ISERROR(SEARCH("MIGRACION",S144)))</formula>
    </cfRule>
    <cfRule type="containsText" dxfId="1014" priority="9418" operator="containsText" text="DES-INSTALACION">
      <formula>NOT(ISERROR(SEARCH("DES-INSTALACION",S144)))</formula>
    </cfRule>
    <cfRule type="containsText" dxfId="1013" priority="9419" operator="containsText" text="instalacion">
      <formula>NOT(ISERROR(SEARCH("instalacion",S144)))</formula>
    </cfRule>
    <cfRule type="containsText" dxfId="1012" priority="9420" operator="containsText" text="REVISION">
      <formula>NOT(ISERROR(SEARCH("REVISION",S144)))</formula>
    </cfRule>
    <cfRule type="containsText" dxfId="1011" priority="9422" operator="containsText" text="REVISION">
      <formula>NOT(ISERROR(SEARCH("REVISION",S144)))</formula>
    </cfRule>
    <cfRule type="containsText" dxfId="1010" priority="9424" operator="containsText" text="RE-INSTALACION">
      <formula>NOT(ISERROR(SEARCH("RE-INSTALACION",S144)))</formula>
    </cfRule>
  </conditionalFormatting>
  <conditionalFormatting sqref="S145">
    <cfRule type="containsText" dxfId="1009" priority="8579" operator="containsText" text="BAJA">
      <formula>NOT(ISERROR(SEARCH("BAJA",S145)))</formula>
    </cfRule>
  </conditionalFormatting>
  <conditionalFormatting sqref="S146:S150">
    <cfRule type="containsText" dxfId="1008" priority="2308" operator="containsText" text="BAJA">
      <formula>NOT(ISERROR(SEARCH("BAJA",S146)))</formula>
    </cfRule>
    <cfRule type="containsText" dxfId="1007" priority="2307" operator="containsText" text="VISITA EN FALSO">
      <formula>NOT(ISERROR(SEARCH("VISITA EN FALSO",S146)))</formula>
    </cfRule>
    <cfRule type="containsText" dxfId="1006" priority="2306" operator="containsText" text="DES-INSTALACION">
      <formula>NOT(ISERROR(SEARCH("DES-INSTALACION",S146)))</formula>
    </cfRule>
  </conditionalFormatting>
  <conditionalFormatting sqref="S150:S177">
    <cfRule type="containsText" dxfId="1005" priority="2197" operator="containsText" text="VISITA EN FALSO">
      <formula>NOT(ISERROR(SEARCH("VISITA EN FALSO",S150)))</formula>
    </cfRule>
    <cfRule type="containsText" dxfId="1004" priority="2198" operator="containsText" text="BAJA">
      <formula>NOT(ISERROR(SEARCH("BAJA",S150)))</formula>
    </cfRule>
  </conditionalFormatting>
  <conditionalFormatting sqref="S151:S177">
    <cfRule type="containsText" dxfId="1003" priority="2196" operator="containsText" text="DES-INSTALACION">
      <formula>NOT(ISERROR(SEARCH("DES-INSTALACION",S151)))</formula>
    </cfRule>
  </conditionalFormatting>
  <conditionalFormatting sqref="S151:S189">
    <cfRule type="containsText" dxfId="1002" priority="2195" operator="containsText" text="DES-INSTALACION">
      <formula>NOT(ISERROR(SEARCH("DES-INSTALACION",S151)))</formula>
    </cfRule>
  </conditionalFormatting>
  <conditionalFormatting sqref="S178:S189">
    <cfRule type="containsText" dxfId="1001" priority="6252" operator="containsText" text="BAJA">
      <formula>NOT(ISERROR(SEARCH("BAJA",S178)))</formula>
    </cfRule>
    <cfRule type="containsText" dxfId="1000" priority="6251" operator="containsText" text="VISITA EN FALSO">
      <formula>NOT(ISERROR(SEARCH("VISITA EN FALSO",S178)))</formula>
    </cfRule>
  </conditionalFormatting>
  <conditionalFormatting sqref="S190">
    <cfRule type="containsText" dxfId="999" priority="2193" operator="containsText" text="PETICION DE BAJA SIN RETIRO ">
      <formula>NOT(ISERROR(SEARCH("PETICION DE BAJA SIN RETIRO ",S190)))</formula>
    </cfRule>
    <cfRule type="containsText" dxfId="998" priority="2192" operator="containsText" text="PETICION DE BAJA SIN RETIRO">
      <formula>NOT(ISERROR(SEARCH("PETICION DE BAJA SIN RETIRO",S190)))</formula>
    </cfRule>
    <cfRule type="containsText" dxfId="997" priority="2191" operator="containsText" text="BAJA NO ESTABA EN EL LISTADO">
      <formula>NOT(ISERROR(SEARCH("BAJA NO ESTABA EN EL LISTADO",S190)))</formula>
    </cfRule>
    <cfRule type="containsText" dxfId="996" priority="2190" operator="containsText" text="BAJA NO ESTABA EN ">
      <formula>NOT(ISERROR(SEARCH("BAJA NO ESTABA EN ",S190)))</formula>
    </cfRule>
  </conditionalFormatting>
  <conditionalFormatting sqref="S191:S213">
    <cfRule type="containsText" dxfId="995" priority="2080" operator="containsText" text="VISITA EN FALSO">
      <formula>NOT(ISERROR(SEARCH("VISITA EN FALSO",S191)))</formula>
    </cfRule>
  </conditionalFormatting>
  <conditionalFormatting sqref="S191:S214">
    <cfRule type="containsText" dxfId="994" priority="2081" operator="containsText" text="BAJA">
      <formula>NOT(ISERROR(SEARCH("BAJA",S191)))</formula>
    </cfRule>
  </conditionalFormatting>
  <conditionalFormatting sqref="S191:S216">
    <cfRule type="containsText" dxfId="993" priority="2079" operator="containsText" text="DES-INSTALACION">
      <formula>NOT(ISERROR(SEARCH("DES-INSTALACION",S191)))</formula>
    </cfRule>
  </conditionalFormatting>
  <conditionalFormatting sqref="S191:S243">
    <cfRule type="containsText" dxfId="992" priority="2014" operator="containsText" text="DES-INSTALACION">
      <formula>NOT(ISERROR(SEARCH("DES-INSTALACION",S191)))</formula>
    </cfRule>
  </conditionalFormatting>
  <conditionalFormatting sqref="S214:S216">
    <cfRule type="containsText" dxfId="991" priority="9344" operator="containsText" text="BAJA">
      <formula>NOT(ISERROR(SEARCH("BAJA",S214)))</formula>
    </cfRule>
    <cfRule type="containsText" dxfId="990" priority="9343" operator="containsText" text="VISITA EN FALSO">
      <formula>NOT(ISERROR(SEARCH("VISITA EN FALSO",S214)))</formula>
    </cfRule>
  </conditionalFormatting>
  <conditionalFormatting sqref="S216:S243">
    <cfRule type="containsText" dxfId="989" priority="2017" operator="containsText" text="BAJA">
      <formula>NOT(ISERROR(SEARCH("BAJA",S216)))</formula>
    </cfRule>
    <cfRule type="containsText" dxfId="988" priority="2016" operator="containsText" text="VISITA EN FALSO">
      <formula>NOT(ISERROR(SEARCH("VISITA EN FALSO",S216)))</formula>
    </cfRule>
  </conditionalFormatting>
  <conditionalFormatting sqref="S217:S243">
    <cfRule type="containsText" dxfId="987" priority="2015" operator="containsText" text="DES-INSTALACION">
      <formula>NOT(ISERROR(SEARCH("DES-INSTALACION",S217)))</formula>
    </cfRule>
  </conditionalFormatting>
  <conditionalFormatting sqref="S244">
    <cfRule type="containsText" dxfId="986" priority="4185" operator="containsText" text="RE-INSTALACION">
      <formula>NOT(ISERROR(SEARCH("RE-INSTALACION",S244)))</formula>
    </cfRule>
    <cfRule type="containsText" dxfId="985" priority="4186" operator="containsText" text="RE-INSTALADO">
      <formula>NOT(ISERROR(SEARCH("RE-INSTALADO",S244)))</formula>
    </cfRule>
  </conditionalFormatting>
  <conditionalFormatting sqref="S245:S282">
    <cfRule type="containsText" dxfId="984" priority="429" operator="containsText" text="DES-INSTALACION">
      <formula>NOT(ISERROR(SEARCH("DES-INSTALACION",S245)))</formula>
    </cfRule>
    <cfRule type="containsText" dxfId="983" priority="1948" operator="containsText" text="BAJA">
      <formula>NOT(ISERROR(SEARCH("BAJA",S245)))</formula>
    </cfRule>
    <cfRule type="containsText" dxfId="982" priority="1947" operator="containsText" text="VISITA EN FALSO">
      <formula>NOT(ISERROR(SEARCH("VISITA EN FALSO",S245)))</formula>
    </cfRule>
    <cfRule type="containsText" dxfId="981" priority="1946" operator="containsText" text="DES-INSTALACION">
      <formula>NOT(ISERROR(SEARCH("DES-INSTALACION",S245)))</formula>
    </cfRule>
  </conditionalFormatting>
  <conditionalFormatting sqref="S249">
    <cfRule type="containsText" dxfId="980" priority="425" operator="containsText" text="RE-INSTALADO">
      <formula>NOT(ISERROR(SEARCH("RE-INSTALADO",S249)))</formula>
    </cfRule>
    <cfRule type="containsText" dxfId="979" priority="427" operator="containsText" text="VISITA EN FALSO">
      <formula>NOT(ISERROR(SEARCH("VISITA EN FALSO",S249)))</formula>
    </cfRule>
    <cfRule type="containsText" dxfId="978" priority="428" operator="containsText" text="BAJA">
      <formula>NOT(ISERROR(SEARCH("BAJA",S249)))</formula>
    </cfRule>
    <cfRule type="containsText" dxfId="977" priority="426" operator="containsText" text="DES-INSTALACION">
      <formula>NOT(ISERROR(SEARCH("DES-INSTALACION",S249)))</formula>
    </cfRule>
  </conditionalFormatting>
  <conditionalFormatting sqref="S283">
    <cfRule type="containsText" dxfId="976" priority="1940" operator="containsText" text="BAJA NO ESTABA EN ">
      <formula>NOT(ISERROR(SEARCH("BAJA NO ESTABA EN ",S283)))</formula>
    </cfRule>
    <cfRule type="containsText" dxfId="975" priority="1941" operator="containsText" text="BAJA NO ESTABA EN EL LISTADO">
      <formula>NOT(ISERROR(SEARCH("BAJA NO ESTABA EN EL LISTADO",S283)))</formula>
    </cfRule>
    <cfRule type="containsText" dxfId="974" priority="1943" operator="containsText" text="PETICION DE BAJA SIN RETIRO ">
      <formula>NOT(ISERROR(SEARCH("PETICION DE BAJA SIN RETIRO ",S283)))</formula>
    </cfRule>
    <cfRule type="containsText" dxfId="973" priority="1942" operator="containsText" text="PETICION DE BAJA SIN RETIRO">
      <formula>NOT(ISERROR(SEARCH("PETICION DE BAJA SIN RETIRO",S283)))</formula>
    </cfRule>
  </conditionalFormatting>
  <conditionalFormatting sqref="S284:S292">
    <cfRule type="containsText" dxfId="972" priority="1899" operator="containsText" text="VISITA EN FALSO">
      <formula>NOT(ISERROR(SEARCH("VISITA EN FALSO",S284)))</formula>
    </cfRule>
    <cfRule type="containsText" dxfId="971" priority="1898" operator="containsText" text="DES-INSTALACION">
      <formula>NOT(ISERROR(SEARCH("DES-INSTALACION",S284)))</formula>
    </cfRule>
    <cfRule type="containsText" dxfId="970" priority="1897" operator="containsText" text="DES-INSTALACION">
      <formula>NOT(ISERROR(SEARCH("DES-INSTALACION",S284)))</formula>
    </cfRule>
    <cfRule type="containsText" dxfId="969" priority="1900" operator="containsText" text="BAJA">
      <formula>NOT(ISERROR(SEARCH("BAJA",S284)))</formula>
    </cfRule>
  </conditionalFormatting>
  <conditionalFormatting sqref="S293:S301">
    <cfRule type="containsText" dxfId="968" priority="3916" operator="containsText" text="DES-INSTALACION">
      <formula>NOT(ISERROR(SEARCH("DES-INSTALACION",S293)))</formula>
    </cfRule>
    <cfRule type="containsText" dxfId="967" priority="3917" operator="containsText" text="DES-INSTALACION">
      <formula>NOT(ISERROR(SEARCH("DES-INSTALACION",S293)))</formula>
    </cfRule>
    <cfRule type="containsText" dxfId="966" priority="3918" operator="containsText" text="VISITA EN FALSO">
      <formula>NOT(ISERROR(SEARCH("VISITA EN FALSO",S293)))</formula>
    </cfRule>
    <cfRule type="containsText" dxfId="965" priority="3919" operator="containsText" text="BAJA">
      <formula>NOT(ISERROR(SEARCH("BAJA",S293)))</formula>
    </cfRule>
  </conditionalFormatting>
  <conditionalFormatting sqref="S298">
    <cfRule type="containsText" dxfId="964" priority="3914" operator="containsText" text="VISITA EN FALSO">
      <formula>NOT(ISERROR(SEARCH("VISITA EN FALSO",S298)))</formula>
    </cfRule>
    <cfRule type="containsText" dxfId="963" priority="3915" operator="containsText" text="BAJA">
      <formula>NOT(ISERROR(SEARCH("BAJA",S298)))</formula>
    </cfRule>
  </conditionalFormatting>
  <conditionalFormatting sqref="S301:S304">
    <cfRule type="containsText" dxfId="962" priority="1879" operator="containsText" text="VISITA EN FALSO">
      <formula>NOT(ISERROR(SEARCH("VISITA EN FALSO",S301)))</formula>
    </cfRule>
    <cfRule type="containsText" dxfId="961" priority="1880" operator="containsText" text="BAJA">
      <formula>NOT(ISERROR(SEARCH("BAJA",S301)))</formula>
    </cfRule>
  </conditionalFormatting>
  <conditionalFormatting sqref="S302:S303">
    <cfRule type="containsText" dxfId="960" priority="1877" operator="containsText" text="DES-INSTALACION">
      <formula>NOT(ISERROR(SEARCH("DES-INSTALACION",S302)))</formula>
    </cfRule>
    <cfRule type="containsText" dxfId="959" priority="1878" operator="containsText" text="DES-INSTALACION">
      <formula>NOT(ISERROR(SEARCH("DES-INSTALACION",S302)))</formula>
    </cfRule>
  </conditionalFormatting>
  <conditionalFormatting sqref="S304">
    <cfRule type="containsText" dxfId="958" priority="9256" operator="containsText" text="BAJA">
      <formula>NOT(ISERROR(SEARCH("BAJA",S304)))</formula>
    </cfRule>
    <cfRule type="containsText" dxfId="957" priority="9255" operator="containsText" text="VISITA EN FALSO">
      <formula>NOT(ISERROR(SEARCH("VISITA EN FALSO",S304)))</formula>
    </cfRule>
  </conditionalFormatting>
  <conditionalFormatting sqref="S305:S313">
    <cfRule type="containsText" dxfId="956" priority="1847" operator="containsText" text="DES-INSTALACION">
      <formula>NOT(ISERROR(SEARCH("DES-INSTALACION",S305)))</formula>
    </cfRule>
    <cfRule type="containsText" dxfId="955" priority="1846" operator="containsText" text="DES-INSTALACION">
      <formula>NOT(ISERROR(SEARCH("DES-INSTALACION",S305)))</formula>
    </cfRule>
  </conditionalFormatting>
  <conditionalFormatting sqref="S305:S315">
    <cfRule type="containsText" dxfId="954" priority="1849" operator="containsText" text="BAJA">
      <formula>NOT(ISERROR(SEARCH("BAJA",S305)))</formula>
    </cfRule>
    <cfRule type="containsText" dxfId="953" priority="1848" operator="containsText" text="VISITA EN FALSO">
      <formula>NOT(ISERROR(SEARCH("VISITA EN FALSO",S305)))</formula>
    </cfRule>
  </conditionalFormatting>
  <conditionalFormatting sqref="S314:S322">
    <cfRule type="containsText" dxfId="952" priority="6074" operator="containsText" text="VISITA EN FALSO">
      <formula>NOT(ISERROR(SEARCH("VISITA EN FALSO",S314)))</formula>
    </cfRule>
    <cfRule type="containsText" dxfId="951" priority="6075" operator="containsText" text="BAJA">
      <formula>NOT(ISERROR(SEARCH("BAJA",S314)))</formula>
    </cfRule>
  </conditionalFormatting>
  <conditionalFormatting sqref="S319">
    <cfRule type="containsText" dxfId="950" priority="3887" operator="containsText" text="BAJA">
      <formula>NOT(ISERROR(SEARCH("BAJA",S319)))</formula>
    </cfRule>
    <cfRule type="containsText" dxfId="949" priority="3886" operator="containsText" text="VISITA EN FALSO">
      <formula>NOT(ISERROR(SEARCH("VISITA EN FALSO",S319)))</formula>
    </cfRule>
  </conditionalFormatting>
  <conditionalFormatting sqref="S321">
    <cfRule type="containsText" dxfId="948" priority="3884" operator="containsText" text="VISITA EN FALSO">
      <formula>NOT(ISERROR(SEARCH("VISITA EN FALSO",S321)))</formula>
    </cfRule>
    <cfRule type="containsText" dxfId="947" priority="3885" operator="containsText" text="BAJA">
      <formula>NOT(ISERROR(SEARCH("BAJA",S321)))</formula>
    </cfRule>
  </conditionalFormatting>
  <conditionalFormatting sqref="S323:S324">
    <cfRule type="containsText" dxfId="946" priority="1447" operator="containsText" text="BAJA">
      <formula>NOT(ISERROR(SEARCH("BAJA",S323)))</formula>
    </cfRule>
    <cfRule type="containsText" dxfId="945" priority="1446" operator="containsText" text="VISITA EN FALSO">
      <formula>NOT(ISERROR(SEARCH("VISITA EN FALSO",S323)))</formula>
    </cfRule>
  </conditionalFormatting>
  <conditionalFormatting sqref="S323:S333">
    <cfRule type="containsText" dxfId="944" priority="1445" operator="containsText" text="DES-INSTALACION">
      <formula>NOT(ISERROR(SEARCH("DES-INSTALACION",S323)))</formula>
    </cfRule>
    <cfRule type="containsText" dxfId="943" priority="1444" operator="containsText" text="DES-INSTALACION">
      <formula>NOT(ISERROR(SEARCH("DES-INSTALACION",S323)))</formula>
    </cfRule>
  </conditionalFormatting>
  <conditionalFormatting sqref="S325:S346">
    <cfRule type="containsText" dxfId="942" priority="1773" operator="containsText" text="VISITA EN FALSO">
      <formula>NOT(ISERROR(SEARCH("VISITA EN FALSO",S325)))</formula>
    </cfRule>
    <cfRule type="containsText" dxfId="941" priority="1774" operator="containsText" text="BAJA">
      <formula>NOT(ISERROR(SEARCH("BAJA",S325)))</formula>
    </cfRule>
  </conditionalFormatting>
  <conditionalFormatting sqref="S334">
    <cfRule type="containsText" dxfId="940" priority="9215" operator="containsText" text="VISITA EN FALSO">
      <formula>NOT(ISERROR(SEARCH("VISITA EN FALSO",S334)))</formula>
    </cfRule>
    <cfRule type="containsText" dxfId="939" priority="9216" operator="containsText" text="BAJA">
      <formula>NOT(ISERROR(SEARCH("BAJA",S334)))</formula>
    </cfRule>
  </conditionalFormatting>
  <conditionalFormatting sqref="S335:S346">
    <cfRule type="containsText" dxfId="938" priority="1771" operator="containsText" text="DES-INSTALACION">
      <formula>NOT(ISERROR(SEARCH("DES-INSTALACION",S335)))</formula>
    </cfRule>
    <cfRule type="containsText" dxfId="937" priority="1772" operator="containsText" text="DES-INSTALACION">
      <formula>NOT(ISERROR(SEARCH("DES-INSTALACION",S335)))</formula>
    </cfRule>
  </conditionalFormatting>
  <conditionalFormatting sqref="S347:S349">
    <cfRule type="containsText" dxfId="936" priority="9209" operator="containsText" text="VISITA EN FALSO">
      <formula>NOT(ISERROR(SEARCH("VISITA EN FALSO",S347)))</formula>
    </cfRule>
    <cfRule type="containsText" dxfId="935" priority="9210" operator="containsText" text="BAJA">
      <formula>NOT(ISERROR(SEARCH("BAJA",S347)))</formula>
    </cfRule>
  </conditionalFormatting>
  <conditionalFormatting sqref="S348">
    <cfRule type="containsText" dxfId="934" priority="3881" operator="containsText" text="BAJA">
      <formula>NOT(ISERROR(SEARCH("BAJA",S348)))</formula>
    </cfRule>
    <cfRule type="containsText" dxfId="933" priority="3880" operator="containsText" text="VISITA EN FALSO">
      <formula>NOT(ISERROR(SEARCH("VISITA EN FALSO",S348)))</formula>
    </cfRule>
  </conditionalFormatting>
  <conditionalFormatting sqref="S350">
    <cfRule type="containsText" dxfId="932" priority="1760" operator="containsText" text="DES-INSTALACION">
      <formula>NOT(ISERROR(SEARCH("DES-INSTALACION",S350)))</formula>
    </cfRule>
    <cfRule type="containsText" dxfId="931" priority="1761" operator="containsText" text="DES-INSTALACION">
      <formula>NOT(ISERROR(SEARCH("DES-INSTALACION",S350)))</formula>
    </cfRule>
  </conditionalFormatting>
  <conditionalFormatting sqref="S350:S351">
    <cfRule type="containsText" dxfId="930" priority="1762" operator="containsText" text="VISITA EN FALSO">
      <formula>NOT(ISERROR(SEARCH("VISITA EN FALSO",S350)))</formula>
    </cfRule>
    <cfRule type="containsText" dxfId="929" priority="1763" operator="containsText" text="BAJA">
      <formula>NOT(ISERROR(SEARCH("BAJA",S350)))</formula>
    </cfRule>
  </conditionalFormatting>
  <conditionalFormatting sqref="S351:S352">
    <cfRule type="containsText" dxfId="928" priority="9205" operator="containsText" text="VISITA EN FALSO">
      <formula>NOT(ISERROR(SEARCH("VISITA EN FALSO",S351)))</formula>
    </cfRule>
    <cfRule type="containsText" dxfId="927" priority="9206" operator="containsText" text="BAJA">
      <formula>NOT(ISERROR(SEARCH("BAJA",S351)))</formula>
    </cfRule>
  </conditionalFormatting>
  <conditionalFormatting sqref="S353:S357">
    <cfRule type="containsText" dxfId="926" priority="1751" operator="containsText" text="VISITA EN FALSO">
      <formula>NOT(ISERROR(SEARCH("VISITA EN FALSO",S353)))</formula>
    </cfRule>
    <cfRule type="containsText" dxfId="925" priority="1750" operator="containsText" text="DES-INSTALACION">
      <formula>NOT(ISERROR(SEARCH("DES-INSTALACION",S353)))</formula>
    </cfRule>
    <cfRule type="containsText" dxfId="924" priority="1749" operator="containsText" text="DES-INSTALACION">
      <formula>NOT(ISERROR(SEARCH("DES-INSTALACION",S353)))</formula>
    </cfRule>
    <cfRule type="containsText" dxfId="923" priority="1752" operator="containsText" text="BAJA">
      <formula>NOT(ISERROR(SEARCH("BAJA",S353)))</formula>
    </cfRule>
  </conditionalFormatting>
  <conditionalFormatting sqref="S356:S371">
    <cfRule type="containsText" dxfId="922" priority="1710" operator="containsText" text="BAJA">
      <formula>NOT(ISERROR(SEARCH("BAJA",S356)))</formula>
    </cfRule>
    <cfRule type="containsText" dxfId="921" priority="1709" operator="containsText" text="VISITA EN FALSO">
      <formula>NOT(ISERROR(SEARCH("VISITA EN FALSO",S356)))</formula>
    </cfRule>
  </conditionalFormatting>
  <conditionalFormatting sqref="S358:S368">
    <cfRule type="containsText" dxfId="920" priority="1708" operator="containsText" text="DES-INSTALACION">
      <formula>NOT(ISERROR(SEARCH("DES-INSTALACION",S358)))</formula>
    </cfRule>
    <cfRule type="containsText" dxfId="919" priority="1707" operator="containsText" text="DES-INSTALACION">
      <formula>NOT(ISERROR(SEARCH("DES-INSTALACION",S358)))</formula>
    </cfRule>
  </conditionalFormatting>
  <conditionalFormatting sqref="S369:S372">
    <cfRule type="containsText" dxfId="918" priority="5017" operator="containsText" text="BAJA">
      <formula>NOT(ISERROR(SEARCH("BAJA",S369)))</formula>
    </cfRule>
    <cfRule type="containsText" dxfId="917" priority="5016" operator="containsText" text="VISITA EN FALSO">
      <formula>NOT(ISERROR(SEARCH("VISITA EN FALSO",S369)))</formula>
    </cfRule>
  </conditionalFormatting>
  <conditionalFormatting sqref="S373:S378">
    <cfRule type="containsText" dxfId="916" priority="1674" operator="containsText" text="DES-INSTALACION">
      <formula>NOT(ISERROR(SEARCH("DES-INSTALACION",S373)))</formula>
    </cfRule>
    <cfRule type="containsText" dxfId="915" priority="1676" operator="containsText" text="BAJA">
      <formula>NOT(ISERROR(SEARCH("BAJA",S373)))</formula>
    </cfRule>
    <cfRule type="containsText" dxfId="914" priority="1673" operator="containsText" text="DES-INSTALACION">
      <formula>NOT(ISERROR(SEARCH("DES-INSTALACION",S373)))</formula>
    </cfRule>
    <cfRule type="containsText" dxfId="913" priority="1675" operator="containsText" text="VISITA EN FALSO">
      <formula>NOT(ISERROR(SEARCH("VISITA EN FALSO",S373)))</formula>
    </cfRule>
  </conditionalFormatting>
  <conditionalFormatting sqref="S379:S382">
    <cfRule type="containsText" dxfId="912" priority="9181" operator="containsText" text="VISITA EN FALSO">
      <formula>NOT(ISERROR(SEARCH("VISITA EN FALSO",S379)))</formula>
    </cfRule>
    <cfRule type="containsText" dxfId="911" priority="9182" operator="containsText" text="BAJA">
      <formula>NOT(ISERROR(SEARCH("BAJA",S379)))</formula>
    </cfRule>
  </conditionalFormatting>
  <conditionalFormatting sqref="S380">
    <cfRule type="containsText" dxfId="910" priority="3866" operator="containsText" text="VISITA EN FALSO">
      <formula>NOT(ISERROR(SEARCH("VISITA EN FALSO",S380)))</formula>
    </cfRule>
    <cfRule type="containsText" dxfId="909" priority="3867" operator="containsText" text="BAJA">
      <formula>NOT(ISERROR(SEARCH("BAJA",S380)))</formula>
    </cfRule>
  </conditionalFormatting>
  <conditionalFormatting sqref="S383">
    <cfRule type="containsText" dxfId="908" priority="3513" operator="containsText" text="DES-INSTALACION">
      <formula>NOT(ISERROR(SEARCH("DES-INSTALACION",S383)))</formula>
    </cfRule>
    <cfRule type="containsText" dxfId="907" priority="3514" operator="containsText" text="DES-INSTALACION">
      <formula>NOT(ISERROR(SEARCH("DES-INSTALACION",S383)))</formula>
    </cfRule>
  </conditionalFormatting>
  <conditionalFormatting sqref="S383:S384">
    <cfRule type="containsText" dxfId="906" priority="3515" operator="containsText" text="VISITA EN FALSO">
      <formula>NOT(ISERROR(SEARCH("VISITA EN FALSO",S383)))</formula>
    </cfRule>
    <cfRule type="containsText" dxfId="905" priority="3516" operator="containsText" text="BAJA">
      <formula>NOT(ISERROR(SEARCH("BAJA",S383)))</formula>
    </cfRule>
  </conditionalFormatting>
  <conditionalFormatting sqref="S384">
    <cfRule type="containsText" dxfId="904" priority="9178" operator="containsText" text="BAJA">
      <formula>NOT(ISERROR(SEARCH("BAJA",S384)))</formula>
    </cfRule>
    <cfRule type="containsText" dxfId="903" priority="9177" operator="containsText" text="VISITA EN FALSO">
      <formula>NOT(ISERROR(SEARCH("VISITA EN FALSO",S384)))</formula>
    </cfRule>
  </conditionalFormatting>
  <conditionalFormatting sqref="S385:S387">
    <cfRule type="containsText" dxfId="902" priority="1664" operator="containsText" text="DES-INSTALACION">
      <formula>NOT(ISERROR(SEARCH("DES-INSTALACION",S385)))</formula>
    </cfRule>
    <cfRule type="containsText" dxfId="901" priority="1665" operator="containsText" text="DES-INSTALACION">
      <formula>NOT(ISERROR(SEARCH("DES-INSTALACION",S385)))</formula>
    </cfRule>
  </conditionalFormatting>
  <conditionalFormatting sqref="S385:S388">
    <cfRule type="containsText" dxfId="900" priority="1667" operator="containsText" text="BAJA">
      <formula>NOT(ISERROR(SEARCH("BAJA",S385)))</formula>
    </cfRule>
    <cfRule type="containsText" dxfId="899" priority="1666" operator="containsText" text="VISITA EN FALSO">
      <formula>NOT(ISERROR(SEARCH("VISITA EN FALSO",S385)))</formula>
    </cfRule>
  </conditionalFormatting>
  <conditionalFormatting sqref="S388">
    <cfRule type="containsText" dxfId="898" priority="9170" operator="containsText" text="BAJA">
      <formula>NOT(ISERROR(SEARCH("BAJA",S388)))</formula>
    </cfRule>
    <cfRule type="containsText" dxfId="897" priority="9169" operator="containsText" text="VISITA EN FALSO">
      <formula>NOT(ISERROR(SEARCH("VISITA EN FALSO",S388)))</formula>
    </cfRule>
  </conditionalFormatting>
  <conditionalFormatting sqref="S389:S392">
    <cfRule type="containsText" dxfId="896" priority="1648" operator="containsText" text="VISITA EN FALSO">
      <formula>NOT(ISERROR(SEARCH("VISITA EN FALSO",S389)))</formula>
    </cfRule>
    <cfRule type="containsText" dxfId="895" priority="1649" operator="containsText" text="BAJA">
      <formula>NOT(ISERROR(SEARCH("BAJA",S389)))</formula>
    </cfRule>
  </conditionalFormatting>
  <conditionalFormatting sqref="S389:S400">
    <cfRule type="containsText" dxfId="894" priority="1647" operator="containsText" text="DES-INSTALACION">
      <formula>NOT(ISERROR(SEARCH("DES-INSTALACION",S389)))</formula>
    </cfRule>
    <cfRule type="containsText" dxfId="893" priority="1646" operator="containsText" text="DES-INSTALACION">
      <formula>NOT(ISERROR(SEARCH("DES-INSTALACION",S389)))</formula>
    </cfRule>
  </conditionalFormatting>
  <conditionalFormatting sqref="S393:S403">
    <cfRule type="containsText" dxfId="892" priority="3498" operator="containsText" text="BAJA">
      <formula>NOT(ISERROR(SEARCH("BAJA",S393)))</formula>
    </cfRule>
    <cfRule type="containsText" dxfId="891" priority="3497" operator="containsText" text="VISITA EN FALSO">
      <formula>NOT(ISERROR(SEARCH("VISITA EN FALSO",S393)))</formula>
    </cfRule>
  </conditionalFormatting>
  <conditionalFormatting sqref="S401">
    <cfRule type="containsText" dxfId="890" priority="9166" operator="containsText" text="BAJA">
      <formula>NOT(ISERROR(SEARCH("BAJA",S401)))</formula>
    </cfRule>
    <cfRule type="containsText" dxfId="889" priority="9165" operator="containsText" text="VISITA EN FALSO">
      <formula>NOT(ISERROR(SEARCH("VISITA EN FALSO",S401)))</formula>
    </cfRule>
  </conditionalFormatting>
  <conditionalFormatting sqref="S402">
    <cfRule type="containsText" dxfId="888" priority="3496" operator="containsText" text="DES-INSTALACION">
      <formula>NOT(ISERROR(SEARCH("DES-INSTALACION",S402)))</formula>
    </cfRule>
    <cfRule type="containsText" dxfId="887" priority="3495" operator="containsText" text="DES-INSTALACION">
      <formula>NOT(ISERROR(SEARCH("DES-INSTALACION",S402)))</formula>
    </cfRule>
  </conditionalFormatting>
  <conditionalFormatting sqref="S403">
    <cfRule type="containsText" dxfId="886" priority="9161" operator="containsText" text="VISITA EN FALSO">
      <formula>NOT(ISERROR(SEARCH("VISITA EN FALSO",S403)))</formula>
    </cfRule>
    <cfRule type="containsText" dxfId="885" priority="9162" operator="containsText" text="BAJA">
      <formula>NOT(ISERROR(SEARCH("BAJA",S403)))</formula>
    </cfRule>
  </conditionalFormatting>
  <conditionalFormatting sqref="S404:S413">
    <cfRule type="containsText" dxfId="884" priority="1626" operator="containsText" text="VISITA EN FALSO">
      <formula>NOT(ISERROR(SEARCH("VISITA EN FALSO",S404)))</formula>
    </cfRule>
    <cfRule type="containsText" dxfId="883" priority="1627" operator="containsText" text="BAJA">
      <formula>NOT(ISERROR(SEARCH("BAJA",S404)))</formula>
    </cfRule>
    <cfRule type="containsText" dxfId="882" priority="1624" operator="containsText" text="DES-INSTALACION">
      <formula>NOT(ISERROR(SEARCH("DES-INSTALACION",S404)))</formula>
    </cfRule>
    <cfRule type="containsText" dxfId="881" priority="1625" operator="containsText" text="DES-INSTALACION">
      <formula>NOT(ISERROR(SEARCH("DES-INSTALACION",S404)))</formula>
    </cfRule>
  </conditionalFormatting>
  <conditionalFormatting sqref="S414:S426">
    <cfRule type="containsText" dxfId="880" priority="4278" operator="containsText" text="BAJA">
      <formula>NOT(ISERROR(SEARCH("BAJA",S414)))</formula>
    </cfRule>
    <cfRule type="containsText" dxfId="879" priority="4277" operator="containsText" text="VISITA EN FALSO">
      <formula>NOT(ISERROR(SEARCH("VISITA EN FALSO",S414)))</formula>
    </cfRule>
    <cfRule type="containsText" dxfId="878" priority="4276" operator="containsText" text="DES-INSTALACION">
      <formula>NOT(ISERROR(SEARCH("DES-INSTALACION",S414)))</formula>
    </cfRule>
  </conditionalFormatting>
  <conditionalFormatting sqref="S417">
    <cfRule type="containsText" dxfId="877" priority="3855" operator="containsText" text="BAJA">
      <formula>NOT(ISERROR(SEARCH("BAJA",S417)))</formula>
    </cfRule>
    <cfRule type="containsText" dxfId="876" priority="3853" operator="containsText" text="BAJA">
      <formula>NOT(ISERROR(SEARCH("BAJA",S417)))</formula>
    </cfRule>
    <cfRule type="containsText" dxfId="875" priority="3852" operator="containsText" text="VISITA EN FALSO">
      <formula>NOT(ISERROR(SEARCH("VISITA EN FALSO",S417)))</formula>
    </cfRule>
    <cfRule type="containsText" dxfId="874" priority="3854" operator="containsText" text="VISITA EN FALSO">
      <formula>NOT(ISERROR(SEARCH("VISITA EN FALSO",S417)))</formula>
    </cfRule>
  </conditionalFormatting>
  <conditionalFormatting sqref="S425">
    <cfRule type="containsText" dxfId="873" priority="3850" operator="containsText" text="VISITA EN FALSO">
      <formula>NOT(ISERROR(SEARCH("VISITA EN FALSO",S425)))</formula>
    </cfRule>
    <cfRule type="containsText" dxfId="872" priority="3851" operator="containsText" text="BAJA">
      <formula>NOT(ISERROR(SEARCH("BAJA",S425)))</formula>
    </cfRule>
  </conditionalFormatting>
  <conditionalFormatting sqref="S427:S438">
    <cfRule type="containsText" dxfId="871" priority="1566" operator="containsText" text="DES-INSTALACION">
      <formula>NOT(ISERROR(SEARCH("DES-INSTALACION",S427)))</formula>
    </cfRule>
    <cfRule type="containsText" dxfId="870" priority="1567" operator="containsText" text="VISITA EN FALSO">
      <formula>NOT(ISERROR(SEARCH("VISITA EN FALSO",S427)))</formula>
    </cfRule>
    <cfRule type="containsText" dxfId="869" priority="1568" operator="containsText" text="BAJA">
      <formula>NOT(ISERROR(SEARCH("BAJA",S427)))</formula>
    </cfRule>
    <cfRule type="containsText" dxfId="868" priority="419" operator="containsText" text="DES-INSTALACION">
      <formula>NOT(ISERROR(SEARCH("DES-INSTALACION",S427)))</formula>
    </cfRule>
  </conditionalFormatting>
  <conditionalFormatting sqref="S435">
    <cfRule type="containsText" dxfId="867" priority="417" operator="containsText" text="VISITA EN FALSO">
      <formula>NOT(ISERROR(SEARCH("VISITA EN FALSO",S435)))</formula>
    </cfRule>
    <cfRule type="containsText" dxfId="866" priority="418" operator="containsText" text="BAJA">
      <formula>NOT(ISERROR(SEARCH("BAJA",S435)))</formula>
    </cfRule>
    <cfRule type="containsText" dxfId="865" priority="415" operator="containsText" text="RE-INSTALADO">
      <formula>NOT(ISERROR(SEARCH("RE-INSTALADO",S435)))</formula>
    </cfRule>
    <cfRule type="containsText" dxfId="864" priority="416" operator="containsText" text="DES-INSTALACION">
      <formula>NOT(ISERROR(SEARCH("DES-INSTALACION",S435)))</formula>
    </cfRule>
  </conditionalFormatting>
  <conditionalFormatting sqref="S439:S443">
    <cfRule type="containsText" dxfId="863" priority="8667" operator="containsText" text="BAJA">
      <formula>NOT(ISERROR(SEARCH("BAJA",S439)))</formula>
    </cfRule>
    <cfRule type="containsText" dxfId="862" priority="8666" operator="containsText" text="VISITA EN FALSO">
      <formula>NOT(ISERROR(SEARCH("VISITA EN FALSO",S439)))</formula>
    </cfRule>
  </conditionalFormatting>
  <conditionalFormatting sqref="S440">
    <cfRule type="containsText" dxfId="861" priority="3848" operator="containsText" text="VISITA EN FALSO">
      <formula>NOT(ISERROR(SEARCH("VISITA EN FALSO",S440)))</formula>
    </cfRule>
    <cfRule type="containsText" dxfId="860" priority="3849" operator="containsText" text="BAJA">
      <formula>NOT(ISERROR(SEARCH("BAJA",S440)))</formula>
    </cfRule>
  </conditionalFormatting>
  <conditionalFormatting sqref="S442">
    <cfRule type="containsText" dxfId="859" priority="3847" operator="containsText" text="BAJA">
      <formula>NOT(ISERROR(SEARCH("BAJA",S442)))</formula>
    </cfRule>
    <cfRule type="containsText" dxfId="858" priority="3846" operator="containsText" text="VISITA EN FALSO">
      <formula>NOT(ISERROR(SEARCH("VISITA EN FALSO",S442)))</formula>
    </cfRule>
  </conditionalFormatting>
  <conditionalFormatting sqref="S444:S449">
    <cfRule type="containsText" dxfId="857" priority="1549" operator="containsText" text="BAJA">
      <formula>NOT(ISERROR(SEARCH("BAJA",S444)))</formula>
    </cfRule>
    <cfRule type="containsText" dxfId="856" priority="1546" operator="containsText" text="DES-INSTALACION">
      <formula>NOT(ISERROR(SEARCH("DES-INSTALACION",S444)))</formula>
    </cfRule>
    <cfRule type="containsText" dxfId="855" priority="1548" operator="containsText" text="VISITA EN FALSO">
      <formula>NOT(ISERROR(SEARCH("VISITA EN FALSO",S444)))</formula>
    </cfRule>
    <cfRule type="containsText" dxfId="854" priority="1547" operator="containsText" text="DES-INSTALACION">
      <formula>NOT(ISERROR(SEARCH("DES-INSTALACION",S444)))</formula>
    </cfRule>
  </conditionalFormatting>
  <conditionalFormatting sqref="S449:S454">
    <cfRule type="containsText" dxfId="853" priority="1518" operator="containsText" text="VISITA EN FALSO">
      <formula>NOT(ISERROR(SEARCH("VISITA EN FALSO",S449)))</formula>
    </cfRule>
    <cfRule type="containsText" dxfId="852" priority="1519" operator="containsText" text="BAJA">
      <formula>NOT(ISERROR(SEARCH("BAJA",S449)))</formula>
    </cfRule>
  </conditionalFormatting>
  <conditionalFormatting sqref="S450:S454">
    <cfRule type="containsText" dxfId="851" priority="1517" operator="containsText" text="DES-INSTALACION">
      <formula>NOT(ISERROR(SEARCH("DES-INSTALACION",S450)))</formula>
    </cfRule>
  </conditionalFormatting>
  <conditionalFormatting sqref="S450:S455">
    <cfRule type="containsText" dxfId="850" priority="654" operator="containsText" text="DES-INSTALACION">
      <formula>NOT(ISERROR(SEARCH("DES-INSTALACION",S450)))</formula>
    </cfRule>
  </conditionalFormatting>
  <conditionalFormatting sqref="S455">
    <cfRule type="containsText" dxfId="849" priority="653" operator="containsText" text="BAJA">
      <formula>NOT(ISERROR(SEARCH("BAJA",S455)))</formula>
    </cfRule>
    <cfRule type="containsText" dxfId="848" priority="652" operator="containsText" text="VISITA EN FALSO">
      <formula>NOT(ISERROR(SEARCH("VISITA EN FALSO",S455)))</formula>
    </cfRule>
    <cfRule type="containsText" dxfId="847" priority="651" operator="containsText" text="DES-INSTALACION">
      <formula>NOT(ISERROR(SEARCH("DES-INSTALACION",S455)))</formula>
    </cfRule>
    <cfRule type="containsText" dxfId="846" priority="650" operator="containsText" text="RE-INSTALADO">
      <formula>NOT(ISERROR(SEARCH("RE-INSTALADO",S455)))</formula>
    </cfRule>
  </conditionalFormatting>
  <conditionalFormatting sqref="S455:S462">
    <cfRule type="containsText" dxfId="845" priority="5942" operator="containsText" text="BAJA">
      <formula>NOT(ISERROR(SEARCH("BAJA",S455)))</formula>
    </cfRule>
    <cfRule type="containsText" dxfId="844" priority="5941" operator="containsText" text="VISITA EN FALSO">
      <formula>NOT(ISERROR(SEARCH("VISITA EN FALSO",S455)))</formula>
    </cfRule>
  </conditionalFormatting>
  <conditionalFormatting sqref="S456">
    <cfRule type="containsText" dxfId="843" priority="3842" operator="containsText" text="VISITA EN FALSO">
      <formula>NOT(ISERROR(SEARCH("VISITA EN FALSO",S456)))</formula>
    </cfRule>
    <cfRule type="containsText" dxfId="842" priority="3843" operator="containsText" text="BAJA">
      <formula>NOT(ISERROR(SEARCH("BAJA",S456)))</formula>
    </cfRule>
  </conditionalFormatting>
  <conditionalFormatting sqref="S459">
    <cfRule type="containsText" dxfId="841" priority="3840" operator="containsText" text="VISITA EN FALSO">
      <formula>NOT(ISERROR(SEARCH("VISITA EN FALSO",S459)))</formula>
    </cfRule>
    <cfRule type="containsText" dxfId="840" priority="3841" operator="containsText" text="BAJA">
      <formula>NOT(ISERROR(SEARCH("BAJA",S459)))</formula>
    </cfRule>
  </conditionalFormatting>
  <conditionalFormatting sqref="S463">
    <cfRule type="containsText" dxfId="839" priority="1509" operator="containsText" text="VISITA EN FALSO">
      <formula>NOT(ISERROR(SEARCH("VISITA EN FALSO",S463)))</formula>
    </cfRule>
    <cfRule type="containsText" dxfId="838" priority="1507" operator="containsText" text="DES-INSTALACION">
      <formula>NOT(ISERROR(SEARCH("DES-INSTALACION",S463)))</formula>
    </cfRule>
    <cfRule type="containsText" dxfId="837" priority="1508" operator="containsText" text="DES-INSTALACION">
      <formula>NOT(ISERROR(SEARCH("DES-INSTALACION",S463)))</formula>
    </cfRule>
    <cfRule type="containsText" dxfId="836" priority="1510" operator="containsText" text="BAJA">
      <formula>NOT(ISERROR(SEARCH("BAJA",S463)))</formula>
    </cfRule>
  </conditionalFormatting>
  <conditionalFormatting sqref="S464:S467">
    <cfRule type="containsText" dxfId="835" priority="9091" operator="containsText" text="VISITA EN FALSO">
      <formula>NOT(ISERROR(SEARCH("VISITA EN FALSO",S464)))</formula>
    </cfRule>
    <cfRule type="containsText" dxfId="834" priority="9092" operator="containsText" text="BAJA">
      <formula>NOT(ISERROR(SEARCH("BAJA",S464)))</formula>
    </cfRule>
  </conditionalFormatting>
  <conditionalFormatting sqref="S465">
    <cfRule type="containsText" dxfId="833" priority="3838" operator="containsText" text="VISITA EN FALSO">
      <formula>NOT(ISERROR(SEARCH("VISITA EN FALSO",S465)))</formula>
    </cfRule>
    <cfRule type="containsText" dxfId="832" priority="3839" operator="containsText" text="BAJA">
      <formula>NOT(ISERROR(SEARCH("BAJA",S465)))</formula>
    </cfRule>
  </conditionalFormatting>
  <conditionalFormatting sqref="S468:S472">
    <cfRule type="containsText" dxfId="831" priority="1489" operator="containsText" text="DES-INSTALACION">
      <formula>NOT(ISERROR(SEARCH("DES-INSTALACION",S468)))</formula>
    </cfRule>
    <cfRule type="containsText" dxfId="830" priority="1490" operator="containsText" text="VISITA EN FALSO">
      <formula>NOT(ISERROR(SEARCH("VISITA EN FALSO",S468)))</formula>
    </cfRule>
    <cfRule type="containsText" dxfId="829" priority="1491" operator="containsText" text="BAJA">
      <formula>NOT(ISERROR(SEARCH("BAJA",S468)))</formula>
    </cfRule>
    <cfRule type="containsText" dxfId="828" priority="1488" operator="containsText" text="DES-INSTALACION">
      <formula>NOT(ISERROR(SEARCH("DES-INSTALACION",S468)))</formula>
    </cfRule>
  </conditionalFormatting>
  <conditionalFormatting sqref="S472:S482">
    <cfRule type="containsText" dxfId="827" priority="1483" operator="containsText" text="BAJA">
      <formula>NOT(ISERROR(SEARCH("BAJA",S472)))</formula>
    </cfRule>
    <cfRule type="containsText" dxfId="826" priority="1482" operator="containsText" text="VISITA EN FALSO">
      <formula>NOT(ISERROR(SEARCH("VISITA EN FALSO",S472)))</formula>
    </cfRule>
  </conditionalFormatting>
  <conditionalFormatting sqref="S473:S482">
    <cfRule type="containsText" dxfId="825" priority="1481" operator="containsText" text="DES-INSTALACION">
      <formula>NOT(ISERROR(SEARCH("DES-INSTALACION",S473)))</formula>
    </cfRule>
    <cfRule type="containsText" dxfId="824" priority="1480" operator="containsText" text="DES-INSTALACION">
      <formula>NOT(ISERROR(SEARCH("DES-INSTALACION",S473)))</formula>
    </cfRule>
  </conditionalFormatting>
  <conditionalFormatting sqref="S482:S488 S490:S543 S545:S558">
    <cfRule type="containsText" dxfId="823" priority="1438" operator="containsText" text="VISITA EN FALSO">
      <formula>NOT(ISERROR(SEARCH("VISITA EN FALSO",S482)))</formula>
    </cfRule>
  </conditionalFormatting>
  <conditionalFormatting sqref="S482:S488 S490:S543 S545:S559">
    <cfRule type="containsText" dxfId="822" priority="1439" operator="containsText" text="BAJA">
      <formula>NOT(ISERROR(SEARCH("BAJA",S482)))</formula>
    </cfRule>
  </conditionalFormatting>
  <conditionalFormatting sqref="S483:S488 S490:S543 S545:S594">
    <cfRule type="containsText" dxfId="821" priority="1437" operator="containsText" text="DES-INSTALACION">
      <formula>NOT(ISERROR(SEARCH("DES-INSTALACION",S483)))</formula>
    </cfRule>
  </conditionalFormatting>
  <conditionalFormatting sqref="S483:S488 S490:S543 S545:S622">
    <cfRule type="containsText" dxfId="820" priority="1436" operator="containsText" text="DES-INSTALACION">
      <formula>NOT(ISERROR(SEARCH("DES-INSTALACION",S483)))</formula>
    </cfRule>
  </conditionalFormatting>
  <conditionalFormatting sqref="S488">
    <cfRule type="containsText" dxfId="819" priority="1408" operator="containsText" text="DES-INSTALACION">
      <formula>NOT(ISERROR(SEARCH("DES-INSTALACION",S488)))</formula>
    </cfRule>
    <cfRule type="containsText" dxfId="818" priority="1409" operator="containsText" text="VISITA EN FALSO">
      <formula>NOT(ISERROR(SEARCH("VISITA EN FALSO",S488)))</formula>
    </cfRule>
    <cfRule type="containsText" dxfId="817" priority="1410" operator="containsText" text="BAJA">
      <formula>NOT(ISERROR(SEARCH("BAJA",S488)))</formula>
    </cfRule>
  </conditionalFormatting>
  <conditionalFormatting sqref="S488:S489">
    <cfRule type="containsText" dxfId="816" priority="23" operator="containsText" text="DES-INSTALACION">
      <formula>NOT(ISERROR(SEARCH("DES-INSTALACION",S488)))</formula>
    </cfRule>
  </conditionalFormatting>
  <conditionalFormatting sqref="S489">
    <cfRule type="containsText" dxfId="815" priority="21" operator="containsText" text="VISITA EN FALSO">
      <formula>NOT(ISERROR(SEARCH("VISITA EN FALSO",S489)))</formula>
    </cfRule>
    <cfRule type="containsText" dxfId="814" priority="24" operator="containsText" text="BAJA">
      <formula>NOT(ISERROR(SEARCH("BAJA",S489)))</formula>
    </cfRule>
    <cfRule type="containsText" dxfId="813" priority="20" operator="containsText" text="DES-INSTALACION">
      <formula>NOT(ISERROR(SEARCH("DES-INSTALACION",S489)))</formula>
    </cfRule>
    <cfRule type="containsText" dxfId="812" priority="19" operator="containsText" text="RE-INSTALADO">
      <formula>NOT(ISERROR(SEARCH("RE-INSTALADO",S489)))</formula>
    </cfRule>
  </conditionalFormatting>
  <conditionalFormatting sqref="S492">
    <cfRule type="containsText" dxfId="811" priority="1399" operator="containsText" text="BAJA">
      <formula>NOT(ISERROR(SEARCH("BAJA",S492)))</formula>
    </cfRule>
    <cfRule type="containsText" dxfId="810" priority="1398" operator="containsText" text="VISITA EN FALSO">
      <formula>NOT(ISERROR(SEARCH("VISITA EN FALSO",S492)))</formula>
    </cfRule>
    <cfRule type="containsText" dxfId="809" priority="1396" operator="containsText" text="DES-INSTALACION">
      <formula>NOT(ISERROR(SEARCH("DES-INSTALACION",S492)))</formula>
    </cfRule>
    <cfRule type="containsText" dxfId="808" priority="1397" operator="containsText" text="DES-INSTALACION">
      <formula>NOT(ISERROR(SEARCH("DES-INSTALACION",S492)))</formula>
    </cfRule>
  </conditionalFormatting>
  <conditionalFormatting sqref="S495">
    <cfRule type="containsText" dxfId="807" priority="1385" operator="containsText" text="DES-INSTALACION">
      <formula>NOT(ISERROR(SEARCH("DES-INSTALACION",S495)))</formula>
    </cfRule>
    <cfRule type="containsText" dxfId="806" priority="1388" operator="containsText" text="BAJA">
      <formula>NOT(ISERROR(SEARCH("BAJA",S495)))</formula>
    </cfRule>
    <cfRule type="containsText" dxfId="805" priority="1387" operator="containsText" text="VISITA EN FALSO">
      <formula>NOT(ISERROR(SEARCH("VISITA EN FALSO",S495)))</formula>
    </cfRule>
    <cfRule type="containsText" dxfId="804" priority="1386" operator="containsText" text="DES-INSTALACION">
      <formula>NOT(ISERROR(SEARCH("DES-INSTALACION",S495)))</formula>
    </cfRule>
  </conditionalFormatting>
  <conditionalFormatting sqref="S501:S502">
    <cfRule type="containsText" dxfId="803" priority="1367" operator="containsText" text="DES-INSTALACION">
      <formula>NOT(ISERROR(SEARCH("DES-INSTALACION",S501)))</formula>
    </cfRule>
    <cfRule type="containsText" dxfId="802" priority="1370" operator="containsText" text="BAJA">
      <formula>NOT(ISERROR(SEARCH("BAJA",S501)))</formula>
    </cfRule>
    <cfRule type="containsText" dxfId="801" priority="1369" operator="containsText" text="VISITA EN FALSO">
      <formula>NOT(ISERROR(SEARCH("VISITA EN FALSO",S501)))</formula>
    </cfRule>
    <cfRule type="containsText" dxfId="800" priority="1368" operator="containsText" text="DES-INSTALACION">
      <formula>NOT(ISERROR(SEARCH("DES-INSTALACION",S501)))</formula>
    </cfRule>
  </conditionalFormatting>
  <conditionalFormatting sqref="S505:S506">
    <cfRule type="containsText" dxfId="799" priority="1352" operator="containsText" text="BAJA">
      <formula>NOT(ISERROR(SEARCH("BAJA",S505)))</formula>
    </cfRule>
    <cfRule type="containsText" dxfId="798" priority="1350" operator="containsText" text="DES-INSTALACION">
      <formula>NOT(ISERROR(SEARCH("DES-INSTALACION",S505)))</formula>
    </cfRule>
    <cfRule type="containsText" dxfId="797" priority="1349" operator="containsText" text="DES-INSTALACION">
      <formula>NOT(ISERROR(SEARCH("DES-INSTALACION",S505)))</formula>
    </cfRule>
    <cfRule type="containsText" dxfId="796" priority="1351" operator="containsText" text="VISITA EN FALSO">
      <formula>NOT(ISERROR(SEARCH("VISITA EN FALSO",S505)))</formula>
    </cfRule>
  </conditionalFormatting>
  <conditionalFormatting sqref="S511">
    <cfRule type="containsText" dxfId="795" priority="1341" operator="containsText" text="VISITA EN FALSO">
      <formula>NOT(ISERROR(SEARCH("VISITA EN FALSO",S511)))</formula>
    </cfRule>
    <cfRule type="containsText" dxfId="794" priority="1342" operator="containsText" text="BAJA">
      <formula>NOT(ISERROR(SEARCH("BAJA",S511)))</formula>
    </cfRule>
    <cfRule type="containsText" dxfId="793" priority="1340" operator="containsText" text="DES-INSTALACION">
      <formula>NOT(ISERROR(SEARCH("DES-INSTALACION",S511)))</formula>
    </cfRule>
    <cfRule type="containsText" dxfId="792" priority="1339" operator="containsText" text="DES-INSTALACION">
      <formula>NOT(ISERROR(SEARCH("DES-INSTALACION",S511)))</formula>
    </cfRule>
  </conditionalFormatting>
  <conditionalFormatting sqref="S513">
    <cfRule type="containsText" dxfId="791" priority="1332" operator="containsText" text="DES-INSTALACION">
      <formula>NOT(ISERROR(SEARCH("DES-INSTALACION",S513)))</formula>
    </cfRule>
    <cfRule type="containsText" dxfId="790" priority="1331" operator="containsText" text="DES-INSTALACION">
      <formula>NOT(ISERROR(SEARCH("DES-INSTALACION",S513)))</formula>
    </cfRule>
    <cfRule type="containsText" dxfId="789" priority="1334" operator="containsText" text="BAJA">
      <formula>NOT(ISERROR(SEARCH("BAJA",S513)))</formula>
    </cfRule>
    <cfRule type="containsText" dxfId="788" priority="1333" operator="containsText" text="VISITA EN FALSO">
      <formula>NOT(ISERROR(SEARCH("VISITA EN FALSO",S513)))</formula>
    </cfRule>
  </conditionalFormatting>
  <conditionalFormatting sqref="S515:S516">
    <cfRule type="containsText" dxfId="787" priority="1317" operator="containsText" text="BAJA">
      <formula>NOT(ISERROR(SEARCH("BAJA",S515)))</formula>
    </cfRule>
    <cfRule type="containsText" dxfId="786" priority="1316" operator="containsText" text="VISITA EN FALSO">
      <formula>NOT(ISERROR(SEARCH("VISITA EN FALSO",S515)))</formula>
    </cfRule>
    <cfRule type="containsText" dxfId="785" priority="1315" operator="containsText" text="DES-INSTALACION">
      <formula>NOT(ISERROR(SEARCH("DES-INSTALACION",S515)))</formula>
    </cfRule>
    <cfRule type="containsText" dxfId="784" priority="1314" operator="containsText" text="DES-INSTALACION">
      <formula>NOT(ISERROR(SEARCH("DES-INSTALACION",S515)))</formula>
    </cfRule>
  </conditionalFormatting>
  <conditionalFormatting sqref="S518">
    <cfRule type="containsText" dxfId="783" priority="1307" operator="containsText" text="VISITA EN FALSO">
      <formula>NOT(ISERROR(SEARCH("VISITA EN FALSO",S518)))</formula>
    </cfRule>
    <cfRule type="containsText" dxfId="782" priority="1306" operator="containsText" text="DES-INSTALACION">
      <formula>NOT(ISERROR(SEARCH("DES-INSTALACION",S518)))</formula>
    </cfRule>
    <cfRule type="containsText" dxfId="781" priority="1305" operator="containsText" text="DES-INSTALACION">
      <formula>NOT(ISERROR(SEARCH("DES-INSTALACION",S518)))</formula>
    </cfRule>
    <cfRule type="containsText" dxfId="780" priority="1308" operator="containsText" text="BAJA">
      <formula>NOT(ISERROR(SEARCH("BAJA",S518)))</formula>
    </cfRule>
  </conditionalFormatting>
  <conditionalFormatting sqref="S521">
    <cfRule type="containsText" dxfId="779" priority="1299" operator="containsText" text="BAJA">
      <formula>NOT(ISERROR(SEARCH("BAJA",S521)))</formula>
    </cfRule>
    <cfRule type="containsText" dxfId="778" priority="1297" operator="containsText" text="DES-INSTALACION">
      <formula>NOT(ISERROR(SEARCH("DES-INSTALACION",S521)))</formula>
    </cfRule>
    <cfRule type="containsText" dxfId="777" priority="1296" operator="containsText" text="DES-INSTALACION">
      <formula>NOT(ISERROR(SEARCH("DES-INSTALACION",S521)))</formula>
    </cfRule>
    <cfRule type="containsText" dxfId="776" priority="1298" operator="containsText" text="VISITA EN FALSO">
      <formula>NOT(ISERROR(SEARCH("VISITA EN FALSO",S521)))</formula>
    </cfRule>
  </conditionalFormatting>
  <conditionalFormatting sqref="S529:S530">
    <cfRule type="containsText" dxfId="775" priority="1276" operator="containsText" text="DES-INSTALACION">
      <formula>NOT(ISERROR(SEARCH("DES-INSTALACION",S529)))</formula>
    </cfRule>
    <cfRule type="containsText" dxfId="774" priority="1278" operator="containsText" text="BAJA">
      <formula>NOT(ISERROR(SEARCH("BAJA",S529)))</formula>
    </cfRule>
    <cfRule type="containsText" dxfId="773" priority="1277" operator="containsText" text="VISITA EN FALSO">
      <formula>NOT(ISERROR(SEARCH("VISITA EN FALSO",S529)))</formula>
    </cfRule>
    <cfRule type="containsText" dxfId="772" priority="1275" operator="containsText" text="DES-INSTALACION">
      <formula>NOT(ISERROR(SEARCH("DES-INSTALACION",S529)))</formula>
    </cfRule>
  </conditionalFormatting>
  <conditionalFormatting sqref="S539">
    <cfRule type="containsText" dxfId="771" priority="1265" operator="containsText" text="DES-INSTALACION">
      <formula>NOT(ISERROR(SEARCH("DES-INSTALACION",S539)))</formula>
    </cfRule>
    <cfRule type="containsText" dxfId="770" priority="1268" operator="containsText" text="BAJA">
      <formula>NOT(ISERROR(SEARCH("BAJA",S539)))</formula>
    </cfRule>
    <cfRule type="containsText" dxfId="769" priority="1266" operator="containsText" text="DES-INSTALACION">
      <formula>NOT(ISERROR(SEARCH("DES-INSTALACION",S539)))</formula>
    </cfRule>
    <cfRule type="containsText" dxfId="768" priority="1267" operator="containsText" text="VISITA EN FALSO">
      <formula>NOT(ISERROR(SEARCH("VISITA EN FALSO",S539)))</formula>
    </cfRule>
  </conditionalFormatting>
  <conditionalFormatting sqref="S541">
    <cfRule type="containsText" dxfId="767" priority="1258" operator="containsText" text="DES-INSTALACION">
      <formula>NOT(ISERROR(SEARCH("DES-INSTALACION",S541)))</formula>
    </cfRule>
    <cfRule type="containsText" dxfId="766" priority="1257" operator="containsText" text="DES-INSTALACION">
      <formula>NOT(ISERROR(SEARCH("DES-INSTALACION",S541)))</formula>
    </cfRule>
    <cfRule type="containsText" dxfId="765" priority="1259" operator="containsText" text="VISITA EN FALSO">
      <formula>NOT(ISERROR(SEARCH("VISITA EN FALSO",S541)))</formula>
    </cfRule>
    <cfRule type="containsText" dxfId="764" priority="1260" operator="containsText" text="BAJA">
      <formula>NOT(ISERROR(SEARCH("BAJA",S541)))</formula>
    </cfRule>
  </conditionalFormatting>
  <conditionalFormatting sqref="S543">
    <cfRule type="containsText" dxfId="763" priority="645" operator="containsText" text="DES-INSTALACION">
      <formula>NOT(ISERROR(SEARCH("DES-INSTALACION",S543)))</formula>
    </cfRule>
  </conditionalFormatting>
  <conditionalFormatting sqref="S543:S544">
    <cfRule type="containsText" dxfId="762" priority="46" operator="containsText" text="RE-INSTALADO">
      <formula>NOT(ISERROR(SEARCH("RE-INSTALADO",S543)))</formula>
    </cfRule>
    <cfRule type="containsText" dxfId="761" priority="47" operator="containsText" text="DES-INSTALACION">
      <formula>NOT(ISERROR(SEARCH("DES-INSTALACION",S543)))</formula>
    </cfRule>
    <cfRule type="containsText" dxfId="760" priority="48" operator="containsText" text="VISITA EN FALSO">
      <formula>NOT(ISERROR(SEARCH("VISITA EN FALSO",S543)))</formula>
    </cfRule>
    <cfRule type="containsText" dxfId="759" priority="51" operator="containsText" text="BAJA">
      <formula>NOT(ISERROR(SEARCH("BAJA",S543)))</formula>
    </cfRule>
  </conditionalFormatting>
  <conditionalFormatting sqref="S544">
    <cfRule type="containsText" dxfId="758" priority="50" operator="containsText" text="DES-INSTALACION">
      <formula>NOT(ISERROR(SEARCH("DES-INSTALACION",S544)))</formula>
    </cfRule>
  </conditionalFormatting>
  <conditionalFormatting sqref="S547">
    <cfRule type="containsText" dxfId="757" priority="1250" operator="containsText" text="DES-INSTALACION">
      <formula>NOT(ISERROR(SEARCH("DES-INSTALACION",S547)))</formula>
    </cfRule>
    <cfRule type="containsText" dxfId="756" priority="1251" operator="containsText" text="VISITA EN FALSO">
      <formula>NOT(ISERROR(SEARCH("VISITA EN FALSO",S547)))</formula>
    </cfRule>
    <cfRule type="containsText" dxfId="755" priority="1249" operator="containsText" text="DES-INSTALACION">
      <formula>NOT(ISERROR(SEARCH("DES-INSTALACION",S547)))</formula>
    </cfRule>
    <cfRule type="containsText" dxfId="754" priority="1252" operator="containsText" text="BAJA">
      <formula>NOT(ISERROR(SEARCH("BAJA",S547)))</formula>
    </cfRule>
  </conditionalFormatting>
  <conditionalFormatting sqref="S549">
    <cfRule type="containsText" dxfId="753" priority="1238" operator="containsText" text="DES-INSTALACION">
      <formula>NOT(ISERROR(SEARCH("DES-INSTALACION",S549)))</formula>
    </cfRule>
    <cfRule type="containsText" dxfId="752" priority="1241" operator="containsText" text="BAJA">
      <formula>NOT(ISERROR(SEARCH("BAJA",S549)))</formula>
    </cfRule>
    <cfRule type="containsText" dxfId="751" priority="1240" operator="containsText" text="VISITA EN FALSO">
      <formula>NOT(ISERROR(SEARCH("VISITA EN FALSO",S549)))</formula>
    </cfRule>
    <cfRule type="containsText" dxfId="750" priority="1239" operator="containsText" text="DES-INSTALACION">
      <formula>NOT(ISERROR(SEARCH("DES-INSTALACION",S549)))</formula>
    </cfRule>
  </conditionalFormatting>
  <conditionalFormatting sqref="S552">
    <cfRule type="containsText" dxfId="749" priority="628" operator="containsText" text="DES-INSTALACION">
      <formula>NOT(ISERROR(SEARCH("DES-INSTALACION",S552)))</formula>
    </cfRule>
    <cfRule type="containsText" dxfId="748" priority="629" operator="containsText" text="VISITA EN FALSO">
      <formula>NOT(ISERROR(SEARCH("VISITA EN FALSO",S552)))</formula>
    </cfRule>
    <cfRule type="containsText" dxfId="747" priority="630" operator="containsText" text="BAJA">
      <formula>NOT(ISERROR(SEARCH("BAJA",S552)))</formula>
    </cfRule>
    <cfRule type="containsText" dxfId="746" priority="631" operator="containsText" text="DES-INSTALACION">
      <formula>NOT(ISERROR(SEARCH("DES-INSTALACION",S552)))</formula>
    </cfRule>
    <cfRule type="containsText" dxfId="745" priority="627" operator="containsText" text="RE-INSTALADO">
      <formula>NOT(ISERROR(SEARCH("RE-INSTALADO",S552)))</formula>
    </cfRule>
  </conditionalFormatting>
  <conditionalFormatting sqref="S559:S575">
    <cfRule type="containsText" dxfId="744" priority="3370" operator="containsText" text="BAJA">
      <formula>NOT(ISERROR(SEARCH("BAJA",S559)))</formula>
    </cfRule>
    <cfRule type="containsText" dxfId="743" priority="3369" operator="containsText" text="VISITA EN FALSO">
      <formula>NOT(ISERROR(SEARCH("VISITA EN FALSO",S559)))</formula>
    </cfRule>
  </conditionalFormatting>
  <conditionalFormatting sqref="S560">
    <cfRule type="containsText" dxfId="742" priority="1231" operator="containsText" text="BAJA">
      <formula>NOT(ISERROR(SEARCH("BAJA",S560)))</formula>
    </cfRule>
    <cfRule type="containsText" dxfId="741" priority="1230" operator="containsText" text="VISITA EN FALSO">
      <formula>NOT(ISERROR(SEARCH("VISITA EN FALSO",S560)))</formula>
    </cfRule>
    <cfRule type="containsText" dxfId="740" priority="1229" operator="containsText" text="DES-INSTALACION">
      <formula>NOT(ISERROR(SEARCH("DES-INSTALACION",S560)))</formula>
    </cfRule>
    <cfRule type="containsText" dxfId="739" priority="1228" operator="containsText" text="DES-INSTALACION">
      <formula>NOT(ISERROR(SEARCH("DES-INSTALACION",S560)))</formula>
    </cfRule>
  </conditionalFormatting>
  <conditionalFormatting sqref="S562">
    <cfRule type="containsText" dxfId="738" priority="412" operator="containsText" text="VISITA EN FALSO">
      <formula>NOT(ISERROR(SEARCH("VISITA EN FALSO",S562)))</formula>
    </cfRule>
    <cfRule type="containsText" dxfId="737" priority="410" operator="containsText" text="RE-INSTALADO">
      <formula>NOT(ISERROR(SEARCH("RE-INSTALADO",S562)))</formula>
    </cfRule>
    <cfRule type="containsText" dxfId="736" priority="413" operator="containsText" text="BAJA">
      <formula>NOT(ISERROR(SEARCH("BAJA",S562)))</formula>
    </cfRule>
    <cfRule type="containsText" dxfId="735" priority="411" operator="containsText" text="DES-INSTALACION">
      <formula>NOT(ISERROR(SEARCH("DES-INSTALACION",S562)))</formula>
    </cfRule>
  </conditionalFormatting>
  <conditionalFormatting sqref="S562:S564">
    <cfRule type="containsText" dxfId="734" priority="414" operator="containsText" text="DES-INSTALACION">
      <formula>NOT(ISERROR(SEARCH("DES-INSTALACION",S562)))</formula>
    </cfRule>
  </conditionalFormatting>
  <conditionalFormatting sqref="S563:S564">
    <cfRule type="containsText" dxfId="733" priority="1219" operator="containsText" text="DES-INSTALACION">
      <formula>NOT(ISERROR(SEARCH("DES-INSTALACION",S563)))</formula>
    </cfRule>
    <cfRule type="containsText" dxfId="732" priority="1220" operator="containsText" text="VISITA EN FALSO">
      <formula>NOT(ISERROR(SEARCH("VISITA EN FALSO",S563)))</formula>
    </cfRule>
    <cfRule type="containsText" dxfId="731" priority="1221" operator="containsText" text="BAJA">
      <formula>NOT(ISERROR(SEARCH("BAJA",S563)))</formula>
    </cfRule>
  </conditionalFormatting>
  <conditionalFormatting sqref="S566">
    <cfRule type="containsText" dxfId="730" priority="405" operator="containsText" text="RE-INSTALADO">
      <formula>NOT(ISERROR(SEARCH("RE-INSTALADO",S566)))</formula>
    </cfRule>
    <cfRule type="containsText" dxfId="729" priority="406" operator="containsText" text="DES-INSTALACION">
      <formula>NOT(ISERROR(SEARCH("DES-INSTALACION",S566)))</formula>
    </cfRule>
    <cfRule type="containsText" dxfId="728" priority="409" operator="containsText" text="DES-INSTALACION">
      <formula>NOT(ISERROR(SEARCH("DES-INSTALACION",S566)))</formula>
    </cfRule>
    <cfRule type="containsText" dxfId="727" priority="407" operator="containsText" text="VISITA EN FALSO">
      <formula>NOT(ISERROR(SEARCH("VISITA EN FALSO",S566)))</formula>
    </cfRule>
    <cfRule type="containsText" dxfId="726" priority="408" operator="containsText" text="BAJA">
      <formula>NOT(ISERROR(SEARCH("BAJA",S566)))</formula>
    </cfRule>
  </conditionalFormatting>
  <conditionalFormatting sqref="S568">
    <cfRule type="containsText" dxfId="725" priority="613" operator="containsText" text="DES-INSTALACION">
      <formula>NOT(ISERROR(SEARCH("DES-INSTALACION",S568)))</formula>
    </cfRule>
    <cfRule type="containsText" dxfId="724" priority="617" operator="containsText" text="BAJA">
      <formula>NOT(ISERROR(SEARCH("BAJA",S568)))</formula>
    </cfRule>
    <cfRule type="containsText" dxfId="723" priority="616" operator="containsText" text="VISITA EN FALSO">
      <formula>NOT(ISERROR(SEARCH("VISITA EN FALSO",S568)))</formula>
    </cfRule>
    <cfRule type="containsText" dxfId="722" priority="615" operator="containsText" text="DES-INSTALACION">
      <formula>NOT(ISERROR(SEARCH("DES-INSTALACION",S568)))</formula>
    </cfRule>
    <cfRule type="containsText" dxfId="721" priority="610" operator="containsText" text="DES-INSTALACION">
      <formula>NOT(ISERROR(SEARCH("DES-INSTALACION",S568)))</formula>
    </cfRule>
    <cfRule type="containsText" dxfId="720" priority="611" operator="containsText" text="VISITA EN FALSO">
      <formula>NOT(ISERROR(SEARCH("VISITA EN FALSO",S568)))</formula>
    </cfRule>
    <cfRule type="containsText" dxfId="719" priority="612" operator="containsText" text="BAJA">
      <formula>NOT(ISERROR(SEARCH("BAJA",S568)))</formula>
    </cfRule>
    <cfRule type="containsText" dxfId="718" priority="609" operator="containsText" text="RE-INSTALADO">
      <formula>NOT(ISERROR(SEARCH("RE-INSTALADO",S568)))</formula>
    </cfRule>
  </conditionalFormatting>
  <conditionalFormatting sqref="S572:S573">
    <cfRule type="containsText" dxfId="717" priority="401" operator="containsText" text="DES-INSTALACION">
      <formula>NOT(ISERROR(SEARCH("DES-INSTALACION",S572)))</formula>
    </cfRule>
    <cfRule type="containsText" dxfId="716" priority="404" operator="containsText" text="DES-INSTALACION">
      <formula>NOT(ISERROR(SEARCH("DES-INSTALACION",S572)))</formula>
    </cfRule>
    <cfRule type="containsText" dxfId="715" priority="402" operator="containsText" text="VISITA EN FALSO">
      <formula>NOT(ISERROR(SEARCH("VISITA EN FALSO",S572)))</formula>
    </cfRule>
    <cfRule type="containsText" dxfId="714" priority="400" operator="containsText" text="RE-INSTALADO">
      <formula>NOT(ISERROR(SEARCH("RE-INSTALADO",S572)))</formula>
    </cfRule>
    <cfRule type="containsText" dxfId="713" priority="403" operator="containsText" text="BAJA">
      <formula>NOT(ISERROR(SEARCH("BAJA",S572)))</formula>
    </cfRule>
  </conditionalFormatting>
  <conditionalFormatting sqref="S576:S577">
    <cfRule type="containsText" dxfId="712" priority="1201" operator="containsText" text="BAJA">
      <formula>NOT(ISERROR(SEARCH("BAJA",S576)))</formula>
    </cfRule>
    <cfRule type="containsText" dxfId="711" priority="1199" operator="containsText" text="DES-INSTALACION">
      <formula>NOT(ISERROR(SEARCH("DES-INSTALACION",S576)))</formula>
    </cfRule>
    <cfRule type="containsText" dxfId="710" priority="1200" operator="containsText" text="VISITA EN FALSO">
      <formula>NOT(ISERROR(SEARCH("VISITA EN FALSO",S576)))</formula>
    </cfRule>
  </conditionalFormatting>
  <conditionalFormatting sqref="S576:S579">
    <cfRule type="containsText" dxfId="709" priority="399" operator="containsText" text="DES-INSTALACION">
      <formula>NOT(ISERROR(SEARCH("DES-INSTALACION",S576)))</formula>
    </cfRule>
  </conditionalFormatting>
  <conditionalFormatting sqref="S576:S580">
    <cfRule type="containsText" dxfId="708" priority="4828" operator="containsText" text="VISITA EN FALSO">
      <formula>NOT(ISERROR(SEARCH("VISITA EN FALSO",S576)))</formula>
    </cfRule>
    <cfRule type="containsText" dxfId="707" priority="4829" operator="containsText" text="BAJA">
      <formula>NOT(ISERROR(SEARCH("BAJA",S576)))</formula>
    </cfRule>
  </conditionalFormatting>
  <conditionalFormatting sqref="S578">
    <cfRule type="containsText" dxfId="706" priority="396" operator="containsText" text="DES-INSTALACION">
      <formula>NOT(ISERROR(SEARCH("DES-INSTALACION",S578)))</formula>
    </cfRule>
    <cfRule type="containsText" dxfId="705" priority="398" operator="containsText" text="BAJA">
      <formula>NOT(ISERROR(SEARCH("BAJA",S578)))</formula>
    </cfRule>
    <cfRule type="containsText" dxfId="704" priority="397" operator="containsText" text="VISITA EN FALSO">
      <formula>NOT(ISERROR(SEARCH("VISITA EN FALSO",S578)))</formula>
    </cfRule>
    <cfRule type="containsText" dxfId="703" priority="395" operator="containsText" text="RE-INSTALADO">
      <formula>NOT(ISERROR(SEARCH("RE-INSTALADO",S578)))</formula>
    </cfRule>
  </conditionalFormatting>
  <conditionalFormatting sqref="S579">
    <cfRule type="containsText" dxfId="702" priority="1190" operator="containsText" text="VISITA EN FALSO">
      <formula>NOT(ISERROR(SEARCH("VISITA EN FALSO",S579)))</formula>
    </cfRule>
    <cfRule type="containsText" dxfId="701" priority="1189" operator="containsText" text="DES-INSTALACION">
      <formula>NOT(ISERROR(SEARCH("DES-INSTALACION",S579)))</formula>
    </cfRule>
    <cfRule type="containsText" dxfId="700" priority="1191" operator="containsText" text="BAJA">
      <formula>NOT(ISERROR(SEARCH("BAJA",S579)))</formula>
    </cfRule>
  </conditionalFormatting>
  <conditionalFormatting sqref="S580">
    <cfRule type="containsText" dxfId="699" priority="4827" operator="containsText" text="BAJA">
      <formula>NOT(ISERROR(SEARCH("BAJA",S580)))</formula>
    </cfRule>
  </conditionalFormatting>
  <conditionalFormatting sqref="S581:S586">
    <cfRule type="containsText" dxfId="698" priority="8955" operator="containsText" text="VISITA EN FALSO">
      <formula>NOT(ISERROR(SEARCH("VISITA EN FALSO",S581)))</formula>
    </cfRule>
    <cfRule type="containsText" dxfId="697" priority="8956" operator="containsText" text="BAJA">
      <formula>NOT(ISERROR(SEARCH("BAJA",S581)))</formula>
    </cfRule>
  </conditionalFormatting>
  <conditionalFormatting sqref="S583">
    <cfRule type="containsText" dxfId="696" priority="1181" operator="containsText" text="DES-INSTALACION">
      <formula>NOT(ISERROR(SEARCH("DES-INSTALACION",S583)))</formula>
    </cfRule>
    <cfRule type="containsText" dxfId="695" priority="1182" operator="containsText" text="VISITA EN FALSO">
      <formula>NOT(ISERROR(SEARCH("VISITA EN FALSO",S583)))</formula>
    </cfRule>
    <cfRule type="containsText" dxfId="694" priority="1183" operator="containsText" text="BAJA">
      <formula>NOT(ISERROR(SEARCH("BAJA",S583)))</formula>
    </cfRule>
    <cfRule type="containsText" dxfId="693" priority="1180" operator="containsText" text="DES-INSTALACION">
      <formula>NOT(ISERROR(SEARCH("DES-INSTALACION",S583)))</formula>
    </cfRule>
  </conditionalFormatting>
  <conditionalFormatting sqref="S585">
    <cfRule type="containsText" dxfId="692" priority="8638" operator="containsText" text="BAJA">
      <formula>NOT(ISERROR(SEARCH("BAJA",S585)))</formula>
    </cfRule>
  </conditionalFormatting>
  <conditionalFormatting sqref="S587:S594">
    <cfRule type="containsText" dxfId="691" priority="2936" operator="containsText" text="BAJA">
      <formula>NOT(ISERROR(SEARCH("BAJA",S587)))</formula>
    </cfRule>
    <cfRule type="containsText" dxfId="690" priority="2935" operator="containsText" text="VISITA EN FALSO">
      <formula>NOT(ISERROR(SEARCH("VISITA EN FALSO",S587)))</formula>
    </cfRule>
  </conditionalFormatting>
  <conditionalFormatting sqref="S591:S593">
    <cfRule type="containsText" dxfId="689" priority="1155" operator="containsText" text="VISITA EN FALSO">
      <formula>NOT(ISERROR(SEARCH("VISITA EN FALSO",S591)))</formula>
    </cfRule>
    <cfRule type="containsText" dxfId="688" priority="1156" operator="containsText" text="BAJA">
      <formula>NOT(ISERROR(SEARCH("BAJA",S591)))</formula>
    </cfRule>
    <cfRule type="containsText" dxfId="687" priority="1154" operator="containsText" text="DES-INSTALACION">
      <formula>NOT(ISERROR(SEARCH("DES-INSTALACION",S591)))</formula>
    </cfRule>
    <cfRule type="containsText" dxfId="686" priority="1153" operator="containsText" text="DES-INSTALACION">
      <formula>NOT(ISERROR(SEARCH("DES-INSTALACION",S591)))</formula>
    </cfRule>
  </conditionalFormatting>
  <conditionalFormatting sqref="S595:S601 S615:S621 S946:S992 S603:S606 S98:S102 S178:S189 S842:S886 S57 S304 S314:S322 S334 S347:S349 S351:S352 S369:S372 S379:S382 S384 S388 S401 S403 S439:S443 S455:S462 S464:S467 S888:S889 S830:S832 S835 S837:S838 S840">
    <cfRule type="containsText" dxfId="685" priority="4425" operator="containsText" text="DES-INSTALACION">
      <formula>NOT(ISERROR(SEARCH("DES-INSTALACION",S57)))</formula>
    </cfRule>
  </conditionalFormatting>
  <conditionalFormatting sqref="S595:S601">
    <cfRule type="containsText" dxfId="684" priority="8931" operator="containsText" text="VISITA EN FALSO">
      <formula>NOT(ISERROR(SEARCH("VISITA EN FALSO",S595)))</formula>
    </cfRule>
    <cfRule type="containsText" dxfId="683" priority="8932" operator="containsText" text="BAJA">
      <formula>NOT(ISERROR(SEARCH("BAJA",S595)))</formula>
    </cfRule>
  </conditionalFormatting>
  <conditionalFormatting sqref="S596">
    <cfRule type="containsText" dxfId="682" priority="593" operator="containsText" text="BAJA">
      <formula>NOT(ISERROR(SEARCH("BAJA",S596)))</formula>
    </cfRule>
    <cfRule type="containsText" dxfId="681" priority="592" operator="containsText" text="VISITA EN FALSO">
      <formula>NOT(ISERROR(SEARCH("VISITA EN FALSO",S596)))</formula>
    </cfRule>
    <cfRule type="containsText" dxfId="680" priority="591" operator="containsText" text="DES-INSTALACION">
      <formula>NOT(ISERROR(SEARCH("DES-INSTALACION",S596)))</formula>
    </cfRule>
    <cfRule type="containsText" dxfId="679" priority="590" operator="containsText" text="RE-INSTALADO">
      <formula>NOT(ISERROR(SEARCH("RE-INSTALADO",S596)))</formula>
    </cfRule>
  </conditionalFormatting>
  <conditionalFormatting sqref="S596:S598">
    <cfRule type="containsText" dxfId="678" priority="594" operator="containsText" text="DES-INSTALACION">
      <formula>NOT(ISERROR(SEARCH("DES-INSTALACION",S596)))</formula>
    </cfRule>
  </conditionalFormatting>
  <conditionalFormatting sqref="S597:S598">
    <cfRule type="containsText" dxfId="677" priority="956" operator="containsText" text="DES-INSTALACION">
      <formula>NOT(ISERROR(SEARCH("DES-INSTALACION",S597)))</formula>
    </cfRule>
    <cfRule type="containsText" dxfId="676" priority="958" operator="containsText" text="BAJA">
      <formula>NOT(ISERROR(SEARCH("BAJA",S597)))</formula>
    </cfRule>
    <cfRule type="containsText" dxfId="675" priority="957" operator="containsText" text="VISITA EN FALSO">
      <formula>NOT(ISERROR(SEARCH("VISITA EN FALSO",S597)))</formula>
    </cfRule>
  </conditionalFormatting>
  <conditionalFormatting sqref="S599">
    <cfRule type="containsText" dxfId="674" priority="4247" operator="containsText" text="VISITA EN FALSO">
      <formula>NOT(ISERROR(SEARCH("VISITA EN FALSO",S599)))</formula>
    </cfRule>
    <cfRule type="containsText" dxfId="673" priority="4248" operator="containsText" text="BAJA">
      <formula>NOT(ISERROR(SEARCH("BAJA",S599)))</formula>
    </cfRule>
  </conditionalFormatting>
  <conditionalFormatting sqref="S600">
    <cfRule type="containsText" dxfId="672" priority="392" operator="containsText" text="VISITA EN FALSO">
      <formula>NOT(ISERROR(SEARCH("VISITA EN FALSO",S600)))</formula>
    </cfRule>
    <cfRule type="containsText" dxfId="671" priority="390" operator="containsText" text="RE-INSTALADO">
      <formula>NOT(ISERROR(SEARCH("RE-INSTALADO",S600)))</formula>
    </cfRule>
    <cfRule type="containsText" dxfId="670" priority="393" operator="containsText" text="BAJA">
      <formula>NOT(ISERROR(SEARCH("BAJA",S600)))</formula>
    </cfRule>
    <cfRule type="containsText" dxfId="669" priority="394" operator="containsText" text="DES-INSTALACION">
      <formula>NOT(ISERROR(SEARCH("DES-INSTALACION",S600)))</formula>
    </cfRule>
    <cfRule type="containsText" dxfId="668" priority="391" operator="containsText" text="DES-INSTALACION">
      <formula>NOT(ISERROR(SEARCH("DES-INSTALACION",S600)))</formula>
    </cfRule>
  </conditionalFormatting>
  <conditionalFormatting sqref="S602">
    <cfRule type="containsText" dxfId="667" priority="3345" operator="containsText" text="DES-INSTALACION">
      <formula>NOT(ISERROR(SEARCH("DES-INSTALACION",S602)))</formula>
    </cfRule>
    <cfRule type="containsText" dxfId="666" priority="3346" operator="containsText" text="VISITA EN FALSO">
      <formula>NOT(ISERROR(SEARCH("VISITA EN FALSO",S602)))</formula>
    </cfRule>
    <cfRule type="containsText" dxfId="665" priority="3347" operator="containsText" text="BAJA">
      <formula>NOT(ISERROR(SEARCH("BAJA",S602)))</formula>
    </cfRule>
  </conditionalFormatting>
  <conditionalFormatting sqref="S603">
    <cfRule type="containsText" dxfId="664" priority="9741" operator="containsText" text="BAJA">
      <formula>NOT(ISERROR(SEARCH("BAJA",S603)))</formula>
    </cfRule>
  </conditionalFormatting>
  <conditionalFormatting sqref="S603:S606">
    <cfRule type="containsText" dxfId="663" priority="4826" operator="containsText" text="BAJA">
      <formula>NOT(ISERROR(SEARCH("BAJA",S603)))</formula>
    </cfRule>
  </conditionalFormatting>
  <conditionalFormatting sqref="S604:S606">
    <cfRule type="containsText" dxfId="662" priority="4825" operator="containsText" text="VISITA EN FALSO">
      <formula>NOT(ISERROR(SEARCH("VISITA EN FALSO",S604)))</formula>
    </cfRule>
  </conditionalFormatting>
  <conditionalFormatting sqref="S606">
    <cfRule type="containsText" dxfId="661" priority="953" operator="containsText" text="VISITA EN FALSO">
      <formula>NOT(ISERROR(SEARCH("VISITA EN FALSO",S606)))</formula>
    </cfRule>
    <cfRule type="containsText" dxfId="660" priority="952" operator="containsText" text="DES-INSTALACION">
      <formula>NOT(ISERROR(SEARCH("DES-INSTALACION",S606)))</formula>
    </cfRule>
    <cfRule type="containsText" dxfId="659" priority="951" operator="containsText" text="DES-INSTALACION">
      <formula>NOT(ISERROR(SEARCH("DES-INSTALACION",S606)))</formula>
    </cfRule>
    <cfRule type="containsText" dxfId="658" priority="954" operator="containsText" text="BAJA">
      <formula>NOT(ISERROR(SEARCH("BAJA",S606)))</formula>
    </cfRule>
  </conditionalFormatting>
  <conditionalFormatting sqref="S607:S614">
    <cfRule type="containsText" dxfId="657" priority="3332" operator="containsText" text="VISITA EN FALSO">
      <formula>NOT(ISERROR(SEARCH("VISITA EN FALSO",S607)))</formula>
    </cfRule>
    <cfRule type="containsText" dxfId="656" priority="3333" operator="containsText" text="BAJA">
      <formula>NOT(ISERROR(SEARCH("BAJA",S607)))</formula>
    </cfRule>
  </conditionalFormatting>
  <conditionalFormatting sqref="S608:S609">
    <cfRule type="containsText" dxfId="655" priority="982" operator="containsText" text="BAJA">
      <formula>NOT(ISERROR(SEARCH("BAJA",S608)))</formula>
    </cfRule>
  </conditionalFormatting>
  <conditionalFormatting sqref="S609">
    <cfRule type="containsText" dxfId="654" priority="387" operator="containsText" text="DES-INSTALACION">
      <formula>NOT(ISERROR(SEARCH("DES-INSTALACION",S609)))</formula>
    </cfRule>
    <cfRule type="containsText" dxfId="653" priority="386" operator="containsText" text="RE-INSTALADO">
      <formula>NOT(ISERROR(SEARCH("RE-INSTALADO",S609)))</formula>
    </cfRule>
    <cfRule type="containsText" dxfId="652" priority="389" operator="containsText" text="DES-INSTALACION">
      <formula>NOT(ISERROR(SEARCH("DES-INSTALACION",S609)))</formula>
    </cfRule>
    <cfRule type="containsText" dxfId="651" priority="388" operator="containsText" text="VISITA EN FALSO">
      <formula>NOT(ISERROR(SEARCH("VISITA EN FALSO",S609)))</formula>
    </cfRule>
  </conditionalFormatting>
  <conditionalFormatting sqref="S615:S616">
    <cfRule type="containsText" dxfId="650" priority="376" operator="containsText" text="RE-INSTALADO">
      <formula>NOT(ISERROR(SEARCH("RE-INSTALADO",S615)))</formula>
    </cfRule>
    <cfRule type="containsText" dxfId="649" priority="377" operator="containsText" text="DES-INSTALACION">
      <formula>NOT(ISERROR(SEARCH("DES-INSTALACION",S615)))</formula>
    </cfRule>
    <cfRule type="containsText" dxfId="648" priority="378" operator="containsText" text="VISITA EN FALSO">
      <formula>NOT(ISERROR(SEARCH("VISITA EN FALSO",S615)))</formula>
    </cfRule>
    <cfRule type="containsText" dxfId="647" priority="379" operator="containsText" text="BAJA">
      <formula>NOT(ISERROR(SEARCH("BAJA",S615)))</formula>
    </cfRule>
    <cfRule type="containsText" dxfId="646" priority="380" operator="containsText" text="DES-INSTALACION">
      <formula>NOT(ISERROR(SEARCH("DES-INSTALACION",S615)))</formula>
    </cfRule>
  </conditionalFormatting>
  <conditionalFormatting sqref="S615:S621">
    <cfRule type="containsText" dxfId="645" priority="8913" operator="containsText" text="VISITA EN FALSO">
      <formula>NOT(ISERROR(SEARCH("VISITA EN FALSO",S615)))</formula>
    </cfRule>
    <cfRule type="containsText" dxfId="644" priority="8914" operator="containsText" text="BAJA">
      <formula>NOT(ISERROR(SEARCH("BAJA",S615)))</formula>
    </cfRule>
  </conditionalFormatting>
  <conditionalFormatting sqref="S617">
    <cfRule type="containsText" dxfId="643" priority="4238" operator="containsText" text="VISITA EN FALSO">
      <formula>NOT(ISERROR(SEARCH("VISITA EN FALSO",S617)))</formula>
    </cfRule>
    <cfRule type="containsText" dxfId="642" priority="4239" operator="containsText" text="BAJA">
      <formula>NOT(ISERROR(SEARCH("BAJA",S617)))</formula>
    </cfRule>
  </conditionalFormatting>
  <conditionalFormatting sqref="S618">
    <cfRule type="containsText" dxfId="641" priority="949" operator="containsText" text="VISITA EN FALSO">
      <formula>NOT(ISERROR(SEARCH("VISITA EN FALSO",S618)))</formula>
    </cfRule>
    <cfRule type="containsText" dxfId="640" priority="950" operator="containsText" text="BAJA">
      <formula>NOT(ISERROR(SEARCH("BAJA",S618)))</formula>
    </cfRule>
    <cfRule type="containsText" dxfId="639" priority="947" operator="containsText" text="DES-INSTALACION">
      <formula>NOT(ISERROR(SEARCH("DES-INSTALACION",S618)))</formula>
    </cfRule>
    <cfRule type="containsText" dxfId="638" priority="948" operator="containsText" text="DES-INSTALACION">
      <formula>NOT(ISERROR(SEARCH("DES-INSTALACION",S618)))</formula>
    </cfRule>
  </conditionalFormatting>
  <conditionalFormatting sqref="S622">
    <cfRule type="containsText" dxfId="637" priority="3326" operator="containsText" text="BAJA">
      <formula>NOT(ISERROR(SEARCH("BAJA",S622)))</formula>
    </cfRule>
    <cfRule type="containsText" dxfId="636" priority="3325" operator="containsText" text="VISITA EN FALSO">
      <formula>NOT(ISERROR(SEARCH("VISITA EN FALSO",S622)))</formula>
    </cfRule>
    <cfRule type="containsText" dxfId="635" priority="3324" operator="containsText" text="DES-INSTALACION">
      <formula>NOT(ISERROR(SEARCH("DES-INSTALACION",S622)))</formula>
    </cfRule>
  </conditionalFormatting>
  <conditionalFormatting sqref="S623">
    <cfRule type="containsText" dxfId="634" priority="1060" operator="containsText" text="DES-INSTALACION">
      <formula>NOT(ISERROR(SEARCH("DES-INSTALACION",S623)))</formula>
    </cfRule>
    <cfRule type="containsText" dxfId="633" priority="1061" operator="containsText" text="VISITA EN FALSO">
      <formula>NOT(ISERROR(SEARCH("VISITA EN FALSO",S623)))</formula>
    </cfRule>
    <cfRule type="containsText" dxfId="632" priority="1062" operator="containsText" text="BAJA">
      <formula>NOT(ISERROR(SEARCH("BAJA",S623)))</formula>
    </cfRule>
  </conditionalFormatting>
  <conditionalFormatting sqref="S623:S624">
    <cfRule type="containsText" dxfId="631" priority="375" operator="containsText" text="DES-INSTALACION">
      <formula>NOT(ISERROR(SEARCH("DES-INSTALACION",S623)))</formula>
    </cfRule>
    <cfRule type="containsText" dxfId="630" priority="370" operator="containsText" text="RE-INSTALADO">
      <formula>NOT(ISERROR(SEARCH("RE-INSTALADO",S623)))</formula>
    </cfRule>
  </conditionalFormatting>
  <conditionalFormatting sqref="S624">
    <cfRule type="containsText" dxfId="629" priority="373" operator="containsText" text="BAJA">
      <formula>NOT(ISERROR(SEARCH("BAJA",S624)))</formula>
    </cfRule>
    <cfRule type="containsText" dxfId="628" priority="372" operator="containsText" text="VISITA EN FALSO">
      <formula>NOT(ISERROR(SEARCH("VISITA EN FALSO",S624)))</formula>
    </cfRule>
    <cfRule type="containsText" dxfId="627" priority="371" operator="containsText" text="DES-INSTALACION">
      <formula>NOT(ISERROR(SEARCH("DES-INSTALACION",S624)))</formula>
    </cfRule>
  </conditionalFormatting>
  <conditionalFormatting sqref="S625">
    <cfRule type="containsText" dxfId="626" priority="3319" operator="containsText" text="BAJA">
      <formula>NOT(ISERROR(SEARCH("BAJA",S625)))</formula>
    </cfRule>
    <cfRule type="containsText" dxfId="625" priority="3318" operator="containsText" text="VISITA EN FALSO">
      <formula>NOT(ISERROR(SEARCH("VISITA EN FALSO",S625)))</formula>
    </cfRule>
  </conditionalFormatting>
  <conditionalFormatting sqref="S625:S627 S629:S660">
    <cfRule type="containsText" dxfId="624" priority="2928" operator="containsText" text="DES-INSTALACION">
      <formula>NOT(ISERROR(SEARCH("DES-INSTALACION",S625)))</formula>
    </cfRule>
  </conditionalFormatting>
  <conditionalFormatting sqref="S625:S660">
    <cfRule type="containsText" dxfId="623" priority="559" operator="containsText" text="DES-INSTALACION">
      <formula>NOT(ISERROR(SEARCH("DES-INSTALACION",S625)))</formula>
    </cfRule>
  </conditionalFormatting>
  <conditionalFormatting sqref="S626:S627">
    <cfRule type="containsText" dxfId="622" priority="9551" operator="containsText" text="BAJA">
      <formula>NOT(ISERROR(SEARCH("BAJA",S626)))</formula>
    </cfRule>
  </conditionalFormatting>
  <conditionalFormatting sqref="S627">
    <cfRule type="containsText" dxfId="621" priority="4813" operator="containsText" text="BAJA">
      <formula>NOT(ISERROR(SEARCH("BAJA",S627)))</formula>
    </cfRule>
  </conditionalFormatting>
  <conditionalFormatting sqref="S628">
    <cfRule type="containsText" dxfId="620" priority="557" operator="containsText" text="BAJA">
      <formula>NOT(ISERROR(SEARCH("BAJA",S628)))</formula>
    </cfRule>
    <cfRule type="containsText" dxfId="619" priority="554" operator="containsText" text="RE-INSTALADO">
      <formula>NOT(ISERROR(SEARCH("RE-INSTALADO",S628)))</formula>
    </cfRule>
    <cfRule type="containsText" dxfId="618" priority="555" operator="containsText" text="DES-INSTALACION">
      <formula>NOT(ISERROR(SEARCH("DES-INSTALACION",S628)))</formula>
    </cfRule>
    <cfRule type="containsText" dxfId="617" priority="556" operator="containsText" text="VISITA EN FALSO">
      <formula>NOT(ISERROR(SEARCH("VISITA EN FALSO",S628)))</formula>
    </cfRule>
  </conditionalFormatting>
  <conditionalFormatting sqref="S629:S630">
    <cfRule type="containsText" dxfId="616" priority="2929" operator="containsText" text="VISITA EN FALSO">
      <formula>NOT(ISERROR(SEARCH("VISITA EN FALSO",S629)))</formula>
    </cfRule>
  </conditionalFormatting>
  <conditionalFormatting sqref="S629:S631">
    <cfRule type="containsText" dxfId="615" priority="2930" operator="containsText" text="BAJA">
      <formula>NOT(ISERROR(SEARCH("BAJA",S629)))</formula>
    </cfRule>
  </conditionalFormatting>
  <conditionalFormatting sqref="S631:S634">
    <cfRule type="containsText" dxfId="614" priority="4164" operator="containsText" text="BAJA">
      <formula>NOT(ISERROR(SEARCH("BAJA",S631)))</formula>
    </cfRule>
    <cfRule type="containsText" dxfId="613" priority="4163" operator="containsText" text="VISITA EN FALSO">
      <formula>NOT(ISERROR(SEARCH("VISITA EN FALSO",S631)))</formula>
    </cfRule>
  </conditionalFormatting>
  <conditionalFormatting sqref="S635:S660">
    <cfRule type="containsText" dxfId="612" priority="9528" operator="containsText" text="BAJA">
      <formula>NOT(ISERROR(SEARCH("BAJA",S635)))</formula>
    </cfRule>
  </conditionalFormatting>
  <conditionalFormatting sqref="S658">
    <cfRule type="containsText" dxfId="611" priority="8656" operator="containsText" text="BAJA">
      <formula>NOT(ISERROR(SEARCH("BAJA",S658)))</formula>
    </cfRule>
  </conditionalFormatting>
  <conditionalFormatting sqref="S661">
    <cfRule type="containsText" dxfId="610" priority="543" operator="containsText" text="BAJA">
      <formula>NOT(ISERROR(SEARCH("BAJA",S661)))</formula>
    </cfRule>
    <cfRule type="containsText" dxfId="609" priority="542" operator="containsText" text="VISITA EN FALSO">
      <formula>NOT(ISERROR(SEARCH("VISITA EN FALSO",S661)))</formula>
    </cfRule>
    <cfRule type="containsText" dxfId="608" priority="541" operator="containsText" text="DES-INSTALACION">
      <formula>NOT(ISERROR(SEARCH("DES-INSTALACION",S661)))</formula>
    </cfRule>
    <cfRule type="containsText" dxfId="607" priority="540" operator="containsText" text="RE-INSTALADO">
      <formula>NOT(ISERROR(SEARCH("RE-INSTALADO",S661)))</formula>
    </cfRule>
  </conditionalFormatting>
  <conditionalFormatting sqref="S661:S662">
    <cfRule type="containsText" dxfId="606" priority="545" operator="containsText" text="DES-INSTALACION">
      <formula>NOT(ISERROR(SEARCH("DES-INSTALACION",S661)))</formula>
    </cfRule>
  </conditionalFormatting>
  <conditionalFormatting sqref="S662">
    <cfRule type="containsText" dxfId="605" priority="936" operator="containsText" text="DES-INSTALACION">
      <formula>NOT(ISERROR(SEARCH("DES-INSTALACION",S662)))</formula>
    </cfRule>
    <cfRule type="containsText" dxfId="604" priority="938" operator="containsText" text="BAJA">
      <formula>NOT(ISERROR(SEARCH("BAJA",S662)))</formula>
    </cfRule>
    <cfRule type="containsText" dxfId="603" priority="937" operator="containsText" text="VISITA EN FALSO">
      <formula>NOT(ISERROR(SEARCH("VISITA EN FALSO",S662)))</formula>
    </cfRule>
  </conditionalFormatting>
  <conditionalFormatting sqref="S662:S665 S668:S691 S693:S695 S697:S698 S700 S702:S704 S707:S721">
    <cfRule type="containsText" dxfId="602" priority="4253" operator="containsText" text="VISITA EN FALSO">
      <formula>NOT(ISERROR(SEARCH("VISITA EN FALSO",S662)))</formula>
    </cfRule>
    <cfRule type="containsText" dxfId="601" priority="4254" operator="containsText" text="BAJA">
      <formula>NOT(ISERROR(SEARCH("BAJA",S662)))</formula>
    </cfRule>
  </conditionalFormatting>
  <conditionalFormatting sqref="S662:S665 S693:S695 S697:S698 S707:S721 S668:S691 S700 S702:S704">
    <cfRule type="containsText" dxfId="600" priority="4252" operator="containsText" text="DES-INSTALACION">
      <formula>NOT(ISERROR(SEARCH("DES-INSTALACION",S662)))</formula>
    </cfRule>
  </conditionalFormatting>
  <conditionalFormatting sqref="S666:S667 S692">
    <cfRule type="containsText" dxfId="599" priority="454" operator="containsText" text="RE-INSTALADO">
      <formula>NOT(ISERROR(SEARCH("RE-INSTALADO",S666)))</formula>
    </cfRule>
    <cfRule type="containsText" dxfId="598" priority="457" operator="containsText" text="BAJA">
      <formula>NOT(ISERROR(SEARCH("BAJA",S666)))</formula>
    </cfRule>
    <cfRule type="containsText" dxfId="597" priority="456" operator="containsText" text="VISITA EN FALSO">
      <formula>NOT(ISERROR(SEARCH("VISITA EN FALSO",S666)))</formula>
    </cfRule>
    <cfRule type="containsText" dxfId="596" priority="455" operator="containsText" text="DES-INSTALACION">
      <formula>NOT(ISERROR(SEARCH("DES-INSTALACION",S666)))</formula>
    </cfRule>
  </conditionalFormatting>
  <conditionalFormatting sqref="S666:S694">
    <cfRule type="containsText" dxfId="595" priority="459" operator="containsText" text="DES-INSTALACION">
      <formula>NOT(ISERROR(SEARCH("DES-INSTALACION",S666)))</formula>
    </cfRule>
  </conditionalFormatting>
  <conditionalFormatting sqref="S693:S694">
    <cfRule type="containsText" dxfId="594" priority="921" operator="containsText" text="BAJA">
      <formula>NOT(ISERROR(SEARCH("BAJA",S693)))</formula>
    </cfRule>
    <cfRule type="containsText" dxfId="593" priority="919" operator="containsText" text="DES-INSTALACION">
      <formula>NOT(ISERROR(SEARCH("DES-INSTALACION",S693)))</formula>
    </cfRule>
    <cfRule type="containsText" dxfId="592" priority="920" operator="containsText" text="VISITA EN FALSO">
      <formula>NOT(ISERROR(SEARCH("VISITA EN FALSO",S693)))</formula>
    </cfRule>
  </conditionalFormatting>
  <conditionalFormatting sqref="S696">
    <cfRule type="containsText" dxfId="591" priority="531" operator="containsText" text="DES-INSTALACION">
      <formula>NOT(ISERROR(SEARCH("DES-INSTALACION",S696)))</formula>
    </cfRule>
    <cfRule type="containsText" dxfId="590" priority="530" operator="containsText" text="RE-INSTALADO">
      <formula>NOT(ISERROR(SEARCH("RE-INSTALADO",S696)))</formula>
    </cfRule>
    <cfRule type="containsText" dxfId="589" priority="533" operator="containsText" text="BAJA">
      <formula>NOT(ISERROR(SEARCH("BAJA",S696)))</formula>
    </cfRule>
    <cfRule type="containsText" dxfId="588" priority="532" operator="containsText" text="VISITA EN FALSO">
      <formula>NOT(ISERROR(SEARCH("VISITA EN FALSO",S696)))</formula>
    </cfRule>
  </conditionalFormatting>
  <conditionalFormatting sqref="S696:S697">
    <cfRule type="containsText" dxfId="587" priority="535" operator="containsText" text="DES-INSTALACION">
      <formula>NOT(ISERROR(SEARCH("DES-INSTALACION",S696)))</formula>
    </cfRule>
  </conditionalFormatting>
  <conditionalFormatting sqref="S697">
    <cfRule type="containsText" dxfId="586" priority="913" operator="containsText" text="BAJA">
      <formula>NOT(ISERROR(SEARCH("BAJA",S697)))</formula>
    </cfRule>
    <cfRule type="containsText" dxfId="585" priority="911" operator="containsText" text="DES-INSTALACION">
      <formula>NOT(ISERROR(SEARCH("DES-INSTALACION",S697)))</formula>
    </cfRule>
    <cfRule type="containsText" dxfId="584" priority="912" operator="containsText" text="VISITA EN FALSO">
      <formula>NOT(ISERROR(SEARCH("VISITA EN FALSO",S697)))</formula>
    </cfRule>
  </conditionalFormatting>
  <conditionalFormatting sqref="S699">
    <cfRule type="containsText" dxfId="583" priority="359" operator="containsText" text="DES-INSTALACION">
      <formula>NOT(ISERROR(SEARCH("DES-INSTALACION",S699)))</formula>
    </cfRule>
    <cfRule type="containsText" dxfId="582" priority="358" operator="containsText" text="RE-INSTALADO">
      <formula>NOT(ISERROR(SEARCH("RE-INSTALADO",S699)))</formula>
    </cfRule>
    <cfRule type="containsText" dxfId="581" priority="360" operator="containsText" text="VISITA EN FALSO">
      <formula>NOT(ISERROR(SEARCH("VISITA EN FALSO",S699)))</formula>
    </cfRule>
    <cfRule type="containsText" dxfId="580" priority="361" operator="containsText" text="BAJA">
      <formula>NOT(ISERROR(SEARCH("BAJA",S699)))</formula>
    </cfRule>
  </conditionalFormatting>
  <conditionalFormatting sqref="S699:S700">
    <cfRule type="containsText" dxfId="579" priority="363" operator="containsText" text="DES-INSTALACION">
      <formula>NOT(ISERROR(SEARCH("DES-INSTALACION",S699)))</formula>
    </cfRule>
  </conditionalFormatting>
  <conditionalFormatting sqref="S701">
    <cfRule type="containsText" dxfId="578" priority="354" operator="containsText" text="VISITA EN FALSO">
      <formula>NOT(ISERROR(SEARCH("VISITA EN FALSO",S701)))</formula>
    </cfRule>
    <cfRule type="containsText" dxfId="577" priority="353" operator="containsText" text="DES-INSTALACION">
      <formula>NOT(ISERROR(SEARCH("DES-INSTALACION",S701)))</formula>
    </cfRule>
    <cfRule type="containsText" dxfId="576" priority="352" operator="containsText" text="RE-INSTALADO">
      <formula>NOT(ISERROR(SEARCH("RE-INSTALADO",S701)))</formula>
    </cfRule>
    <cfRule type="containsText" dxfId="575" priority="355" operator="containsText" text="BAJA">
      <formula>NOT(ISERROR(SEARCH("BAJA",S701)))</formula>
    </cfRule>
  </conditionalFormatting>
  <conditionalFormatting sqref="S701:S704">
    <cfRule type="containsText" dxfId="574" priority="357" operator="containsText" text="DES-INSTALACION">
      <formula>NOT(ISERROR(SEARCH("DES-INSTALACION",S701)))</formula>
    </cfRule>
  </conditionalFormatting>
  <conditionalFormatting sqref="S705:S706">
    <cfRule type="containsText" dxfId="573" priority="340" operator="containsText" text="RE-INSTALADO">
      <formula>NOT(ISERROR(SEARCH("RE-INSTALADO",S705)))</formula>
    </cfRule>
    <cfRule type="containsText" dxfId="572" priority="343" operator="containsText" text="BAJA">
      <formula>NOT(ISERROR(SEARCH("BAJA",S705)))</formula>
    </cfRule>
    <cfRule type="containsText" dxfId="571" priority="341" operator="containsText" text="DES-INSTALACION">
      <formula>NOT(ISERROR(SEARCH("DES-INSTALACION",S705)))</formula>
    </cfRule>
    <cfRule type="containsText" dxfId="570" priority="342" operator="containsText" text="VISITA EN FALSO">
      <formula>NOT(ISERROR(SEARCH("VISITA EN FALSO",S705)))</formula>
    </cfRule>
  </conditionalFormatting>
  <conditionalFormatting sqref="S705:S707">
    <cfRule type="containsText" dxfId="569" priority="345" operator="containsText" text="DES-INSTALACION">
      <formula>NOT(ISERROR(SEARCH("DES-INSTALACION",S705)))</formula>
    </cfRule>
  </conditionalFormatting>
  <conditionalFormatting sqref="S707">
    <cfRule type="containsText" dxfId="568" priority="904" operator="containsText" text="VISITA EN FALSO">
      <formula>NOT(ISERROR(SEARCH("VISITA EN FALSO",S707)))</formula>
    </cfRule>
    <cfRule type="containsText" dxfId="567" priority="905" operator="containsText" text="BAJA">
      <formula>NOT(ISERROR(SEARCH("BAJA",S707)))</formula>
    </cfRule>
    <cfRule type="containsText" dxfId="566" priority="903" operator="containsText" text="DES-INSTALACION">
      <formula>NOT(ISERROR(SEARCH("DES-INSTALACION",S707)))</formula>
    </cfRule>
  </conditionalFormatting>
  <conditionalFormatting sqref="S707:S721 S314:S322 S347:S349 S379:S382 S946:S992 S414:S426 S439:S443 S455:S462 S464:S467 S384 S401 S403 S888:S889 S304 S334 S351:S352 S369:S372 S388 S662:S665 S693:S695 S697:S698 S57">
    <cfRule type="containsText" dxfId="565" priority="4189" operator="containsText" text="DES-INSTALACION">
      <formula>NOT(ISERROR(SEARCH("DES-INSTALACION",S57)))</formula>
    </cfRule>
  </conditionalFormatting>
  <conditionalFormatting sqref="S711">
    <cfRule type="containsText" dxfId="564" priority="4178" operator="containsText" text="BAJA">
      <formula>NOT(ISERROR(SEARCH("BAJA",S711)))</formula>
    </cfRule>
    <cfRule type="containsText" dxfId="563" priority="4177" operator="containsText" text="VISITA EN FALSO">
      <formula>NOT(ISERROR(SEARCH("VISITA EN FALSO",S711)))</formula>
    </cfRule>
  </conditionalFormatting>
  <conditionalFormatting sqref="S720">
    <cfRule type="containsText" dxfId="562" priority="4133" operator="containsText" text="VISITA EN FALSO">
      <formula>NOT(ISERROR(SEARCH("VISITA EN FALSO",S720)))</formula>
    </cfRule>
    <cfRule type="containsText" dxfId="561" priority="4134" operator="containsText" text="BAJA">
      <formula>NOT(ISERROR(SEARCH("BAJA",S720)))</formula>
    </cfRule>
  </conditionalFormatting>
  <conditionalFormatting sqref="S722:S733 S735:S737">
    <cfRule type="containsText" dxfId="560" priority="1429" operator="containsText" text="DES-INSTALACION">
      <formula>NOT(ISERROR(SEARCH("DES-INSTALACION",S722)))</formula>
    </cfRule>
    <cfRule type="containsText" dxfId="559" priority="1431" operator="containsText" text="BAJA">
      <formula>NOT(ISERROR(SEARCH("BAJA",S722)))</formula>
    </cfRule>
    <cfRule type="containsText" dxfId="558" priority="1430" operator="containsText" text="VISITA EN FALSO">
      <formula>NOT(ISERROR(SEARCH("VISITA EN FALSO",S722)))</formula>
    </cfRule>
  </conditionalFormatting>
  <conditionalFormatting sqref="S722:S734">
    <cfRule type="containsText" dxfId="557" priority="17" operator="containsText" text="DES-INSTALACION">
      <formula>NOT(ISERROR(SEARCH("DES-INSTALACION",S722)))</formula>
    </cfRule>
  </conditionalFormatting>
  <conditionalFormatting sqref="S734">
    <cfRule type="containsText" dxfId="556" priority="18" operator="containsText" text="BAJA">
      <formula>NOT(ISERROR(SEARCH("BAJA",S734)))</formula>
    </cfRule>
    <cfRule type="containsText" dxfId="555" priority="13" operator="containsText" text="RE-INSTALADO">
      <formula>NOT(ISERROR(SEARCH("RE-INSTALADO",S734)))</formula>
    </cfRule>
    <cfRule type="containsText" dxfId="554" priority="15" operator="containsText" text="VISITA EN FALSO">
      <formula>NOT(ISERROR(SEARCH("VISITA EN FALSO",S734)))</formula>
    </cfRule>
    <cfRule type="containsText" dxfId="553" priority="14" operator="containsText" text="DES-INSTALACION">
      <formula>NOT(ISERROR(SEARCH("DES-INSTALACION",S734)))</formula>
    </cfRule>
  </conditionalFormatting>
  <conditionalFormatting sqref="S735:S739">
    <cfRule type="containsText" dxfId="552" priority="339" operator="containsText" text="DES-INSTALACION">
      <formula>NOT(ISERROR(SEARCH("DES-INSTALACION",S735)))</formula>
    </cfRule>
  </conditionalFormatting>
  <conditionalFormatting sqref="S738">
    <cfRule type="containsText" dxfId="551" priority="337" operator="containsText" text="BAJA">
      <formula>NOT(ISERROR(SEARCH("BAJA",S738)))</formula>
    </cfRule>
    <cfRule type="containsText" dxfId="550" priority="336" operator="containsText" text="VISITA EN FALSO">
      <formula>NOT(ISERROR(SEARCH("VISITA EN FALSO",S738)))</formula>
    </cfRule>
    <cfRule type="containsText" dxfId="549" priority="335" operator="containsText" text="DES-INSTALACION">
      <formula>NOT(ISERROR(SEARCH("DES-INSTALACION",S738)))</formula>
    </cfRule>
  </conditionalFormatting>
  <conditionalFormatting sqref="S738:S740 T1318:T1792">
    <cfRule type="containsText" dxfId="548" priority="328" operator="containsText" text="RE-INSTALADO">
      <formula>NOT(ISERROR(SEARCH("RE-INSTALADO",S738)))</formula>
    </cfRule>
  </conditionalFormatting>
  <conditionalFormatting sqref="S739">
    <cfRule type="containsText" dxfId="547" priority="1050" operator="containsText" text="DES-INSTALACION">
      <formula>NOT(ISERROR(SEARCH("DES-INSTALACION",S739)))</formula>
    </cfRule>
    <cfRule type="containsText" dxfId="546" priority="1051" operator="containsText" text="VISITA EN FALSO">
      <formula>NOT(ISERROR(SEARCH("VISITA EN FALSO",S739)))</formula>
    </cfRule>
    <cfRule type="containsText" dxfId="545" priority="1052" operator="containsText" text="BAJA">
      <formula>NOT(ISERROR(SEARCH("BAJA",S739)))</formula>
    </cfRule>
  </conditionalFormatting>
  <conditionalFormatting sqref="S740">
    <cfRule type="containsText" dxfId="544" priority="330" operator="containsText" text="VISITA EN FALSO">
      <formula>NOT(ISERROR(SEARCH("VISITA EN FALSO",S740)))</formula>
    </cfRule>
    <cfRule type="containsText" dxfId="543" priority="333" operator="containsText" text="DES-INSTALACION">
      <formula>NOT(ISERROR(SEARCH("DES-INSTALACION",S740)))</formula>
    </cfRule>
    <cfRule type="containsText" dxfId="542" priority="331" operator="containsText" text="BAJA">
      <formula>NOT(ISERROR(SEARCH("BAJA",S740)))</formula>
    </cfRule>
    <cfRule type="containsText" dxfId="541" priority="329" operator="containsText" text="DES-INSTALACION">
      <formula>NOT(ISERROR(SEARCH("DES-INSTALACION",S740)))</formula>
    </cfRule>
  </conditionalFormatting>
  <conditionalFormatting sqref="S741 S743:S744 S747:S748 S752 S755:S756 S759:S761 S763:S765 S770">
    <cfRule type="containsText" dxfId="540" priority="3304" operator="containsText" text="VISITA EN FALSO">
      <formula>NOT(ISERROR(SEARCH("VISITA EN FALSO",S741)))</formula>
    </cfRule>
    <cfRule type="containsText" dxfId="539" priority="3303" operator="containsText" text="DES-INSTALACION">
      <formula>NOT(ISERROR(SEARCH("DES-INSTALACION",S741)))</formula>
    </cfRule>
    <cfRule type="containsText" dxfId="538" priority="3305" operator="containsText" text="BAJA">
      <formula>NOT(ISERROR(SEARCH("BAJA",S741)))</formula>
    </cfRule>
  </conditionalFormatting>
  <conditionalFormatting sqref="S741 S743:S744 S752 S755:S756 S763:S765 S776:S783 S790:S791 S793:S806 S812:S814">
    <cfRule type="containsText" dxfId="537" priority="1029" operator="containsText" text="DES-INSTALACION">
      <formula>NOT(ISERROR(SEARCH("DES-INSTALACION",S741)))</formula>
    </cfRule>
  </conditionalFormatting>
  <conditionalFormatting sqref="S741">
    <cfRule type="containsText" dxfId="536" priority="895" operator="containsText" text="DES-INSTALACION">
      <formula>NOT(ISERROR(SEARCH("DES-INSTALACION",S741)))</formula>
    </cfRule>
    <cfRule type="containsText" dxfId="535" priority="897" operator="containsText" text="BAJA">
      <formula>NOT(ISERROR(SEARCH("BAJA",S741)))</formula>
    </cfRule>
    <cfRule type="containsText" dxfId="534" priority="896" operator="containsText" text="VISITA EN FALSO">
      <formula>NOT(ISERROR(SEARCH("VISITA EN FALSO",S741)))</formula>
    </cfRule>
  </conditionalFormatting>
  <conditionalFormatting sqref="S741:S742">
    <cfRule type="containsText" dxfId="533" priority="589" operator="containsText" text="DES-INSTALACION">
      <formula>NOT(ISERROR(SEARCH("DES-INSTALACION",S741)))</formula>
    </cfRule>
  </conditionalFormatting>
  <conditionalFormatting sqref="S742">
    <cfRule type="containsText" dxfId="532" priority="587" operator="containsText" text="BAJA">
      <formula>NOT(ISERROR(SEARCH("BAJA",S742)))</formula>
    </cfRule>
    <cfRule type="containsText" dxfId="531" priority="585" operator="containsText" text="DES-INSTALACION">
      <formula>NOT(ISERROR(SEARCH("DES-INSTALACION",S742)))</formula>
    </cfRule>
    <cfRule type="containsText" dxfId="530" priority="584" operator="containsText" text="RE-INSTALADO">
      <formula>NOT(ISERROR(SEARCH("RE-INSTALADO",S742)))</formula>
    </cfRule>
    <cfRule type="containsText" dxfId="529" priority="586" operator="containsText" text="VISITA EN FALSO">
      <formula>NOT(ISERROR(SEARCH("VISITA EN FALSO",S742)))</formula>
    </cfRule>
  </conditionalFormatting>
  <conditionalFormatting sqref="S744">
    <cfRule type="containsText" dxfId="528" priority="887" operator="containsText" text="DES-INSTALACION">
      <formula>NOT(ISERROR(SEARCH("DES-INSTALACION",S744)))</formula>
    </cfRule>
    <cfRule type="containsText" dxfId="527" priority="889" operator="containsText" text="BAJA">
      <formula>NOT(ISERROR(SEARCH("BAJA",S744)))</formula>
    </cfRule>
    <cfRule type="containsText" dxfId="526" priority="888" operator="containsText" text="VISITA EN FALSO">
      <formula>NOT(ISERROR(SEARCH("VISITA EN FALSO",S744)))</formula>
    </cfRule>
  </conditionalFormatting>
  <conditionalFormatting sqref="S744:S745">
    <cfRule type="containsText" dxfId="525" priority="320" operator="containsText" text="DES-INSTALACION">
      <formula>NOT(ISERROR(SEARCH("DES-INSTALACION",S744)))</formula>
    </cfRule>
  </conditionalFormatting>
  <conditionalFormatting sqref="S745 S946:T1048576">
    <cfRule type="containsText" dxfId="524" priority="319" operator="containsText" text="ANTERIOR">
      <formula>NOT(ISERROR(SEARCH("ANTERIOR",S745)))</formula>
    </cfRule>
  </conditionalFormatting>
  <conditionalFormatting sqref="S745:S746">
    <cfRule type="containsText" dxfId="523" priority="321" operator="containsText" text="BAJA">
      <formula>NOT(ISERROR(SEARCH("BAJA",S745)))</formula>
    </cfRule>
    <cfRule type="containsText" dxfId="522" priority="316" operator="containsText" text="RE-INSTALADO">
      <formula>NOT(ISERROR(SEARCH("RE-INSTALADO",S745)))</formula>
    </cfRule>
    <cfRule type="containsText" dxfId="521" priority="317" operator="containsText" text="DES-INSTALACION">
      <formula>NOT(ISERROR(SEARCH("DES-INSTALACION",S745)))</formula>
    </cfRule>
    <cfRule type="containsText" dxfId="520" priority="318" operator="containsText" text="VISITA EN FALSO">
      <formula>NOT(ISERROR(SEARCH("VISITA EN FALSO",S745)))</formula>
    </cfRule>
  </conditionalFormatting>
  <conditionalFormatting sqref="S746">
    <cfRule type="containsText" dxfId="519" priority="326" operator="containsText" text="ANTERIOR">
      <formula>NOT(ISERROR(SEARCH("ANTERIOR",S746)))</formula>
    </cfRule>
  </conditionalFormatting>
  <conditionalFormatting sqref="S746:S748">
    <cfRule type="containsText" dxfId="518" priority="327" operator="containsText" text="DES-INSTALACION">
      <formula>NOT(ISERROR(SEARCH("DES-INSTALACION",S746)))</formula>
    </cfRule>
  </conditionalFormatting>
  <conditionalFormatting sqref="S749:S751">
    <cfRule type="containsText" dxfId="517" priority="300" operator="containsText" text="VISITA EN FALSO">
      <formula>NOT(ISERROR(SEARCH("VISITA EN FALSO",S749)))</formula>
    </cfRule>
    <cfRule type="containsText" dxfId="516" priority="299" operator="containsText" text="DES-INSTALACION">
      <formula>NOT(ISERROR(SEARCH("DES-INSTALACION",S749)))</formula>
    </cfRule>
    <cfRule type="containsText" dxfId="515" priority="303" operator="containsText" text="BAJA">
      <formula>NOT(ISERROR(SEARCH("BAJA",S749)))</formula>
    </cfRule>
    <cfRule type="containsText" dxfId="514" priority="298" operator="containsText" text="RE-INSTALADO">
      <formula>NOT(ISERROR(SEARCH("RE-INSTALADO",S749)))</formula>
    </cfRule>
  </conditionalFormatting>
  <conditionalFormatting sqref="S749:S752">
    <cfRule type="containsText" dxfId="513" priority="302" operator="containsText" text="DES-INSTALACION">
      <formula>NOT(ISERROR(SEARCH("DES-INSTALACION",S749)))</formula>
    </cfRule>
  </conditionalFormatting>
  <conditionalFormatting sqref="S752">
    <cfRule type="containsText" dxfId="512" priority="879" operator="containsText" text="DES-INSTALACION">
      <formula>NOT(ISERROR(SEARCH("DES-INSTALACION",S752)))</formula>
    </cfRule>
    <cfRule type="containsText" dxfId="511" priority="880" operator="containsText" text="VISITA EN FALSO">
      <formula>NOT(ISERROR(SEARCH("VISITA EN FALSO",S752)))</formula>
    </cfRule>
    <cfRule type="containsText" dxfId="510" priority="881" operator="containsText" text="BAJA">
      <formula>NOT(ISERROR(SEARCH("BAJA",S752)))</formula>
    </cfRule>
  </conditionalFormatting>
  <conditionalFormatting sqref="S753:S754">
    <cfRule type="containsText" dxfId="509" priority="291" operator="containsText" text="BAJA">
      <formula>NOT(ISERROR(SEARCH("BAJA",S753)))</formula>
    </cfRule>
    <cfRule type="containsText" dxfId="508" priority="288" operator="containsText" text="VISITA EN FALSO">
      <formula>NOT(ISERROR(SEARCH("VISITA EN FALSO",S753)))</formula>
    </cfRule>
    <cfRule type="containsText" dxfId="507" priority="286" operator="containsText" text="RE-INSTALADO">
      <formula>NOT(ISERROR(SEARCH("RE-INSTALADO",S753)))</formula>
    </cfRule>
    <cfRule type="containsText" dxfId="506" priority="287" operator="containsText" text="DES-INSTALACION">
      <formula>NOT(ISERROR(SEARCH("DES-INSTALACION",S753)))</formula>
    </cfRule>
  </conditionalFormatting>
  <conditionalFormatting sqref="S753:S755">
    <cfRule type="containsText" dxfId="505" priority="290" operator="containsText" text="DES-INSTALACION">
      <formula>NOT(ISERROR(SEARCH("DES-INSTALACION",S753)))</formula>
    </cfRule>
  </conditionalFormatting>
  <conditionalFormatting sqref="S755">
    <cfRule type="containsText" dxfId="504" priority="872" operator="containsText" text="VISITA EN FALSO">
      <formula>NOT(ISERROR(SEARCH("VISITA EN FALSO",S755)))</formula>
    </cfRule>
    <cfRule type="containsText" dxfId="503" priority="873" operator="containsText" text="BAJA">
      <formula>NOT(ISERROR(SEARCH("BAJA",S755)))</formula>
    </cfRule>
    <cfRule type="containsText" dxfId="502" priority="871" operator="containsText" text="DES-INSTALACION">
      <formula>NOT(ISERROR(SEARCH("DES-INSTALACION",S755)))</formula>
    </cfRule>
  </conditionalFormatting>
  <conditionalFormatting sqref="S757:S758">
    <cfRule type="containsText" dxfId="501" priority="279" operator="containsText" text="BAJA">
      <formula>NOT(ISERROR(SEARCH("BAJA",S757)))</formula>
    </cfRule>
    <cfRule type="containsText" dxfId="500" priority="276" operator="containsText" text="VISITA EN FALSO">
      <formula>NOT(ISERROR(SEARCH("VISITA EN FALSO",S757)))</formula>
    </cfRule>
    <cfRule type="containsText" dxfId="499" priority="275" operator="containsText" text="DES-INSTALACION">
      <formula>NOT(ISERROR(SEARCH("DES-INSTALACION",S757)))</formula>
    </cfRule>
    <cfRule type="containsText" dxfId="498" priority="274" operator="containsText" text="RE-INSTALADO">
      <formula>NOT(ISERROR(SEARCH("RE-INSTALADO",S757)))</formula>
    </cfRule>
  </conditionalFormatting>
  <conditionalFormatting sqref="S757:S761">
    <cfRule type="containsText" dxfId="497" priority="278" operator="containsText" text="DES-INSTALACION">
      <formula>NOT(ISERROR(SEARCH("DES-INSTALACION",S757)))</formula>
    </cfRule>
  </conditionalFormatting>
  <conditionalFormatting sqref="S762">
    <cfRule type="containsText" dxfId="496" priority="268" operator="containsText" text="RE-INSTALADO">
      <formula>NOT(ISERROR(SEARCH("RE-INSTALADO",S762)))</formula>
    </cfRule>
    <cfRule type="containsText" dxfId="495" priority="273" operator="containsText" text="BAJA">
      <formula>NOT(ISERROR(SEARCH("BAJA",S762)))</formula>
    </cfRule>
    <cfRule type="containsText" dxfId="494" priority="272" operator="containsText" text="DES-INSTALACION">
      <formula>NOT(ISERROR(SEARCH("DES-INSTALACION",S762)))</formula>
    </cfRule>
    <cfRule type="containsText" dxfId="493" priority="269" operator="containsText" text="DES-INSTALACION">
      <formula>NOT(ISERROR(SEARCH("DES-INSTALACION",S762)))</formula>
    </cfRule>
    <cfRule type="containsText" dxfId="492" priority="270" operator="containsText" text="VISITA EN FALSO">
      <formula>NOT(ISERROR(SEARCH("VISITA EN FALSO",S762)))</formula>
    </cfRule>
  </conditionalFormatting>
  <conditionalFormatting sqref="S765">
    <cfRule type="containsText" dxfId="491" priority="864" operator="containsText" text="VISITA EN FALSO">
      <formula>NOT(ISERROR(SEARCH("VISITA EN FALSO",S765)))</formula>
    </cfRule>
    <cfRule type="containsText" dxfId="490" priority="865" operator="containsText" text="BAJA">
      <formula>NOT(ISERROR(SEARCH("BAJA",S765)))</formula>
    </cfRule>
    <cfRule type="containsText" dxfId="489" priority="863" operator="containsText" text="DES-INSTALACION">
      <formula>NOT(ISERROR(SEARCH("DES-INSTALACION",S765)))</formula>
    </cfRule>
  </conditionalFormatting>
  <conditionalFormatting sqref="S765:S766">
    <cfRule type="containsText" dxfId="488" priority="266" operator="containsText" text="DES-INSTALACION">
      <formula>NOT(ISERROR(SEARCH("DES-INSTALACION",S765)))</formula>
    </cfRule>
  </conditionalFormatting>
  <conditionalFormatting sqref="S766:S768">
    <cfRule type="containsText" dxfId="487" priority="267" operator="containsText" text="BAJA">
      <formula>NOT(ISERROR(SEARCH("BAJA",S766)))</formula>
    </cfRule>
  </conditionalFormatting>
  <conditionalFormatting sqref="S766:S769 S1501:S1789">
    <cfRule type="containsText" dxfId="486" priority="258" operator="containsText" text="VISITA EN FALSO">
      <formula>NOT(ISERROR(SEARCH("VISITA EN FALSO",S766)))</formula>
    </cfRule>
    <cfRule type="containsText" dxfId="485" priority="257" operator="containsText" text="DES-INSTALACION">
      <formula>NOT(ISERROR(SEARCH("DES-INSTALACION",S766)))</formula>
    </cfRule>
    <cfRule type="containsText" dxfId="484" priority="256" operator="containsText" text="RE-INSTALADO">
      <formula>NOT(ISERROR(SEARCH("RE-INSTALADO",S766)))</formula>
    </cfRule>
  </conditionalFormatting>
  <conditionalFormatting sqref="S767:S768">
    <cfRule type="containsText" dxfId="483" priority="453" operator="containsText" text="DES-INSTALACION">
      <formula>NOT(ISERROR(SEARCH("DES-INSTALACION",S767)))</formula>
    </cfRule>
  </conditionalFormatting>
  <conditionalFormatting sqref="S769">
    <cfRule type="containsText" dxfId="482" priority="261" operator="containsText" text="BAJA">
      <formula>NOT(ISERROR(SEARCH("BAJA",S769)))</formula>
    </cfRule>
  </conditionalFormatting>
  <conditionalFormatting sqref="S769:S774">
    <cfRule type="containsText" dxfId="481" priority="260" operator="containsText" text="DES-INSTALACION">
      <formula>NOT(ISERROR(SEARCH("DES-INSTALACION",S769)))</formula>
    </cfRule>
  </conditionalFormatting>
  <conditionalFormatting sqref="S771">
    <cfRule type="containsText" dxfId="480" priority="1040" operator="containsText" text="DES-INSTALACION">
      <formula>NOT(ISERROR(SEARCH("DES-INSTALACION",S771)))</formula>
    </cfRule>
    <cfRule type="containsText" dxfId="479" priority="1041" operator="containsText" text="VISITA EN FALSO">
      <formula>NOT(ISERROR(SEARCH("VISITA EN FALSO",S771)))</formula>
    </cfRule>
    <cfRule type="containsText" dxfId="478" priority="1042" operator="containsText" text="BAJA">
      <formula>NOT(ISERROR(SEARCH("BAJA",S771)))</formula>
    </cfRule>
    <cfRule type="containsText" dxfId="477" priority="1037" operator="containsText" text="RE-INSTALADO">
      <formula>NOT(ISERROR(SEARCH("RE-INSTALADO",S771)))</formula>
    </cfRule>
  </conditionalFormatting>
  <conditionalFormatting sqref="S772:S774 S776:S783 S785 S787 S790:S791 S793:S805">
    <cfRule type="containsText" dxfId="476" priority="2693" operator="containsText" text="BAJA">
      <formula>NOT(ISERROR(SEARCH("BAJA",S772)))</formula>
    </cfRule>
    <cfRule type="containsText" dxfId="475" priority="2692" operator="containsText" text="VISITA EN FALSO">
      <formula>NOT(ISERROR(SEARCH("VISITA EN FALSO",S772)))</formula>
    </cfRule>
    <cfRule type="containsText" dxfId="474" priority="2691" operator="containsText" text="DES-INSTALACION">
      <formula>NOT(ISERROR(SEARCH("DES-INSTALACION",S772)))</formula>
    </cfRule>
  </conditionalFormatting>
  <conditionalFormatting sqref="S775">
    <cfRule type="containsText" dxfId="473" priority="44" operator="containsText" text="BAJA">
      <formula>NOT(ISERROR(SEARCH("BAJA",S775)))</formula>
    </cfRule>
    <cfRule type="containsText" dxfId="472" priority="41" operator="containsText" text="VISITA EN FALSO">
      <formula>NOT(ISERROR(SEARCH("VISITA EN FALSO",S775)))</formula>
    </cfRule>
    <cfRule type="containsText" dxfId="471" priority="40" operator="containsText" text="DES-INSTALACION">
      <formula>NOT(ISERROR(SEARCH("DES-INSTALACION",S775)))</formula>
    </cfRule>
    <cfRule type="containsText" dxfId="470" priority="39" operator="containsText" text="RE-INSTALADO">
      <formula>NOT(ISERROR(SEARCH("RE-INSTALADO",S775)))</formula>
    </cfRule>
  </conditionalFormatting>
  <conditionalFormatting sqref="S775:S776">
    <cfRule type="containsText" dxfId="469" priority="43" operator="containsText" text="DES-INSTALACION">
      <formula>NOT(ISERROR(SEARCH("DES-INSTALACION",S775)))</formula>
    </cfRule>
  </conditionalFormatting>
  <conditionalFormatting sqref="S776">
    <cfRule type="containsText" dxfId="468" priority="855" operator="containsText" text="DES-INSTALACION">
      <formula>NOT(ISERROR(SEARCH("DES-INSTALACION",S776)))</formula>
    </cfRule>
    <cfRule type="containsText" dxfId="467" priority="857" operator="containsText" text="BAJA">
      <formula>NOT(ISERROR(SEARCH("BAJA",S776)))</formula>
    </cfRule>
    <cfRule type="containsText" dxfId="466" priority="856" operator="containsText" text="VISITA EN FALSO">
      <formula>NOT(ISERROR(SEARCH("VISITA EN FALSO",S776)))</formula>
    </cfRule>
  </conditionalFormatting>
  <conditionalFormatting sqref="S782">
    <cfRule type="containsText" dxfId="465" priority="847" operator="containsText" text="DES-INSTALACION">
      <formula>NOT(ISERROR(SEARCH("DES-INSTALACION",S782)))</formula>
    </cfRule>
    <cfRule type="containsText" dxfId="464" priority="848" operator="containsText" text="VISITA EN FALSO">
      <formula>NOT(ISERROR(SEARCH("VISITA EN FALSO",S782)))</formula>
    </cfRule>
    <cfRule type="containsText" dxfId="463" priority="849" operator="containsText" text="BAJA">
      <formula>NOT(ISERROR(SEARCH("BAJA",S782)))</formula>
    </cfRule>
    <cfRule type="containsText" dxfId="462" priority="846" operator="containsText" text="DES-INSTALACION">
      <formula>NOT(ISERROR(SEARCH("DES-INSTALACION",S782)))</formula>
    </cfRule>
  </conditionalFormatting>
  <conditionalFormatting sqref="S784">
    <cfRule type="containsText" dxfId="461" priority="251" operator="containsText" text="DES-INSTALACION">
      <formula>NOT(ISERROR(SEARCH("DES-INSTALACION",S784)))</formula>
    </cfRule>
    <cfRule type="containsText" dxfId="460" priority="255" operator="containsText" text="BAJA">
      <formula>NOT(ISERROR(SEARCH("BAJA",S784)))</formula>
    </cfRule>
    <cfRule type="containsText" dxfId="459" priority="250" operator="containsText" text="RE-INSTALADO">
      <formula>NOT(ISERROR(SEARCH("RE-INSTALADO",S784)))</formula>
    </cfRule>
    <cfRule type="containsText" dxfId="458" priority="252" operator="containsText" text="VISITA EN FALSO">
      <formula>NOT(ISERROR(SEARCH("VISITA EN FALSO",S784)))</formula>
    </cfRule>
  </conditionalFormatting>
  <conditionalFormatting sqref="S784:S785">
    <cfRule type="containsText" dxfId="457" priority="254" operator="containsText" text="DES-INSTALACION">
      <formula>NOT(ISERROR(SEARCH("DES-INSTALACION",S784)))</formula>
    </cfRule>
  </conditionalFormatting>
  <conditionalFormatting sqref="S786">
    <cfRule type="containsText" dxfId="456" priority="244" operator="containsText" text="RE-INSTALADO">
      <formula>NOT(ISERROR(SEARCH("RE-INSTALADO",S786)))</formula>
    </cfRule>
    <cfRule type="containsText" dxfId="455" priority="245" operator="containsText" text="DES-INSTALACION">
      <formula>NOT(ISERROR(SEARCH("DES-INSTALACION",S786)))</formula>
    </cfRule>
    <cfRule type="containsText" dxfId="454" priority="246" operator="containsText" text="VISITA EN FALSO">
      <formula>NOT(ISERROR(SEARCH("VISITA EN FALSO",S786)))</formula>
    </cfRule>
    <cfRule type="containsText" dxfId="453" priority="248" operator="containsText" text="DES-INSTALACION">
      <formula>NOT(ISERROR(SEARCH("DES-INSTALACION",S786)))</formula>
    </cfRule>
    <cfRule type="containsText" dxfId="452" priority="249" operator="containsText" text="BAJA">
      <formula>NOT(ISERROR(SEARCH("BAJA",S786)))</formula>
    </cfRule>
  </conditionalFormatting>
  <conditionalFormatting sqref="S787:S789">
    <cfRule type="containsText" dxfId="451" priority="525" operator="containsText" text="DES-INSTALACION">
      <formula>NOT(ISERROR(SEARCH("DES-INSTALACION",S787)))</formula>
    </cfRule>
  </conditionalFormatting>
  <conditionalFormatting sqref="S788:S789">
    <cfRule type="containsText" dxfId="450" priority="523" operator="containsText" text="BAJA">
      <formula>NOT(ISERROR(SEARCH("BAJA",S788)))</formula>
    </cfRule>
    <cfRule type="containsText" dxfId="449" priority="521" operator="containsText" text="DES-INSTALACION">
      <formula>NOT(ISERROR(SEARCH("DES-INSTALACION",S788)))</formula>
    </cfRule>
    <cfRule type="containsText" dxfId="448" priority="520" operator="containsText" text="RE-INSTALADO">
      <formula>NOT(ISERROR(SEARCH("RE-INSTALADO",S788)))</formula>
    </cfRule>
    <cfRule type="containsText" dxfId="447" priority="522" operator="containsText" text="VISITA EN FALSO">
      <formula>NOT(ISERROR(SEARCH("VISITA EN FALSO",S788)))</formula>
    </cfRule>
  </conditionalFormatting>
  <conditionalFormatting sqref="S791">
    <cfRule type="containsText" dxfId="446" priority="839" operator="containsText" text="DES-INSTALACION">
      <formula>NOT(ISERROR(SEARCH("DES-INSTALACION",S791)))</formula>
    </cfRule>
    <cfRule type="containsText" dxfId="445" priority="840" operator="containsText" text="VISITA EN FALSO">
      <formula>NOT(ISERROR(SEARCH("VISITA EN FALSO",S791)))</formula>
    </cfRule>
    <cfRule type="containsText" dxfId="444" priority="841" operator="containsText" text="BAJA">
      <formula>NOT(ISERROR(SEARCH("BAJA",S791)))</formula>
    </cfRule>
  </conditionalFormatting>
  <conditionalFormatting sqref="S791:S792">
    <cfRule type="containsText" dxfId="443" priority="242" operator="containsText" text="DES-INSTALACION">
      <formula>NOT(ISERROR(SEARCH("DES-INSTALACION",S791)))</formula>
    </cfRule>
  </conditionalFormatting>
  <conditionalFormatting sqref="S792">
    <cfRule type="containsText" dxfId="442" priority="239" operator="containsText" text="DES-INSTALACION">
      <formula>NOT(ISERROR(SEARCH("DES-INSTALACION",S792)))</formula>
    </cfRule>
    <cfRule type="containsText" dxfId="441" priority="238" operator="containsText" text="RE-INSTALADO">
      <formula>NOT(ISERROR(SEARCH("RE-INSTALADO",S792)))</formula>
    </cfRule>
    <cfRule type="containsText" dxfId="440" priority="243" operator="containsText" text="BAJA">
      <formula>NOT(ISERROR(SEARCH("BAJA",S792)))</formula>
    </cfRule>
    <cfRule type="containsText" dxfId="439" priority="240" operator="containsText" text="VISITA EN FALSO">
      <formula>NOT(ISERROR(SEARCH("VISITA EN FALSO",S792)))</formula>
    </cfRule>
  </conditionalFormatting>
  <conditionalFormatting sqref="S799">
    <cfRule type="containsText" dxfId="438" priority="833" operator="containsText" text="BAJA">
      <formula>NOT(ISERROR(SEARCH("BAJA",S799)))</formula>
    </cfRule>
    <cfRule type="containsText" dxfId="437" priority="832" operator="containsText" text="VISITA EN FALSO">
      <formula>NOT(ISERROR(SEARCH("VISITA EN FALSO",S799)))</formula>
    </cfRule>
    <cfRule type="containsText" dxfId="436" priority="831" operator="containsText" text="DES-INSTALACION">
      <formula>NOT(ISERROR(SEARCH("DES-INSTALACION",S799)))</formula>
    </cfRule>
    <cfRule type="containsText" dxfId="435" priority="830" operator="containsText" text="DES-INSTALACION">
      <formula>NOT(ISERROR(SEARCH("DES-INSTALACION",S799)))</formula>
    </cfRule>
  </conditionalFormatting>
  <conditionalFormatting sqref="S801:S802">
    <cfRule type="containsText" dxfId="434" priority="817" operator="containsText" text="BAJA">
      <formula>NOT(ISERROR(SEARCH("BAJA",S801)))</formula>
    </cfRule>
    <cfRule type="containsText" dxfId="433" priority="816" operator="containsText" text="VISITA EN FALSO">
      <formula>NOT(ISERROR(SEARCH("VISITA EN FALSO",S801)))</formula>
    </cfRule>
    <cfRule type="containsText" dxfId="432" priority="815" operator="containsText" text="DES-INSTALACION">
      <formula>NOT(ISERROR(SEARCH("DES-INSTALACION",S801)))</formula>
    </cfRule>
    <cfRule type="containsText" dxfId="431" priority="814" operator="containsText" text="DES-INSTALACION">
      <formula>NOT(ISERROR(SEARCH("DES-INSTALACION",S801)))</formula>
    </cfRule>
  </conditionalFormatting>
  <conditionalFormatting sqref="S806">
    <cfRule type="containsText" dxfId="430" priority="1032" operator="containsText" text="BAJA">
      <formula>NOT(ISERROR(SEARCH("BAJA",S806)))</formula>
    </cfRule>
    <cfRule type="containsText" dxfId="429" priority="1031" operator="containsText" text="VISITA EN FALSO">
      <formula>NOT(ISERROR(SEARCH("VISITA EN FALSO",S806)))</formula>
    </cfRule>
    <cfRule type="containsText" dxfId="428" priority="1030" operator="containsText" text="DES-INSTALACION">
      <formula>NOT(ISERROR(SEARCH("DES-INSTALACION",S806)))</formula>
    </cfRule>
  </conditionalFormatting>
  <conditionalFormatting sqref="S806:S808">
    <cfRule type="containsText" dxfId="427" priority="226" operator="containsText" text="RE-INSTALADO">
      <formula>NOT(ISERROR(SEARCH("RE-INSTALADO",S806)))</formula>
    </cfRule>
  </conditionalFormatting>
  <conditionalFormatting sqref="S807:S808">
    <cfRule type="containsText" dxfId="426" priority="231" operator="containsText" text="BAJA">
      <formula>NOT(ISERROR(SEARCH("BAJA",S807)))</formula>
    </cfRule>
    <cfRule type="containsText" dxfId="425" priority="228" operator="containsText" text="VISITA EN FALSO">
      <formula>NOT(ISERROR(SEARCH("VISITA EN FALSO",S807)))</formula>
    </cfRule>
    <cfRule type="containsText" dxfId="424" priority="227" operator="containsText" text="DES-INSTALACION">
      <formula>NOT(ISERROR(SEARCH("DES-INSTALACION",S807)))</formula>
    </cfRule>
  </conditionalFormatting>
  <conditionalFormatting sqref="S807:S810">
    <cfRule type="containsText" dxfId="423" priority="230" operator="containsText" text="DES-INSTALACION">
      <formula>NOT(ISERROR(SEARCH("DES-INSTALACION",S807)))</formula>
    </cfRule>
  </conditionalFormatting>
  <conditionalFormatting sqref="S809:S810 S812:S814">
    <cfRule type="containsText" dxfId="422" priority="2655" operator="containsText" text="BAJA">
      <formula>NOT(ISERROR(SEARCH("BAJA",S809)))</formula>
    </cfRule>
    <cfRule type="containsText" dxfId="421" priority="2653" operator="containsText" text="DES-INSTALACION">
      <formula>NOT(ISERROR(SEARCH("DES-INSTALACION",S809)))</formula>
    </cfRule>
    <cfRule type="containsText" dxfId="420" priority="2654" operator="containsText" text="VISITA EN FALSO">
      <formula>NOT(ISERROR(SEARCH("VISITA EN FALSO",S809)))</formula>
    </cfRule>
  </conditionalFormatting>
  <conditionalFormatting sqref="S811">
    <cfRule type="containsText" dxfId="419" priority="222" operator="containsText" text="VISITA EN FALSO">
      <formula>NOT(ISERROR(SEARCH("VISITA EN FALSO",S811)))</formula>
    </cfRule>
    <cfRule type="containsText" dxfId="418" priority="221" operator="containsText" text="DES-INSTALACION">
      <formula>NOT(ISERROR(SEARCH("DES-INSTALACION",S811)))</formula>
    </cfRule>
    <cfRule type="containsText" dxfId="417" priority="225" operator="containsText" text="BAJA">
      <formula>NOT(ISERROR(SEARCH("BAJA",S811)))</formula>
    </cfRule>
    <cfRule type="containsText" dxfId="416" priority="220" operator="containsText" text="RE-INSTALADO">
      <formula>NOT(ISERROR(SEARCH("RE-INSTALADO",S811)))</formula>
    </cfRule>
  </conditionalFormatting>
  <conditionalFormatting sqref="S811:S813">
    <cfRule type="containsText" dxfId="415" priority="224" operator="containsText" text="DES-INSTALACION">
      <formula>NOT(ISERROR(SEARCH("DES-INSTALACION",S811)))</formula>
    </cfRule>
  </conditionalFormatting>
  <conditionalFormatting sqref="S812:S813">
    <cfRule type="containsText" dxfId="414" priority="800" operator="containsText" text="VISITA EN FALSO">
      <formula>NOT(ISERROR(SEARCH("VISITA EN FALSO",S812)))</formula>
    </cfRule>
    <cfRule type="containsText" dxfId="413" priority="799" operator="containsText" text="DES-INSTALACION">
      <formula>NOT(ISERROR(SEARCH("DES-INSTALACION",S812)))</formula>
    </cfRule>
    <cfRule type="containsText" dxfId="412" priority="801" operator="containsText" text="BAJA">
      <formula>NOT(ISERROR(SEARCH("BAJA",S812)))</formula>
    </cfRule>
  </conditionalFormatting>
  <conditionalFormatting sqref="S815">
    <cfRule type="containsText" dxfId="411" priority="519" operator="containsText" text="DES-INSTALACION">
      <formula>NOT(ISERROR(SEARCH("DES-INSTALACION",S815)))</formula>
    </cfRule>
  </conditionalFormatting>
  <conditionalFormatting sqref="S815:S817">
    <cfRule type="containsText" dxfId="410" priority="210" operator="containsText" text="VISITA EN FALSO">
      <formula>NOT(ISERROR(SEARCH("VISITA EN FALSO",S815)))</formula>
    </cfRule>
    <cfRule type="containsText" dxfId="409" priority="209" operator="containsText" text="DES-INSTALACION">
      <formula>NOT(ISERROR(SEARCH("DES-INSTALACION",S815)))</formula>
    </cfRule>
    <cfRule type="containsText" dxfId="408" priority="208" operator="containsText" text="RE-INSTALADO">
      <formula>NOT(ISERROR(SEARCH("RE-INSTALADO",S815)))</formula>
    </cfRule>
    <cfRule type="containsText" dxfId="407" priority="213" operator="containsText" text="BAJA">
      <formula>NOT(ISERROR(SEARCH("BAJA",S815)))</formula>
    </cfRule>
  </conditionalFormatting>
  <conditionalFormatting sqref="S816:S817">
    <cfRule type="containsText" dxfId="406" priority="212" operator="containsText" text="DES-INSTALACION">
      <formula>NOT(ISERROR(SEARCH("DES-INSTALACION",S816)))</formula>
    </cfRule>
  </conditionalFormatting>
  <conditionalFormatting sqref="S818 S820 S822:S828">
    <cfRule type="containsText" dxfId="405" priority="3272" operator="containsText" text="BAJA">
      <formula>NOT(ISERROR(SEARCH("BAJA",S818)))</formula>
    </cfRule>
    <cfRule type="containsText" dxfId="404" priority="3271" operator="containsText" text="VISITA EN FALSO">
      <formula>NOT(ISERROR(SEARCH("VISITA EN FALSO",S818)))</formula>
    </cfRule>
  </conditionalFormatting>
  <conditionalFormatting sqref="S818 S822:S828 S820">
    <cfRule type="containsText" dxfId="403" priority="3270" operator="containsText" text="DES-INSTALACION">
      <formula>NOT(ISERROR(SEARCH("DES-INSTALACION",S818)))</formula>
    </cfRule>
  </conditionalFormatting>
  <conditionalFormatting sqref="S818 S822:S828">
    <cfRule type="containsText" dxfId="402" priority="3269" operator="containsText" text="DES-INSTALACION">
      <formula>NOT(ISERROR(SEARCH("DES-INSTALACION",S818)))</formula>
    </cfRule>
  </conditionalFormatting>
  <conditionalFormatting sqref="S818">
    <cfRule type="containsText" dxfId="401" priority="2914" operator="containsText" text="BAJA">
      <formula>NOT(ISERROR(SEARCH("BAJA",S818)))</formula>
    </cfRule>
    <cfRule type="containsText" dxfId="400" priority="2913" operator="containsText" text="VISITA EN FALSO">
      <formula>NOT(ISERROR(SEARCH("VISITA EN FALSO",S818)))</formula>
    </cfRule>
  </conditionalFormatting>
  <conditionalFormatting sqref="S819">
    <cfRule type="containsText" dxfId="399" priority="203" operator="containsText" text="DES-INSTALACION">
      <formula>NOT(ISERROR(SEARCH("DES-INSTALACION",S819)))</formula>
    </cfRule>
    <cfRule type="containsText" dxfId="398" priority="204" operator="containsText" text="VISITA EN FALSO">
      <formula>NOT(ISERROR(SEARCH("VISITA EN FALSO",S819)))</formula>
    </cfRule>
    <cfRule type="containsText" dxfId="397" priority="207" operator="containsText" text="BAJA">
      <formula>NOT(ISERROR(SEARCH("BAJA",S819)))</formula>
    </cfRule>
    <cfRule type="containsText" dxfId="396" priority="202" operator="containsText" text="RE-INSTALADO">
      <formula>NOT(ISERROR(SEARCH("RE-INSTALADO",S819)))</formula>
    </cfRule>
  </conditionalFormatting>
  <conditionalFormatting sqref="S819:S820">
    <cfRule type="containsText" dxfId="395" priority="206" operator="containsText" text="DES-INSTALACION">
      <formula>NOT(ISERROR(SEARCH("DES-INSTALACION",S819)))</formula>
    </cfRule>
  </conditionalFormatting>
  <conditionalFormatting sqref="S821">
    <cfRule type="containsText" dxfId="394" priority="201" operator="containsText" text="BAJA">
      <formula>NOT(ISERROR(SEARCH("BAJA",S821)))</formula>
    </cfRule>
    <cfRule type="containsText" dxfId="393" priority="200" operator="containsText" text="DES-INSTALACION">
      <formula>NOT(ISERROR(SEARCH("DES-INSTALACION",S821)))</formula>
    </cfRule>
    <cfRule type="containsText" dxfId="392" priority="196" operator="containsText" text="RE-INSTALADO">
      <formula>NOT(ISERROR(SEARCH("RE-INSTALADO",S821)))</formula>
    </cfRule>
    <cfRule type="containsText" dxfId="391" priority="198" operator="containsText" text="VISITA EN FALSO">
      <formula>NOT(ISERROR(SEARCH("VISITA EN FALSO",S821)))</formula>
    </cfRule>
    <cfRule type="containsText" dxfId="390" priority="197" operator="containsText" text="DES-INSTALACION">
      <formula>NOT(ISERROR(SEARCH("DES-INSTALACION",S821)))</formula>
    </cfRule>
  </conditionalFormatting>
  <conditionalFormatting sqref="S826">
    <cfRule type="containsText" dxfId="389" priority="790" operator="containsText" text="DES-INSTALACION">
      <formula>NOT(ISERROR(SEARCH("DES-INSTALACION",S826)))</formula>
    </cfRule>
    <cfRule type="containsText" dxfId="388" priority="792" operator="containsText" text="VISITA EN FALSO">
      <formula>NOT(ISERROR(SEARCH("VISITA EN FALSO",S826)))</formula>
    </cfRule>
    <cfRule type="containsText" dxfId="387" priority="793" operator="containsText" text="BAJA">
      <formula>NOT(ISERROR(SEARCH("BAJA",S826)))</formula>
    </cfRule>
    <cfRule type="containsText" dxfId="386" priority="791" operator="containsText" text="DES-INSTALACION">
      <formula>NOT(ISERROR(SEARCH("DES-INSTALACION",S826)))</formula>
    </cfRule>
  </conditionalFormatting>
  <conditionalFormatting sqref="S829">
    <cfRule type="containsText" dxfId="385" priority="574" operator="containsText" text="VISITA EN FALSO">
      <formula>NOT(ISERROR(SEARCH("VISITA EN FALSO",S829)))</formula>
    </cfRule>
    <cfRule type="containsText" dxfId="384" priority="573" operator="containsText" text="DES-INSTALACION">
      <formula>NOT(ISERROR(SEARCH("DES-INSTALACION",S829)))</formula>
    </cfRule>
    <cfRule type="containsText" dxfId="383" priority="572" operator="containsText" text="RE-INSTALADO">
      <formula>NOT(ISERROR(SEARCH("RE-INSTALADO",S829)))</formula>
    </cfRule>
    <cfRule type="containsText" dxfId="382" priority="575" operator="containsText" text="BAJA">
      <formula>NOT(ISERROR(SEARCH("BAJA",S829)))</formula>
    </cfRule>
  </conditionalFormatting>
  <conditionalFormatting sqref="S829:S830">
    <cfRule type="containsText" dxfId="381" priority="577" operator="containsText" text="DES-INSTALACION">
      <formula>NOT(ISERROR(SEARCH("DES-INSTALACION",S829)))</formula>
    </cfRule>
  </conditionalFormatting>
  <conditionalFormatting sqref="S830">
    <cfRule type="containsText" dxfId="380" priority="783" operator="containsText" text="DES-INSTALACION">
      <formula>NOT(ISERROR(SEARCH("DES-INSTALACION",S830)))</formula>
    </cfRule>
    <cfRule type="containsText" dxfId="379" priority="784" operator="containsText" text="VISITA EN FALSO">
      <formula>NOT(ISERROR(SEARCH("VISITA EN FALSO",S830)))</formula>
    </cfRule>
    <cfRule type="containsText" dxfId="378" priority="785" operator="containsText" text="BAJA">
      <formula>NOT(ISERROR(SEARCH("BAJA",S830)))</formula>
    </cfRule>
  </conditionalFormatting>
  <conditionalFormatting sqref="S830:S832 S835 S837:S838 S840 S842:S886">
    <cfRule type="containsText" dxfId="377" priority="5919" operator="containsText" text="BAJA">
      <formula>NOT(ISERROR(SEARCH("BAJA",S830)))</formula>
    </cfRule>
    <cfRule type="containsText" dxfId="376" priority="5918" operator="containsText" text="VISITA EN FALSO">
      <formula>NOT(ISERROR(SEARCH("VISITA EN FALSO",S830)))</formula>
    </cfRule>
  </conditionalFormatting>
  <conditionalFormatting sqref="S830:S832">
    <cfRule type="containsText" dxfId="375" priority="2682" operator="containsText" text="DES-INSTALACION">
      <formula>NOT(ISERROR(SEARCH("DES-INSTALACION",S830)))</formula>
    </cfRule>
  </conditionalFormatting>
  <conditionalFormatting sqref="S833:S834">
    <cfRule type="containsText" dxfId="374" priority="189" operator="containsText" text="BAJA">
      <formula>NOT(ISERROR(SEARCH("BAJA",S833)))</formula>
    </cfRule>
    <cfRule type="containsText" dxfId="373" priority="184" operator="containsText" text="RE-INSTALADO">
      <formula>NOT(ISERROR(SEARCH("RE-INSTALADO",S833)))</formula>
    </cfRule>
    <cfRule type="containsText" dxfId="372" priority="185" operator="containsText" text="DES-INSTALACION">
      <formula>NOT(ISERROR(SEARCH("DES-INSTALACION",S833)))</formula>
    </cfRule>
    <cfRule type="containsText" dxfId="371" priority="186" operator="containsText" text="VISITA EN FALSO">
      <formula>NOT(ISERROR(SEARCH("VISITA EN FALSO",S833)))</formula>
    </cfRule>
  </conditionalFormatting>
  <conditionalFormatting sqref="S833:S835">
    <cfRule type="containsText" dxfId="370" priority="188" operator="containsText" text="DES-INSTALACION">
      <formula>NOT(ISERROR(SEARCH("DES-INSTALACION",S833)))</formula>
    </cfRule>
  </conditionalFormatting>
  <conditionalFormatting sqref="S836">
    <cfRule type="containsText" dxfId="369" priority="180" operator="containsText" text="VISITA EN FALSO">
      <formula>NOT(ISERROR(SEARCH("VISITA EN FALSO",S836)))</formula>
    </cfRule>
    <cfRule type="containsText" dxfId="368" priority="179" operator="containsText" text="DES-INSTALACION">
      <formula>NOT(ISERROR(SEARCH("DES-INSTALACION",S836)))</formula>
    </cfRule>
    <cfRule type="containsText" dxfId="367" priority="178" operator="containsText" text="RE-INSTALADO">
      <formula>NOT(ISERROR(SEARCH("RE-INSTALADO",S836)))</formula>
    </cfRule>
    <cfRule type="containsText" dxfId="366" priority="183" operator="containsText" text="BAJA">
      <formula>NOT(ISERROR(SEARCH("BAJA",S836)))</formula>
    </cfRule>
  </conditionalFormatting>
  <conditionalFormatting sqref="S836:S838">
    <cfRule type="containsText" dxfId="365" priority="182" operator="containsText" text="DES-INSTALACION">
      <formula>NOT(ISERROR(SEARCH("DES-INSTALACION",S836)))</formula>
    </cfRule>
  </conditionalFormatting>
  <conditionalFormatting sqref="S839">
    <cfRule type="containsText" dxfId="364" priority="12" operator="containsText" text="BAJA">
      <formula>NOT(ISERROR(SEARCH("BAJA",S839)))</formula>
    </cfRule>
    <cfRule type="containsText" dxfId="363" priority="7" operator="containsText" text="RE-INSTALADO">
      <formula>NOT(ISERROR(SEARCH("RE-INSTALADO",S839)))</formula>
    </cfRule>
    <cfRule type="containsText" dxfId="362" priority="8" operator="containsText" text="DES-INSTALACION">
      <formula>NOT(ISERROR(SEARCH("DES-INSTALACION",S839)))</formula>
    </cfRule>
    <cfRule type="containsText" dxfId="361" priority="9" operator="containsText" text="VISITA EN FALSO">
      <formula>NOT(ISERROR(SEARCH("VISITA EN FALSO",S839)))</formula>
    </cfRule>
    <cfRule type="containsText" dxfId="360" priority="11" operator="containsText" text="DES-INSTALACION">
      <formula>NOT(ISERROR(SEARCH("DES-INSTALACION",S839)))</formula>
    </cfRule>
  </conditionalFormatting>
  <conditionalFormatting sqref="S840:S887">
    <cfRule type="containsText" dxfId="359" priority="176" operator="containsText" text="DES-INSTALACION">
      <formula>NOT(ISERROR(SEARCH("DES-INSTALACION",S840)))</formula>
    </cfRule>
  </conditionalFormatting>
  <conditionalFormatting sqref="S841">
    <cfRule type="containsText" dxfId="358" priority="173" operator="containsText" text="DES-INSTALACION">
      <formula>NOT(ISERROR(SEARCH("DES-INSTALACION",S841)))</formula>
    </cfRule>
    <cfRule type="containsText" dxfId="357" priority="172" operator="containsText" text="RE-INSTALADO">
      <formula>NOT(ISERROR(SEARCH("RE-INSTALADO",S841)))</formula>
    </cfRule>
    <cfRule type="containsText" dxfId="356" priority="177" operator="containsText" text="BAJA">
      <formula>NOT(ISERROR(SEARCH("BAJA",S841)))</formula>
    </cfRule>
    <cfRule type="containsText" dxfId="355" priority="174" operator="containsText" text="VISITA EN FALSO">
      <formula>NOT(ISERROR(SEARCH("VISITA EN FALSO",S841)))</formula>
    </cfRule>
  </conditionalFormatting>
  <conditionalFormatting sqref="S852 S965">
    <cfRule type="containsText" dxfId="354" priority="4205" operator="containsText" text="BAJA">
      <formula>NOT(ISERROR(SEARCH("BAJA",S852)))</formula>
    </cfRule>
    <cfRule type="containsText" dxfId="353" priority="4204" operator="containsText" text="VISITA EN FALSO">
      <formula>NOT(ISERROR(SEARCH("VISITA EN FALSO",S852)))</formula>
    </cfRule>
    <cfRule type="containsText" dxfId="352" priority="4203" operator="containsText" text="BAJA">
      <formula>NOT(ISERROR(SEARCH("BAJA",S852)))</formula>
    </cfRule>
  </conditionalFormatting>
  <conditionalFormatting sqref="S887">
    <cfRule type="containsText" dxfId="351" priority="2683" operator="containsText" text="DES-INSTALACION">
      <formula>NOT(ISERROR(SEARCH("DES-INSTALACION",S887)))</formula>
    </cfRule>
  </conditionalFormatting>
  <conditionalFormatting sqref="S887:S888">
    <cfRule type="containsText" dxfId="350" priority="2685" operator="containsText" text="BAJA">
      <formula>NOT(ISERROR(SEARCH("BAJA",S887)))</formula>
    </cfRule>
    <cfRule type="containsText" dxfId="349" priority="2684" operator="containsText" text="VISITA EN FALSO">
      <formula>NOT(ISERROR(SEARCH("VISITA EN FALSO",S887)))</formula>
    </cfRule>
  </conditionalFormatting>
  <conditionalFormatting sqref="S888:S889">
    <cfRule type="containsText" dxfId="348" priority="7057" operator="containsText" text="VISITA EN FALSO">
      <formula>NOT(ISERROR(SEARCH("VISITA EN FALSO",S888)))</formula>
    </cfRule>
    <cfRule type="containsText" dxfId="347" priority="7058" operator="containsText" text="BAJA">
      <formula>NOT(ISERROR(SEARCH("BAJA",S888)))</formula>
    </cfRule>
  </conditionalFormatting>
  <conditionalFormatting sqref="S890:S893 S895:S913 S915:S919 S921:S924 S930:S931 S934:S936 S938:S939 S941:S944">
    <cfRule type="containsText" dxfId="346" priority="2673" operator="containsText" text="BAJA">
      <formula>NOT(ISERROR(SEARCH("BAJA",S890)))</formula>
    </cfRule>
    <cfRule type="containsText" dxfId="345" priority="2671" operator="containsText" text="DES-INSTALACION">
      <formula>NOT(ISERROR(SEARCH("DES-INSTALACION",S890)))</formula>
    </cfRule>
    <cfRule type="containsText" dxfId="344" priority="2672" operator="containsText" text="VISITA EN FALSO">
      <formula>NOT(ISERROR(SEARCH("VISITA EN FALSO",S890)))</formula>
    </cfRule>
  </conditionalFormatting>
  <conditionalFormatting sqref="S890:S893 S895:S913 S915:S919">
    <cfRule type="containsText" dxfId="343" priority="1019" operator="containsText" text="DES-INSTALACION">
      <formula>NOT(ISERROR(SEARCH("DES-INSTALACION",S890)))</formula>
    </cfRule>
  </conditionalFormatting>
  <conditionalFormatting sqref="S891">
    <cfRule type="containsText" dxfId="342" priority="777" operator="containsText" text="BAJA">
      <formula>NOT(ISERROR(SEARCH("BAJA",S891)))</formula>
    </cfRule>
    <cfRule type="containsText" dxfId="341" priority="776" operator="containsText" text="VISITA EN FALSO">
      <formula>NOT(ISERROR(SEARCH("VISITA EN FALSO",S891)))</formula>
    </cfRule>
    <cfRule type="containsText" dxfId="340" priority="775" operator="containsText" text="DES-INSTALACION">
      <formula>NOT(ISERROR(SEARCH("DES-INSTALACION",S891)))</formula>
    </cfRule>
    <cfRule type="containsText" dxfId="339" priority="774" operator="containsText" text="DES-INSTALACION">
      <formula>NOT(ISERROR(SEARCH("DES-INSTALACION",S891)))</formula>
    </cfRule>
  </conditionalFormatting>
  <conditionalFormatting sqref="S894 S925">
    <cfRule type="containsText" dxfId="338" priority="171" operator="containsText" text="BAJA">
      <formula>NOT(ISERROR(SEARCH("BAJA",S894)))</formula>
    </cfRule>
  </conditionalFormatting>
  <conditionalFormatting sqref="S894">
    <cfRule type="containsText" dxfId="337" priority="167" operator="containsText" text="DES-INSTALACION">
      <formula>NOT(ISERROR(SEARCH("DES-INSTALACION",S894)))</formula>
    </cfRule>
    <cfRule type="containsText" dxfId="336" priority="166" operator="containsText" text="RE-INSTALADO">
      <formula>NOT(ISERROR(SEARCH("RE-INSTALADO",S894)))</formula>
    </cfRule>
    <cfRule type="containsText" dxfId="335" priority="170" operator="containsText" text="DES-INSTALACION">
      <formula>NOT(ISERROR(SEARCH("DES-INSTALACION",S894)))</formula>
    </cfRule>
    <cfRule type="containsText" dxfId="334" priority="168" operator="containsText" text="VISITA EN FALSO">
      <formula>NOT(ISERROR(SEARCH("VISITA EN FALSO",S894)))</formula>
    </cfRule>
  </conditionalFormatting>
  <conditionalFormatting sqref="S899">
    <cfRule type="containsText" dxfId="333" priority="766" operator="containsText" text="DES-INSTALACION">
      <formula>NOT(ISERROR(SEARCH("DES-INSTALACION",S899)))</formula>
    </cfRule>
    <cfRule type="containsText" dxfId="332" priority="767" operator="containsText" text="DES-INSTALACION">
      <formula>NOT(ISERROR(SEARCH("DES-INSTALACION",S899)))</formula>
    </cfRule>
    <cfRule type="containsText" dxfId="331" priority="768" operator="containsText" text="VISITA EN FALSO">
      <formula>NOT(ISERROR(SEARCH("VISITA EN FALSO",S899)))</formula>
    </cfRule>
    <cfRule type="containsText" dxfId="330" priority="769" operator="containsText" text="BAJA">
      <formula>NOT(ISERROR(SEARCH("BAJA",S899)))</formula>
    </cfRule>
  </conditionalFormatting>
  <conditionalFormatting sqref="S906">
    <cfRule type="containsText" dxfId="329" priority="765" operator="containsText" text="BAJA">
      <formula>NOT(ISERROR(SEARCH("BAJA",S906)))</formula>
    </cfRule>
    <cfRule type="containsText" dxfId="328" priority="763" operator="containsText" text="DES-INSTALACION">
      <formula>NOT(ISERROR(SEARCH("DES-INSTALACION",S906)))</formula>
    </cfRule>
    <cfRule type="containsText" dxfId="327" priority="762" operator="containsText" text="DES-INSTALACION">
      <formula>NOT(ISERROR(SEARCH("DES-INSTALACION",S906)))</formula>
    </cfRule>
    <cfRule type="containsText" dxfId="326" priority="764" operator="containsText" text="VISITA EN FALSO">
      <formula>NOT(ISERROR(SEARCH("VISITA EN FALSO",S906)))</formula>
    </cfRule>
  </conditionalFormatting>
  <conditionalFormatting sqref="S913">
    <cfRule type="containsText" dxfId="325" priority="756" operator="containsText" text="VISITA EN FALSO">
      <formula>NOT(ISERROR(SEARCH("VISITA EN FALSO",S913)))</formula>
    </cfRule>
    <cfRule type="containsText" dxfId="324" priority="757" operator="containsText" text="BAJA">
      <formula>NOT(ISERROR(SEARCH("BAJA",S913)))</formula>
    </cfRule>
    <cfRule type="containsText" dxfId="323" priority="755" operator="containsText" text="DES-INSTALACION">
      <formula>NOT(ISERROR(SEARCH("DES-INSTALACION",S913)))</formula>
    </cfRule>
  </conditionalFormatting>
  <conditionalFormatting sqref="S913:S914">
    <cfRule type="containsText" dxfId="322" priority="37" operator="containsText" text="DES-INSTALACION">
      <formula>NOT(ISERROR(SEARCH("DES-INSTALACION",S913)))</formula>
    </cfRule>
  </conditionalFormatting>
  <conditionalFormatting sqref="S914">
    <cfRule type="containsText" dxfId="321" priority="38" operator="containsText" text="BAJA">
      <formula>NOT(ISERROR(SEARCH("BAJA",S914)))</formula>
    </cfRule>
    <cfRule type="containsText" dxfId="320" priority="35" operator="containsText" text="VISITA EN FALSO">
      <formula>NOT(ISERROR(SEARCH("VISITA EN FALSO",S914)))</formula>
    </cfRule>
    <cfRule type="containsText" dxfId="319" priority="33" operator="containsText" text="RE-INSTALADO">
      <formula>NOT(ISERROR(SEARCH("RE-INSTALADO",S914)))</formula>
    </cfRule>
    <cfRule type="containsText" dxfId="318" priority="34" operator="containsText" text="DES-INSTALACION">
      <formula>NOT(ISERROR(SEARCH("DES-INSTALACION",S914)))</formula>
    </cfRule>
  </conditionalFormatting>
  <conditionalFormatting sqref="S918">
    <cfRule type="containsText" dxfId="317" priority="752" operator="containsText" text="VISITA EN FALSO">
      <formula>NOT(ISERROR(SEARCH("VISITA EN FALSO",S918)))</formula>
    </cfRule>
    <cfRule type="containsText" dxfId="316" priority="751" operator="containsText" text="DES-INSTALACION">
      <formula>NOT(ISERROR(SEARCH("DES-INSTALACION",S918)))</formula>
    </cfRule>
    <cfRule type="containsText" dxfId="315" priority="753" operator="containsText" text="BAJA">
      <formula>NOT(ISERROR(SEARCH("BAJA",S918)))</formula>
    </cfRule>
    <cfRule type="containsText" dxfId="314" priority="750" operator="containsText" text="DES-INSTALACION">
      <formula>NOT(ISERROR(SEARCH("DES-INSTALACION",S918)))</formula>
    </cfRule>
  </conditionalFormatting>
  <conditionalFormatting sqref="S920">
    <cfRule type="containsText" dxfId="313" priority="159" operator="containsText" text="RE-INSTALADO">
      <formula>NOT(ISERROR(SEARCH("RE-INSTALADO",S920)))</formula>
    </cfRule>
    <cfRule type="containsText" dxfId="312" priority="161" operator="containsText" text="VISITA EN FALSO">
      <formula>NOT(ISERROR(SEARCH("VISITA EN FALSO",S920)))</formula>
    </cfRule>
    <cfRule type="containsText" dxfId="311" priority="164" operator="containsText" text="BAJA">
      <formula>NOT(ISERROR(SEARCH("BAJA",S920)))</formula>
    </cfRule>
    <cfRule type="containsText" dxfId="310" priority="160" operator="containsText" text="DES-INSTALACION">
      <formula>NOT(ISERROR(SEARCH("DES-INSTALACION",S920)))</formula>
    </cfRule>
  </conditionalFormatting>
  <conditionalFormatting sqref="S920:S925">
    <cfRule type="containsText" dxfId="309" priority="163" operator="containsText" text="DES-INSTALACION">
      <formula>NOT(ISERROR(SEARCH("DES-INSTALACION",S920)))</formula>
    </cfRule>
  </conditionalFormatting>
  <conditionalFormatting sqref="S925:S929">
    <cfRule type="containsText" dxfId="308" priority="136" operator="containsText" text="DES-INSTALACION">
      <formula>NOT(ISERROR(SEARCH("DES-INSTALACION",S925)))</formula>
    </cfRule>
    <cfRule type="containsText" dxfId="307" priority="135" operator="containsText" text="RE-INSTALADO">
      <formula>NOT(ISERROR(SEARCH("RE-INSTALADO",S925)))</formula>
    </cfRule>
    <cfRule type="containsText" dxfId="306" priority="137" operator="containsText" text="VISITA EN FALSO">
      <formula>NOT(ISERROR(SEARCH("VISITA EN FALSO",S925)))</formula>
    </cfRule>
  </conditionalFormatting>
  <conditionalFormatting sqref="S926:S929">
    <cfRule type="containsText" dxfId="305" priority="140" operator="containsText" text="BAJA">
      <formula>NOT(ISERROR(SEARCH("BAJA",S926)))</formula>
    </cfRule>
  </conditionalFormatting>
  <conditionalFormatting sqref="S926:S931">
    <cfRule type="containsText" dxfId="304" priority="139" operator="containsText" text="DES-INSTALACION">
      <formula>NOT(ISERROR(SEARCH("DES-INSTALACION",S926)))</formula>
    </cfRule>
  </conditionalFormatting>
  <conditionalFormatting sqref="S932:S933">
    <cfRule type="containsText" dxfId="303" priority="128" operator="containsText" text="BAJA">
      <formula>NOT(ISERROR(SEARCH("BAJA",S932)))</formula>
    </cfRule>
    <cfRule type="containsText" dxfId="302" priority="125" operator="containsText" text="VISITA EN FALSO">
      <formula>NOT(ISERROR(SEARCH("VISITA EN FALSO",S932)))</formula>
    </cfRule>
    <cfRule type="containsText" dxfId="301" priority="124" operator="containsText" text="DES-INSTALACION">
      <formula>NOT(ISERROR(SEARCH("DES-INSTALACION",S932)))</formula>
    </cfRule>
    <cfRule type="containsText" dxfId="300" priority="123" operator="containsText" text="RE-INSTALADO">
      <formula>NOT(ISERROR(SEARCH("RE-INSTALADO",S932)))</formula>
    </cfRule>
  </conditionalFormatting>
  <conditionalFormatting sqref="S932:S936">
    <cfRule type="containsText" dxfId="299" priority="127" operator="containsText" text="DES-INSTALACION">
      <formula>NOT(ISERROR(SEARCH("DES-INSTALACION",S932)))</formula>
    </cfRule>
  </conditionalFormatting>
  <conditionalFormatting sqref="S937">
    <cfRule type="containsText" dxfId="298" priority="117" operator="containsText" text="RE-INSTALADO">
      <formula>NOT(ISERROR(SEARCH("RE-INSTALADO",S937)))</formula>
    </cfRule>
    <cfRule type="containsText" dxfId="297" priority="118" operator="containsText" text="DES-INSTALACION">
      <formula>NOT(ISERROR(SEARCH("DES-INSTALACION",S937)))</formula>
    </cfRule>
    <cfRule type="containsText" dxfId="296" priority="119" operator="containsText" text="VISITA EN FALSO">
      <formula>NOT(ISERROR(SEARCH("VISITA EN FALSO",S937)))</formula>
    </cfRule>
    <cfRule type="containsText" dxfId="295" priority="122" operator="containsText" text="BAJA">
      <formula>NOT(ISERROR(SEARCH("BAJA",S937)))</formula>
    </cfRule>
  </conditionalFormatting>
  <conditionalFormatting sqref="S937:S939">
    <cfRule type="containsText" dxfId="294" priority="121" operator="containsText" text="DES-INSTALACION">
      <formula>NOT(ISERROR(SEARCH("DES-INSTALACION",S937)))</formula>
    </cfRule>
  </conditionalFormatting>
  <conditionalFormatting sqref="S940">
    <cfRule type="containsText" dxfId="293" priority="111" operator="containsText" text="RE-INSTALADO">
      <formula>NOT(ISERROR(SEARCH("RE-INSTALADO",S940)))</formula>
    </cfRule>
    <cfRule type="containsText" dxfId="292" priority="112" operator="containsText" text="DES-INSTALACION">
      <formula>NOT(ISERROR(SEARCH("DES-INSTALACION",S940)))</formula>
    </cfRule>
    <cfRule type="containsText" dxfId="291" priority="113" operator="containsText" text="VISITA EN FALSO">
      <formula>NOT(ISERROR(SEARCH("VISITA EN FALSO",S940)))</formula>
    </cfRule>
    <cfRule type="containsText" dxfId="290" priority="116" operator="containsText" text="BAJA">
      <formula>NOT(ISERROR(SEARCH("BAJA",S940)))</formula>
    </cfRule>
  </conditionalFormatting>
  <conditionalFormatting sqref="S940:S945">
    <cfRule type="containsText" dxfId="289" priority="115" operator="containsText" text="DES-INSTALACION">
      <formula>NOT(ISERROR(SEARCH("DES-INSTALACION",S940)))</formula>
    </cfRule>
  </conditionalFormatting>
  <conditionalFormatting sqref="S945">
    <cfRule type="containsText" dxfId="288" priority="1021" operator="containsText" text="VISITA EN FALSO">
      <formula>NOT(ISERROR(SEARCH("VISITA EN FALSO",S945)))</formula>
    </cfRule>
    <cfRule type="containsText" dxfId="287" priority="1020" operator="containsText" text="DES-INSTALACION">
      <formula>NOT(ISERROR(SEARCH("DES-INSTALACION",S945)))</formula>
    </cfRule>
    <cfRule type="containsText" dxfId="286" priority="1022" operator="containsText" text="BAJA">
      <formula>NOT(ISERROR(SEARCH("BAJA",S945)))</formula>
    </cfRule>
  </conditionalFormatting>
  <conditionalFormatting sqref="S945:S946">
    <cfRule type="containsText" dxfId="285" priority="106" operator="containsText" text="RE-INSTALADO">
      <formula>NOT(ISERROR(SEARCH("RE-INSTALADO",S945)))</formula>
    </cfRule>
  </conditionalFormatting>
  <conditionalFormatting sqref="S946">
    <cfRule type="containsText" dxfId="284" priority="108" operator="containsText" text="VISITA EN FALSO">
      <formula>NOT(ISERROR(SEARCH("VISITA EN FALSO",S946)))</formula>
    </cfRule>
    <cfRule type="containsText" dxfId="283" priority="107" operator="containsText" text="DES-INSTALACION">
      <formula>NOT(ISERROR(SEARCH("DES-INSTALACION",S946)))</formula>
    </cfRule>
    <cfRule type="containsText" dxfId="282" priority="110" operator="containsText" text="BAJA">
      <formula>NOT(ISERROR(SEARCH("BAJA",S946)))</formula>
    </cfRule>
    <cfRule type="containsText" dxfId="281" priority="109" operator="containsText" text="DES-INSTALACION">
      <formula>NOT(ISERROR(SEARCH("DES-INSTALACION",S946)))</formula>
    </cfRule>
  </conditionalFormatting>
  <conditionalFormatting sqref="S946:S992">
    <cfRule type="containsText" dxfId="280" priority="5160" operator="containsText" text="VISITA EN FALSO">
      <formula>NOT(ISERROR(SEARCH("VISITA EN FALSO",S946)))</formula>
    </cfRule>
    <cfRule type="containsText" dxfId="279" priority="5161" operator="containsText" text="BAJA">
      <formula>NOT(ISERROR(SEARCH("BAJA",S946)))</formula>
    </cfRule>
  </conditionalFormatting>
  <conditionalFormatting sqref="S950">
    <cfRule type="containsText" dxfId="278" priority="3857" operator="containsText" text="BAJA">
      <formula>NOT(ISERROR(SEARCH("BAJA",S950)))</formula>
    </cfRule>
    <cfRule type="containsText" dxfId="277" priority="3856" operator="containsText" text="VISITA EN FALSO">
      <formula>NOT(ISERROR(SEARCH("VISITA EN FALSO",S950)))</formula>
    </cfRule>
  </conditionalFormatting>
  <conditionalFormatting sqref="S965 S852">
    <cfRule type="containsText" dxfId="276" priority="4202" operator="containsText" text="VISITA EN FALSO">
      <formula>NOT(ISERROR(SEARCH("VISITA EN FALSO",S852)))</formula>
    </cfRule>
  </conditionalFormatting>
  <conditionalFormatting sqref="S974:S975">
    <cfRule type="containsText" dxfId="275" priority="4227" operator="containsText" text="VISITA EN FALSO">
      <formula>NOT(ISERROR(SEARCH("VISITA EN FALSO",S974)))</formula>
    </cfRule>
    <cfRule type="containsText" dxfId="274" priority="4228" operator="containsText" text="BAJA">
      <formula>NOT(ISERROR(SEARCH("BAJA",S974)))</formula>
    </cfRule>
  </conditionalFormatting>
  <conditionalFormatting sqref="S993">
    <cfRule type="containsText" dxfId="273" priority="2101" operator="containsText" text="DES-INSTALACION">
      <formula>NOT(ISERROR(SEARCH("DES-INSTALACION",S993)))</formula>
    </cfRule>
    <cfRule type="containsText" dxfId="272" priority="2100" operator="containsText" text="DES-INSTALACION">
      <formula>NOT(ISERROR(SEARCH("DES-INSTALACION",S993)))</formula>
    </cfRule>
    <cfRule type="containsText" dxfId="271" priority="2103" operator="containsText" text="BAJA">
      <formula>NOT(ISERROR(SEARCH("BAJA",S993)))</formula>
    </cfRule>
    <cfRule type="containsText" dxfId="270" priority="2102" operator="containsText" text="VISITA EN FALSO">
      <formula>NOT(ISERROR(SEARCH("VISITA EN FALSO",S993)))</formula>
    </cfRule>
  </conditionalFormatting>
  <conditionalFormatting sqref="S994:S1059">
    <cfRule type="containsText" dxfId="269" priority="3230" operator="containsText" text="DES-INSTALACION">
      <formula>NOT(ISERROR(SEARCH("DES-INSTALACION",S994)))</formula>
    </cfRule>
  </conditionalFormatting>
  <conditionalFormatting sqref="S994:S1060">
    <cfRule type="containsText" dxfId="268" priority="3232" operator="containsText" text="BAJA">
      <formula>NOT(ISERROR(SEARCH("BAJA",S994)))</formula>
    </cfRule>
    <cfRule type="containsText" dxfId="267" priority="3231" operator="containsText" text="VISITA EN FALSO">
      <formula>NOT(ISERROR(SEARCH("VISITA EN FALSO",S994)))</formula>
    </cfRule>
  </conditionalFormatting>
  <conditionalFormatting sqref="S994:S1070">
    <cfRule type="containsText" dxfId="266" priority="3229" operator="containsText" text="DES-INSTALACION">
      <formula>NOT(ISERROR(SEARCH("DES-INSTALACION",S994)))</formula>
    </cfRule>
  </conditionalFormatting>
  <conditionalFormatting sqref="S1035">
    <cfRule type="containsText" dxfId="265" priority="1171" operator="containsText" text="VISITA EN FALSO">
      <formula>NOT(ISERROR(SEARCH("VISITA EN FALSO",S1035)))</formula>
    </cfRule>
    <cfRule type="containsText" dxfId="264" priority="1170" operator="containsText" text="DES-INSTALACION">
      <formula>NOT(ISERROR(SEARCH("DES-INSTALACION",S1035)))</formula>
    </cfRule>
    <cfRule type="containsText" dxfId="263" priority="1172" operator="containsText" text="BAJA">
      <formula>NOT(ISERROR(SEARCH("BAJA",S1035)))</formula>
    </cfRule>
    <cfRule type="containsText" dxfId="262" priority="1169" operator="containsText" text="DES-INSTALACION">
      <formula>NOT(ISERROR(SEARCH("DES-INSTALACION",S1035)))</formula>
    </cfRule>
  </conditionalFormatting>
  <conditionalFormatting sqref="S1048">
    <cfRule type="containsText" dxfId="261" priority="742" operator="containsText" text="DES-INSTALACION">
      <formula>NOT(ISERROR(SEARCH("DES-INSTALACION",S1048)))</formula>
    </cfRule>
    <cfRule type="containsText" dxfId="260" priority="743" operator="containsText" text="DES-INSTALACION">
      <formula>NOT(ISERROR(SEARCH("DES-INSTALACION",S1048)))</formula>
    </cfRule>
    <cfRule type="containsText" dxfId="259" priority="744" operator="containsText" text="VISITA EN FALSO">
      <formula>NOT(ISERROR(SEARCH("VISITA EN FALSO",S1048)))</formula>
    </cfRule>
    <cfRule type="containsText" dxfId="258" priority="745" operator="containsText" text="BAJA">
      <formula>NOT(ISERROR(SEARCH("BAJA",S1048)))</formula>
    </cfRule>
  </conditionalFormatting>
  <conditionalFormatting sqref="S1050">
    <cfRule type="containsText" dxfId="257" priority="505" operator="containsText" text="DES-INSTALACION">
      <formula>NOT(ISERROR(SEARCH("DES-INSTALACION",S1050)))</formula>
    </cfRule>
  </conditionalFormatting>
  <conditionalFormatting sqref="S1050:S1051">
    <cfRule type="containsText" dxfId="256" priority="105" operator="containsText" text="BAJA">
      <formula>NOT(ISERROR(SEARCH("BAJA",S1050)))</formula>
    </cfRule>
    <cfRule type="containsText" dxfId="255" priority="103" operator="containsText" text="VISITA EN FALSO">
      <formula>NOT(ISERROR(SEARCH("VISITA EN FALSO",S1050)))</formula>
    </cfRule>
    <cfRule type="containsText" dxfId="254" priority="102" operator="containsText" text="DES-INSTALACION">
      <formula>NOT(ISERROR(SEARCH("DES-INSTALACION",S1050)))</formula>
    </cfRule>
    <cfRule type="containsText" dxfId="253" priority="101" operator="containsText" text="RE-INSTALADO">
      <formula>NOT(ISERROR(SEARCH("RE-INSTALADO",S1050)))</formula>
    </cfRule>
  </conditionalFormatting>
  <conditionalFormatting sqref="S1051">
    <cfRule type="containsText" dxfId="252" priority="104" operator="containsText" text="DES-INSTALACION">
      <formula>NOT(ISERROR(SEARCH("DES-INSTALACION",S1051)))</formula>
    </cfRule>
  </conditionalFormatting>
  <conditionalFormatting sqref="S1053">
    <cfRule type="containsText" dxfId="251" priority="100" operator="containsText" text="BAJA">
      <formula>NOT(ISERROR(SEARCH("BAJA",S1053)))</formula>
    </cfRule>
    <cfRule type="containsText" dxfId="250" priority="99" operator="containsText" text="DES-INSTALACION">
      <formula>NOT(ISERROR(SEARCH("DES-INSTALACION",S1053)))</formula>
    </cfRule>
    <cfRule type="containsText" dxfId="249" priority="98" operator="containsText" text="VISITA EN FALSO">
      <formula>NOT(ISERROR(SEARCH("VISITA EN FALSO",S1053)))</formula>
    </cfRule>
    <cfRule type="containsText" dxfId="248" priority="97" operator="containsText" text="DES-INSTALACION">
      <formula>NOT(ISERROR(SEARCH("DES-INSTALACION",S1053)))</formula>
    </cfRule>
    <cfRule type="containsText" dxfId="247" priority="96" operator="containsText" text="RE-INSTALADO">
      <formula>NOT(ISERROR(SEARCH("RE-INSTALADO",S1053)))</formula>
    </cfRule>
  </conditionalFormatting>
  <conditionalFormatting sqref="S1056">
    <cfRule type="containsText" dxfId="246" priority="2908" operator="containsText" text="BAJA">
      <formula>NOT(ISERROR(SEARCH("BAJA",S1056)))</formula>
    </cfRule>
    <cfRule type="containsText" dxfId="245" priority="2907" operator="containsText" text="VISITA EN FALSO">
      <formula>NOT(ISERROR(SEARCH("VISITA EN FALSO",S1056)))</formula>
    </cfRule>
  </conditionalFormatting>
  <conditionalFormatting sqref="S1057">
    <cfRule type="containsText" dxfId="244" priority="91" operator="containsText" text="RE-INSTALADO">
      <formula>NOT(ISERROR(SEARCH("RE-INSTALADO",S1057)))</formula>
    </cfRule>
    <cfRule type="containsText" dxfId="243" priority="92" operator="containsText" text="DES-INSTALACION">
      <formula>NOT(ISERROR(SEARCH("DES-INSTALACION",S1057)))</formula>
    </cfRule>
    <cfRule type="containsText" dxfId="242" priority="93" operator="containsText" text="VISITA EN FALSO">
      <formula>NOT(ISERROR(SEARCH("VISITA EN FALSO",S1057)))</formula>
    </cfRule>
    <cfRule type="containsText" dxfId="241" priority="94" operator="containsText" text="DES-INSTALACION">
      <formula>NOT(ISERROR(SEARCH("DES-INSTALACION",S1057)))</formula>
    </cfRule>
    <cfRule type="containsText" dxfId="240" priority="95" operator="containsText" text="BAJA">
      <formula>NOT(ISERROR(SEARCH("BAJA",S1057)))</formula>
    </cfRule>
  </conditionalFormatting>
  <conditionalFormatting sqref="S1060:S1070">
    <cfRule type="containsText" dxfId="239" priority="3716" operator="containsText" text="BAJA">
      <formula>NOT(ISERROR(SEARCH("BAJA",S1060)))</formula>
    </cfRule>
    <cfRule type="containsText" dxfId="238" priority="3714" operator="containsText" text="DES-INSTALACION">
      <formula>NOT(ISERROR(SEARCH("DES-INSTALACION",S1060)))</formula>
    </cfRule>
    <cfRule type="containsText" dxfId="237" priority="3715" operator="containsText" text="VISITA EN FALSO">
      <formula>NOT(ISERROR(SEARCH("VISITA EN FALSO",S1060)))</formula>
    </cfRule>
  </conditionalFormatting>
  <conditionalFormatting sqref="S1066">
    <cfRule type="containsText" dxfId="236" priority="86" operator="containsText" text="RE-INSTALADO">
      <formula>NOT(ISERROR(SEARCH("RE-INSTALADO",S1066)))</formula>
    </cfRule>
    <cfRule type="containsText" dxfId="235" priority="87" operator="containsText" text="DES-INSTALACION">
      <formula>NOT(ISERROR(SEARCH("DES-INSTALACION",S1066)))</formula>
    </cfRule>
    <cfRule type="containsText" dxfId="234" priority="88" operator="containsText" text="VISITA EN FALSO">
      <formula>NOT(ISERROR(SEARCH("VISITA EN FALSO",S1066)))</formula>
    </cfRule>
    <cfRule type="containsText" dxfId="233" priority="89" operator="containsText" text="DES-INSTALACION">
      <formula>NOT(ISERROR(SEARCH("DES-INSTALACION",S1066)))</formula>
    </cfRule>
    <cfRule type="containsText" dxfId="232" priority="90" operator="containsText" text="BAJA">
      <formula>NOT(ISERROR(SEARCH("BAJA",S1066)))</formula>
    </cfRule>
  </conditionalFormatting>
  <conditionalFormatting sqref="S1068">
    <cfRule type="containsText" dxfId="231" priority="447" operator="containsText" text="DES-INSTALACION">
      <formula>NOT(ISERROR(SEARCH("DES-INSTALACION",S1068)))</formula>
    </cfRule>
    <cfRule type="containsText" dxfId="230" priority="444" operator="containsText" text="DES-INSTALACION">
      <formula>NOT(ISERROR(SEARCH("DES-INSTALACION",S1068)))</formula>
    </cfRule>
    <cfRule type="containsText" dxfId="229" priority="445" operator="containsText" text="VISITA EN FALSO">
      <formula>NOT(ISERROR(SEARCH("VISITA EN FALSO",S1068)))</formula>
    </cfRule>
    <cfRule type="containsText" dxfId="228" priority="446" operator="containsText" text="BAJA">
      <formula>NOT(ISERROR(SEARCH("BAJA",S1068)))</formula>
    </cfRule>
    <cfRule type="containsText" dxfId="227" priority="443" operator="containsText" text="RE-INSTALADO">
      <formula>NOT(ISERROR(SEARCH("RE-INSTALADO",S1068)))</formula>
    </cfRule>
  </conditionalFormatting>
  <conditionalFormatting sqref="S1071">
    <cfRule type="containsText" dxfId="226" priority="2665" operator="containsText" text="DES-INSTALACION">
      <formula>NOT(ISERROR(SEARCH("DES-INSTALACION",S1071)))</formula>
    </cfRule>
    <cfRule type="containsText" dxfId="225" priority="2666" operator="containsText" text="VISITA EN FALSO">
      <formula>NOT(ISERROR(SEARCH("VISITA EN FALSO",S1071)))</formula>
    </cfRule>
    <cfRule type="containsText" dxfId="224" priority="2667" operator="containsText" text="BAJA">
      <formula>NOT(ISERROR(SEARCH("BAJA",S1071)))</formula>
    </cfRule>
  </conditionalFormatting>
  <conditionalFormatting sqref="S1071:S1073">
    <cfRule type="containsText" dxfId="223" priority="487" operator="containsText" text="DES-INSTALACION">
      <formula>NOT(ISERROR(SEARCH("DES-INSTALACION",S1071)))</formula>
    </cfRule>
  </conditionalFormatting>
  <conditionalFormatting sqref="S1072:S1074">
    <cfRule type="containsText" dxfId="222" priority="81" operator="containsText" text="RE-INSTALADO">
      <formula>NOT(ISERROR(SEARCH("RE-INSTALADO",S1072)))</formula>
    </cfRule>
    <cfRule type="containsText" dxfId="221" priority="83" operator="containsText" text="VISITA EN FALSO">
      <formula>NOT(ISERROR(SEARCH("VISITA EN FALSO",S1072)))</formula>
    </cfRule>
    <cfRule type="containsText" dxfId="220" priority="85" operator="containsText" text="BAJA">
      <formula>NOT(ISERROR(SEARCH("BAJA",S1072)))</formula>
    </cfRule>
    <cfRule type="containsText" dxfId="219" priority="82" operator="containsText" text="DES-INSTALACION">
      <formula>NOT(ISERROR(SEARCH("DES-INSTALACION",S1072)))</formula>
    </cfRule>
  </conditionalFormatting>
  <conditionalFormatting sqref="S1072:S1083">
    <cfRule type="containsText" dxfId="218" priority="3767" operator="containsText" text="BAJA">
      <formula>NOT(ISERROR(SEARCH("BAJA",S1072)))</formula>
    </cfRule>
    <cfRule type="containsText" dxfId="217" priority="3762" operator="containsText" text="DES-INSTALACION">
      <formula>NOT(ISERROR(SEARCH("DES-INSTALACION",S1072)))</formula>
    </cfRule>
    <cfRule type="containsText" dxfId="216" priority="3765" operator="containsText" text="DES-INSTALACION">
      <formula>NOT(ISERROR(SEARCH("DES-INSTALACION",S1072)))</formula>
    </cfRule>
    <cfRule type="containsText" dxfId="215" priority="3766" operator="containsText" text="VISITA EN FALSO">
      <formula>NOT(ISERROR(SEARCH("VISITA EN FALSO",S1072)))</formula>
    </cfRule>
  </conditionalFormatting>
  <conditionalFormatting sqref="S1074">
    <cfRule type="containsText" dxfId="214" priority="84" operator="containsText" text="DES-INSTALACION">
      <formula>NOT(ISERROR(SEARCH("DES-INSTALACION",S1074)))</formula>
    </cfRule>
  </conditionalFormatting>
  <conditionalFormatting sqref="S1075:S1076">
    <cfRule type="containsText" dxfId="213" priority="3709" operator="containsText" text="VISITA EN FALSO">
      <formula>NOT(ISERROR(SEARCH("VISITA EN FALSO",S1075)))</formula>
    </cfRule>
    <cfRule type="containsText" dxfId="212" priority="3710" operator="containsText" text="BAJA">
      <formula>NOT(ISERROR(SEARCH("BAJA",S1075)))</formula>
    </cfRule>
  </conditionalFormatting>
  <conditionalFormatting sqref="S1077">
    <cfRule type="containsText" dxfId="211" priority="731" operator="containsText" text="DES-INSTALACION">
      <formula>NOT(ISERROR(SEARCH("DES-INSTALACION",S1077)))</formula>
    </cfRule>
    <cfRule type="containsText" dxfId="210" priority="732" operator="containsText" text="VISITA EN FALSO">
      <formula>NOT(ISERROR(SEARCH("VISITA EN FALSO",S1077)))</formula>
    </cfRule>
    <cfRule type="containsText" dxfId="209" priority="733" operator="containsText" text="BAJA">
      <formula>NOT(ISERROR(SEARCH("BAJA",S1077)))</formula>
    </cfRule>
  </conditionalFormatting>
  <conditionalFormatting sqref="S1077:S1078">
    <cfRule type="containsText" dxfId="208" priority="31" operator="containsText" text="DES-INSTALACION">
      <formula>NOT(ISERROR(SEARCH("DES-INSTALACION",S1077)))</formula>
    </cfRule>
  </conditionalFormatting>
  <conditionalFormatting sqref="S1078">
    <cfRule type="containsText" dxfId="207" priority="29" operator="containsText" text="DES-INSTALACION">
      <formula>NOT(ISERROR(SEARCH("DES-INSTALACION",S1078)))</formula>
    </cfRule>
    <cfRule type="containsText" dxfId="206" priority="30" operator="containsText" text="VISITA EN FALSO">
      <formula>NOT(ISERROR(SEARCH("VISITA EN FALSO",S1078)))</formula>
    </cfRule>
    <cfRule type="containsText" dxfId="205" priority="28" operator="containsText" text="RE-INSTALADO">
      <formula>NOT(ISERROR(SEARCH("RE-INSTALADO",S1078)))</formula>
    </cfRule>
    <cfRule type="containsText" dxfId="204" priority="32" operator="containsText" text="BAJA">
      <formula>NOT(ISERROR(SEARCH("BAJA",S1078)))</formula>
    </cfRule>
  </conditionalFormatting>
  <conditionalFormatting sqref="S1082">
    <cfRule type="containsText" dxfId="203" priority="80" operator="containsText" text="BAJA">
      <formula>NOT(ISERROR(SEARCH("BAJA",S1082)))</formula>
    </cfRule>
    <cfRule type="containsText" dxfId="202" priority="76" operator="containsText" text="RE-INSTALADO">
      <formula>NOT(ISERROR(SEARCH("RE-INSTALADO",S1082)))</formula>
    </cfRule>
    <cfRule type="containsText" dxfId="201" priority="77" operator="containsText" text="DES-INSTALACION">
      <formula>NOT(ISERROR(SEARCH("DES-INSTALACION",S1082)))</formula>
    </cfRule>
    <cfRule type="containsText" dxfId="200" priority="79" operator="containsText" text="DES-INSTALACION">
      <formula>NOT(ISERROR(SEARCH("DES-INSTALACION",S1082)))</formula>
    </cfRule>
    <cfRule type="containsText" dxfId="199" priority="78" operator="containsText" text="VISITA EN FALSO">
      <formula>NOT(ISERROR(SEARCH("VISITA EN FALSO",S1082)))</formula>
    </cfRule>
  </conditionalFormatting>
  <conditionalFormatting sqref="S1084:S1500">
    <cfRule type="containsText" dxfId="198" priority="2447" operator="containsText" text="DES-INSTALACION">
      <formula>NOT(ISERROR(SEARCH("DES-INSTALACION",S1084)))</formula>
    </cfRule>
    <cfRule type="containsText" dxfId="197" priority="2448" operator="containsText" text="VISITA EN FALSO">
      <formula>NOT(ISERROR(SEARCH("VISITA EN FALSO",S1084)))</formula>
    </cfRule>
  </conditionalFormatting>
  <conditionalFormatting sqref="S1084:S1048576">
    <cfRule type="containsText" dxfId="196" priority="2449" operator="containsText" text="BAJA">
      <formula>NOT(ISERROR(SEARCH("BAJA",S1084)))</formula>
    </cfRule>
  </conditionalFormatting>
  <conditionalFormatting sqref="S1086">
    <cfRule type="containsText" dxfId="195" priority="441" operator="containsText" text="VISITA EN FALSO">
      <formula>NOT(ISERROR(SEARCH("VISITA EN FALSO",S1086)))</formula>
    </cfRule>
    <cfRule type="containsText" dxfId="194" priority="440" operator="containsText" text="DES-INSTALACION">
      <formula>NOT(ISERROR(SEARCH("DES-INSTALACION",S1086)))</formula>
    </cfRule>
    <cfRule type="containsText" dxfId="193" priority="439" operator="containsText" text="RE-INSTALADO">
      <formula>NOT(ISERROR(SEARCH("RE-INSTALADO",S1086)))</formula>
    </cfRule>
    <cfRule type="containsText" dxfId="192" priority="442" operator="containsText" text="BAJA">
      <formula>NOT(ISERROR(SEARCH("BAJA",S1086)))</formula>
    </cfRule>
  </conditionalFormatting>
  <conditionalFormatting sqref="S1088">
    <cfRule type="containsText" dxfId="191" priority="6" operator="containsText" text="VISITA EN FALSO">
      <formula>NOT(ISERROR(SEARCH("VISITA EN FALSO",S1088)))</formula>
    </cfRule>
    <cfRule type="containsText" dxfId="190" priority="5" operator="containsText" text="DES-INSTALACION">
      <formula>NOT(ISERROR(SEARCH("DES-INSTALACION",S1088)))</formula>
    </cfRule>
    <cfRule type="containsText" dxfId="189" priority="4" operator="containsText" text="RE-INSTALADO">
      <formula>NOT(ISERROR(SEARCH("RE-INSTALADO",S1088)))</formula>
    </cfRule>
  </conditionalFormatting>
  <conditionalFormatting sqref="S1095">
    <cfRule type="containsText" dxfId="188" priority="75" operator="containsText" text="BAJA">
      <formula>NOT(ISERROR(SEARCH("BAJA",S1095)))</formula>
    </cfRule>
  </conditionalFormatting>
  <conditionalFormatting sqref="S1095:S1096">
    <cfRule type="containsText" dxfId="187" priority="27" operator="containsText" text="VISITA EN FALSO">
      <formula>NOT(ISERROR(SEARCH("VISITA EN FALSO",S1095)))</formula>
    </cfRule>
    <cfRule type="containsText" dxfId="186" priority="26" operator="containsText" text="DES-INSTALACION">
      <formula>NOT(ISERROR(SEARCH("DES-INSTALACION",S1095)))</formula>
    </cfRule>
    <cfRule type="containsText" dxfId="185" priority="25" operator="containsText" text="RE-INSTALADO">
      <formula>NOT(ISERROR(SEARCH("RE-INSTALADO",S1095)))</formula>
    </cfRule>
  </conditionalFormatting>
  <conditionalFormatting sqref="S1099:S1100">
    <cfRule type="containsText" dxfId="184" priority="65" operator="containsText" text="DES-INSTALACION">
      <formula>NOT(ISERROR(SEARCH("DES-INSTALACION",S1099)))</formula>
    </cfRule>
    <cfRule type="containsText" dxfId="183" priority="67" operator="containsText" text="BAJA">
      <formula>NOT(ISERROR(SEARCH("BAJA",S1099)))</formula>
    </cfRule>
    <cfRule type="containsText" dxfId="182" priority="66" operator="containsText" text="VISITA EN FALSO">
      <formula>NOT(ISERROR(SEARCH("VISITA EN FALSO",S1099)))</formula>
    </cfRule>
    <cfRule type="containsText" dxfId="181" priority="64" operator="containsText" text="RE-INSTALADO">
      <formula>NOT(ISERROR(SEARCH("RE-INSTALADO",S1099)))</formula>
    </cfRule>
  </conditionalFormatting>
  <conditionalFormatting sqref="S1104">
    <cfRule type="containsText" dxfId="180" priority="475" operator="containsText" text="RE-INSTALADO">
      <formula>NOT(ISERROR(SEARCH("RE-INSTALADO",S1104)))</formula>
    </cfRule>
    <cfRule type="containsText" dxfId="179" priority="476" operator="containsText" text="DES-INSTALACION">
      <formula>NOT(ISERROR(SEARCH("DES-INSTALACION",S1104)))</formula>
    </cfRule>
    <cfRule type="containsText" dxfId="178" priority="477" operator="containsText" text="VISITA EN FALSO">
      <formula>NOT(ISERROR(SEARCH("VISITA EN FALSO",S1104)))</formula>
    </cfRule>
    <cfRule type="containsText" dxfId="177" priority="478" operator="containsText" text="BAJA">
      <formula>NOT(ISERROR(SEARCH("BAJA",S1104)))</formula>
    </cfRule>
  </conditionalFormatting>
  <conditionalFormatting sqref="S1118">
    <cfRule type="containsText" dxfId="176" priority="435" operator="containsText" text="RE-INSTALADO">
      <formula>NOT(ISERROR(SEARCH("RE-INSTALADO",S1118)))</formula>
    </cfRule>
    <cfRule type="containsText" dxfId="175" priority="436" operator="containsText" text="DES-INSTALACION">
      <formula>NOT(ISERROR(SEARCH("DES-INSTALACION",S1118)))</formula>
    </cfRule>
    <cfRule type="containsText" dxfId="174" priority="437" operator="containsText" text="VISITA EN FALSO">
      <formula>NOT(ISERROR(SEARCH("VISITA EN FALSO",S1118)))</formula>
    </cfRule>
    <cfRule type="containsText" dxfId="173" priority="438" operator="containsText" text="BAJA">
      <formula>NOT(ISERROR(SEARCH("BAJA",S1118)))</formula>
    </cfRule>
  </conditionalFormatting>
  <conditionalFormatting sqref="S1125">
    <cfRule type="containsText" dxfId="172" priority="431" operator="containsText" text="RE-INSTALADO">
      <formula>NOT(ISERROR(SEARCH("RE-INSTALADO",S1125)))</formula>
    </cfRule>
    <cfRule type="containsText" dxfId="171" priority="432" operator="containsText" text="DES-INSTALACION">
      <formula>NOT(ISERROR(SEARCH("DES-INSTALACION",S1125)))</formula>
    </cfRule>
    <cfRule type="containsText" dxfId="170" priority="433" operator="containsText" text="VISITA EN FALSO">
      <formula>NOT(ISERROR(SEARCH("VISITA EN FALSO",S1125)))</formula>
    </cfRule>
    <cfRule type="containsText" dxfId="169" priority="434" operator="containsText" text="BAJA">
      <formula>NOT(ISERROR(SEARCH("BAJA",S1125)))</formula>
    </cfRule>
  </conditionalFormatting>
  <conditionalFormatting sqref="S1149">
    <cfRule type="containsText" dxfId="168" priority="63" operator="containsText" text="BAJA">
      <formula>NOT(ISERROR(SEARCH("BAJA",S1149)))</formula>
    </cfRule>
    <cfRule type="containsText" dxfId="167" priority="62" operator="containsText" text="VISITA EN FALSO">
      <formula>NOT(ISERROR(SEARCH("VISITA EN FALSO",S1149)))</formula>
    </cfRule>
    <cfRule type="containsText" dxfId="166" priority="61" operator="containsText" text="DES-INSTALACION">
      <formula>NOT(ISERROR(SEARCH("DES-INSTALACION",S1149)))</formula>
    </cfRule>
    <cfRule type="containsText" dxfId="165" priority="60" operator="containsText" text="RE-INSTALADO">
      <formula>NOT(ISERROR(SEARCH("RE-INSTALADO",S1149)))</formula>
    </cfRule>
  </conditionalFormatting>
  <conditionalFormatting sqref="S1152:S1153">
    <cfRule type="containsText" dxfId="164" priority="2" operator="containsText" text="DES-INSTALACION">
      <formula>NOT(ISERROR(SEARCH("DES-INSTALACION",S1152)))</formula>
    </cfRule>
    <cfRule type="containsText" dxfId="163" priority="3" operator="containsText" text="VISITA EN FALSO">
      <formula>NOT(ISERROR(SEARCH("VISITA EN FALSO",S1152)))</formula>
    </cfRule>
    <cfRule type="containsText" dxfId="162" priority="1" operator="containsText" text="RE-INSTALADO">
      <formula>NOT(ISERROR(SEARCH("RE-INSTALADO",S1152)))</formula>
    </cfRule>
  </conditionalFormatting>
  <conditionalFormatting sqref="S1153">
    <cfRule type="containsText" dxfId="161" priority="59" operator="containsText" text="BAJA">
      <formula>NOT(ISERROR(SEARCH("BAJA",S1153)))</formula>
    </cfRule>
  </conditionalFormatting>
  <conditionalFormatting sqref="S1155:S1157">
    <cfRule type="containsText" dxfId="160" priority="707" operator="containsText" text="DES-INSTALACION">
      <formula>NOT(ISERROR(SEARCH("DES-INSTALACION",S1155)))</formula>
    </cfRule>
    <cfRule type="containsText" dxfId="159" priority="706" operator="containsText" text="DES-INSTALACION">
      <formula>NOT(ISERROR(SEARCH("DES-INSTALACION",S1155)))</formula>
    </cfRule>
    <cfRule type="containsText" dxfId="158" priority="708" operator="containsText" text="VISITA EN FALSO">
      <formula>NOT(ISERROR(SEARCH("VISITA EN FALSO",S1155)))</formula>
    </cfRule>
    <cfRule type="containsText" dxfId="157" priority="709" operator="containsText" text="BAJA">
      <formula>NOT(ISERROR(SEARCH("BAJA",S1155)))</formula>
    </cfRule>
  </conditionalFormatting>
  <conditionalFormatting sqref="S1477:S1479">
    <cfRule type="containsText" dxfId="156" priority="55" operator="containsText" text="BAJA">
      <formula>NOT(ISERROR(SEARCH("BAJA",S1477)))</formula>
    </cfRule>
    <cfRule type="containsText" dxfId="155" priority="54" operator="containsText" text="VISITA EN FALSO">
      <formula>NOT(ISERROR(SEARCH("VISITA EN FALSO",S1477)))</formula>
    </cfRule>
    <cfRule type="containsText" dxfId="154" priority="52" operator="containsText" text="RE-INSTALADO">
      <formula>NOT(ISERROR(SEARCH("RE-INSTALADO",S1477)))</formula>
    </cfRule>
    <cfRule type="containsText" dxfId="153" priority="53" operator="containsText" text="DES-INSTALACION">
      <formula>NOT(ISERROR(SEARCH("DES-INSTALACION",S1477)))</formula>
    </cfRule>
  </conditionalFormatting>
  <conditionalFormatting sqref="S1525">
    <cfRule type="containsText" dxfId="152" priority="688" operator="containsText" text="DES-INSTALACION">
      <formula>NOT(ISERROR(SEARCH("DES-INSTALACION",S1525)))</formula>
    </cfRule>
    <cfRule type="containsText" dxfId="151" priority="691" operator="containsText" text="BAJA">
      <formula>NOT(ISERROR(SEARCH("BAJA",S1525)))</formula>
    </cfRule>
    <cfRule type="containsText" dxfId="150" priority="690" operator="containsText" text="VISITA EN FALSO">
      <formula>NOT(ISERROR(SEARCH("VISITA EN FALSO",S1525)))</formula>
    </cfRule>
    <cfRule type="containsText" dxfId="149" priority="686" operator="containsText" text="RE-INSTALADO">
      <formula>NOT(ISERROR(SEARCH("RE-INSTALADO",S1525)))</formula>
    </cfRule>
    <cfRule type="containsText" dxfId="148" priority="692" operator="containsText" text="VISITA EN FALSO">
      <formula>NOT(ISERROR(SEARCH("VISITA EN FALSO",S1525)))</formula>
    </cfRule>
    <cfRule type="containsText" dxfId="147" priority="687" operator="containsText" text="DES-INSTALACION">
      <formula>NOT(ISERROR(SEARCH("DES-INSTALACION",S1525)))</formula>
    </cfRule>
    <cfRule type="containsText" dxfId="146" priority="685" operator="containsText" text="BAJA">
      <formula>NOT(ISERROR(SEARCH("BAJA",S1525)))</formula>
    </cfRule>
  </conditionalFormatting>
  <conditionalFormatting sqref="S1:T488 S490:T543 S545:T586 S588:T622 S587">
    <cfRule type="containsText" dxfId="145" priority="1419" operator="containsText" text="ANTERIOR">
      <formula>NOT(ISERROR(SEARCH("ANTERIOR",S1)))</formula>
    </cfRule>
  </conditionalFormatting>
  <conditionalFormatting sqref="S1:T488 S490:T543 S545:T586 S946:T1500 S588:T622 S662:T665 S693:T695 S697:T698 S707:T733 S741:T741 S743:T744 S752:T752 S755:T756 S763:T765 S776:T783 S790:T791 S793:T805 S812:T814 S822:T828 S830:T832 S842:T893 S895:T913 S915:T919 T723:T1316 T486:T586 S587 T588:T721 S625:T627 S629:T660 S668:T691 S700:T700 S702:T704 S735:T737 S747:T748 S759:T761 S770:T770 S772:T774 S785:T785 S787:T787 S809:T810 S818:T818 S820:T820 S835:T835 S837:T838 S840:T840 S921:T924 S930:T931 S934:T936 S938:T939 S941:T944 S1790:T1048576">
    <cfRule type="containsText" dxfId="144" priority="1418" operator="containsText" text="RE-INSTALADO">
      <formula>NOT(ISERROR(SEARCH("RE-INSTALADO",S1)))</formula>
    </cfRule>
  </conditionalFormatting>
  <conditionalFormatting sqref="S11:T11">
    <cfRule type="containsText" dxfId="143" priority="4166" operator="containsText" text="DES-INSTALACION">
      <formula>NOT(ISERROR(SEARCH("DES-INSTALACION",S11)))</formula>
    </cfRule>
  </conditionalFormatting>
  <conditionalFormatting sqref="S132:T132">
    <cfRule type="containsText" dxfId="142" priority="4221" operator="containsText" text="BAJA">
      <formula>NOT(ISERROR(SEARCH("BAJA",S132)))</formula>
    </cfRule>
    <cfRule type="containsText" dxfId="141" priority="4220" operator="containsText" text="VISITA EN FALSO">
      <formula>NOT(ISERROR(SEARCH("VISITA EN FALSO",S132)))</formula>
    </cfRule>
  </conditionalFormatting>
  <conditionalFormatting sqref="S489:T489">
    <cfRule type="containsText" dxfId="140" priority="22" operator="containsText" text="ANTERIOR">
      <formula>NOT(ISERROR(SEARCH("ANTERIOR",S489)))</formula>
    </cfRule>
  </conditionalFormatting>
  <conditionalFormatting sqref="S544:T544">
    <cfRule type="containsText" dxfId="139" priority="49" operator="containsText" text="ANTERIOR">
      <formula>NOT(ISERROR(SEARCH("ANTERIOR",S544)))</formula>
    </cfRule>
  </conditionalFormatting>
  <conditionalFormatting sqref="S623:T624">
    <cfRule type="containsText" dxfId="138" priority="374" operator="containsText" text="ANTERIOR">
      <formula>NOT(ISERROR(SEARCH("ANTERIOR",S623)))</formula>
    </cfRule>
  </conditionalFormatting>
  <conditionalFormatting sqref="S625:T660">
    <cfRule type="containsText" dxfId="137" priority="558" operator="containsText" text="ANTERIOR">
      <formula>NOT(ISERROR(SEARCH("ANTERIOR",S625)))</formula>
    </cfRule>
  </conditionalFormatting>
  <conditionalFormatting sqref="S661:T661">
    <cfRule type="containsText" dxfId="136" priority="544" operator="containsText" text="ANTERIOR">
      <formula>NOT(ISERROR(SEARCH("ANTERIOR",S661)))</formula>
    </cfRule>
  </conditionalFormatting>
  <conditionalFormatting sqref="S662:T665 S693:T695 S697:T698 S707:T733 S741:T741 S743:T744 S752:T752 S755:T756 S763:T765 S776:T783 S790:T791 S793:T806 S812:T814 S822:T828 S830:T832 S842:T893 S895:T913 S915:T919 T745:T746">
    <cfRule type="containsText" dxfId="135" priority="1018" operator="containsText" text="ANTERIOR">
      <formula>NOT(ISERROR(SEARCH("ANTERIOR",S662)))</formula>
    </cfRule>
  </conditionalFormatting>
  <conditionalFormatting sqref="S666:T692">
    <cfRule type="containsText" dxfId="134" priority="458" operator="containsText" text="ANTERIOR">
      <formula>NOT(ISERROR(SEARCH("ANTERIOR",S666)))</formula>
    </cfRule>
  </conditionalFormatting>
  <conditionalFormatting sqref="S696:T696">
    <cfRule type="containsText" dxfId="133" priority="534" operator="containsText" text="ANTERIOR">
      <formula>NOT(ISERROR(SEARCH("ANTERIOR",S696)))</formula>
    </cfRule>
  </conditionalFormatting>
  <conditionalFormatting sqref="S699:T700">
    <cfRule type="containsText" dxfId="132" priority="362" operator="containsText" text="ANTERIOR">
      <formula>NOT(ISERROR(SEARCH("ANTERIOR",S699)))</formula>
    </cfRule>
  </conditionalFormatting>
  <conditionalFormatting sqref="S701:T704">
    <cfRule type="containsText" dxfId="131" priority="356" operator="containsText" text="ANTERIOR">
      <formula>NOT(ISERROR(SEARCH("ANTERIOR",S701)))</formula>
    </cfRule>
  </conditionalFormatting>
  <conditionalFormatting sqref="S705:T706">
    <cfRule type="containsText" dxfId="130" priority="344" operator="containsText" text="ANTERIOR">
      <formula>NOT(ISERROR(SEARCH("ANTERIOR",S705)))</formula>
    </cfRule>
  </conditionalFormatting>
  <conditionalFormatting sqref="S734:T734">
    <cfRule type="containsText" dxfId="129" priority="16" operator="containsText" text="ANTERIOR">
      <formula>NOT(ISERROR(SEARCH("ANTERIOR",S734)))</formula>
    </cfRule>
  </conditionalFormatting>
  <conditionalFormatting sqref="S735:T739">
    <cfRule type="containsText" dxfId="128" priority="338" operator="containsText" text="ANTERIOR">
      <formula>NOT(ISERROR(SEARCH("ANTERIOR",S735)))</formula>
    </cfRule>
  </conditionalFormatting>
  <conditionalFormatting sqref="S740:T740">
    <cfRule type="containsText" dxfId="127" priority="332" operator="containsText" text="ANTERIOR">
      <formula>NOT(ISERROR(SEARCH("ANTERIOR",S740)))</formula>
    </cfRule>
  </conditionalFormatting>
  <conditionalFormatting sqref="S742:T742">
    <cfRule type="containsText" dxfId="126" priority="588" operator="containsText" text="ANTERIOR">
      <formula>NOT(ISERROR(SEARCH("ANTERIOR",S742)))</formula>
    </cfRule>
  </conditionalFormatting>
  <conditionalFormatting sqref="S747:T751">
    <cfRule type="containsText" dxfId="125" priority="301" operator="containsText" text="ANTERIOR">
      <formula>NOT(ISERROR(SEARCH("ANTERIOR",S747)))</formula>
    </cfRule>
  </conditionalFormatting>
  <conditionalFormatting sqref="S753:T754">
    <cfRule type="containsText" dxfId="124" priority="289" operator="containsText" text="ANTERIOR">
      <formula>NOT(ISERROR(SEARCH("ANTERIOR",S753)))</formula>
    </cfRule>
  </conditionalFormatting>
  <conditionalFormatting sqref="S757:T758">
    <cfRule type="containsText" dxfId="123" priority="277" operator="containsText" text="ANTERIOR">
      <formula>NOT(ISERROR(SEARCH("ANTERIOR",S757)))</formula>
    </cfRule>
  </conditionalFormatting>
  <conditionalFormatting sqref="S759:T762">
    <cfRule type="containsText" dxfId="122" priority="271" operator="containsText" text="ANTERIOR">
      <formula>NOT(ISERROR(SEARCH("ANTERIOR",S759)))</formula>
    </cfRule>
  </conditionalFormatting>
  <conditionalFormatting sqref="S766:T766">
    <cfRule type="containsText" dxfId="121" priority="265" operator="containsText" text="ANTERIOR">
      <formula>NOT(ISERROR(SEARCH("ANTERIOR",S766)))</formula>
    </cfRule>
  </conditionalFormatting>
  <conditionalFormatting sqref="S767:T768">
    <cfRule type="containsText" dxfId="120" priority="452" operator="containsText" text="ANTERIOR">
      <formula>NOT(ISERROR(SEARCH("ANTERIOR",S767)))</formula>
    </cfRule>
  </conditionalFormatting>
  <conditionalFormatting sqref="S769:T774">
    <cfRule type="containsText" dxfId="119" priority="259" operator="containsText" text="ANTERIOR">
      <formula>NOT(ISERROR(SEARCH("ANTERIOR",S769)))</formula>
    </cfRule>
  </conditionalFormatting>
  <conditionalFormatting sqref="S775:T775">
    <cfRule type="containsText" dxfId="118" priority="42" operator="containsText" text="ANTERIOR">
      <formula>NOT(ISERROR(SEARCH("ANTERIOR",S775)))</formula>
    </cfRule>
  </conditionalFormatting>
  <conditionalFormatting sqref="S784:T785">
    <cfRule type="containsText" dxfId="117" priority="253" operator="containsText" text="ANTERIOR">
      <formula>NOT(ISERROR(SEARCH("ANTERIOR",S784)))</formula>
    </cfRule>
  </conditionalFormatting>
  <conditionalFormatting sqref="S786:T786">
    <cfRule type="containsText" dxfId="116" priority="247" operator="containsText" text="ANTERIOR">
      <formula>NOT(ISERROR(SEARCH("ANTERIOR",S786)))</formula>
    </cfRule>
  </conditionalFormatting>
  <conditionalFormatting sqref="S787:T789">
    <cfRule type="containsText" dxfId="115" priority="524" operator="containsText" text="ANTERIOR">
      <formula>NOT(ISERROR(SEARCH("ANTERIOR",S787)))</formula>
    </cfRule>
  </conditionalFormatting>
  <conditionalFormatting sqref="S792:T792">
    <cfRule type="containsText" dxfId="114" priority="241" operator="containsText" text="ANTERIOR">
      <formula>NOT(ISERROR(SEARCH("ANTERIOR",S792)))</formula>
    </cfRule>
  </conditionalFormatting>
  <conditionalFormatting sqref="S807:T808">
    <cfRule type="containsText" dxfId="113" priority="229" operator="containsText" text="ANTERIOR">
      <formula>NOT(ISERROR(SEARCH("ANTERIOR",S807)))</formula>
    </cfRule>
  </conditionalFormatting>
  <conditionalFormatting sqref="S809:T811">
    <cfRule type="containsText" dxfId="112" priority="223" operator="containsText" text="ANTERIOR">
      <formula>NOT(ISERROR(SEARCH("ANTERIOR",S809)))</formula>
    </cfRule>
  </conditionalFormatting>
  <conditionalFormatting sqref="S815:T815">
    <cfRule type="containsText" dxfId="111" priority="518" operator="containsText" text="ANTERIOR">
      <formula>NOT(ISERROR(SEARCH("ANTERIOR",S815)))</formula>
    </cfRule>
  </conditionalFormatting>
  <conditionalFormatting sqref="S816:T817">
    <cfRule type="containsText" dxfId="110" priority="211" operator="containsText" text="ANTERIOR">
      <formula>NOT(ISERROR(SEARCH("ANTERIOR",S816)))</formula>
    </cfRule>
  </conditionalFormatting>
  <conditionalFormatting sqref="S818:T820">
    <cfRule type="containsText" dxfId="109" priority="205" operator="containsText" text="ANTERIOR">
      <formula>NOT(ISERROR(SEARCH("ANTERIOR",S818)))</formula>
    </cfRule>
  </conditionalFormatting>
  <conditionalFormatting sqref="S821:T821">
    <cfRule type="containsText" dxfId="108" priority="199" operator="containsText" text="ANTERIOR">
      <formula>NOT(ISERROR(SEARCH("ANTERIOR",S821)))</formula>
    </cfRule>
  </conditionalFormatting>
  <conditionalFormatting sqref="S829:T829">
    <cfRule type="containsText" dxfId="107" priority="576" operator="containsText" text="ANTERIOR">
      <formula>NOT(ISERROR(SEARCH("ANTERIOR",S829)))</formula>
    </cfRule>
  </conditionalFormatting>
  <conditionalFormatting sqref="S833:T834">
    <cfRule type="containsText" dxfId="106" priority="187" operator="containsText" text="ANTERIOR">
      <formula>NOT(ISERROR(SEARCH("ANTERIOR",S833)))</formula>
    </cfRule>
  </conditionalFormatting>
  <conditionalFormatting sqref="S835:T838">
    <cfRule type="containsText" dxfId="105" priority="181" operator="containsText" text="ANTERIOR">
      <formula>NOT(ISERROR(SEARCH("ANTERIOR",S835)))</formula>
    </cfRule>
  </conditionalFormatting>
  <conditionalFormatting sqref="S839:T839">
    <cfRule type="containsText" dxfId="104" priority="10" operator="containsText" text="ANTERIOR">
      <formula>NOT(ISERROR(SEARCH("ANTERIOR",S839)))</formula>
    </cfRule>
  </conditionalFormatting>
  <conditionalFormatting sqref="S840:T841">
    <cfRule type="containsText" dxfId="103" priority="175" operator="containsText" text="ANTERIOR">
      <formula>NOT(ISERROR(SEARCH("ANTERIOR",S840)))</formula>
    </cfRule>
  </conditionalFormatting>
  <conditionalFormatting sqref="S894:T894">
    <cfRule type="containsText" dxfId="102" priority="169" operator="containsText" text="ANTERIOR">
      <formula>NOT(ISERROR(SEARCH("ANTERIOR",S894)))</formula>
    </cfRule>
  </conditionalFormatting>
  <conditionalFormatting sqref="S914:T914">
    <cfRule type="containsText" dxfId="101" priority="36" operator="containsText" text="ANTERIOR">
      <formula>NOT(ISERROR(SEARCH("ANTERIOR",S914)))</formula>
    </cfRule>
  </conditionalFormatting>
  <conditionalFormatting sqref="S920:T924">
    <cfRule type="containsText" dxfId="100" priority="162" operator="containsText" text="ANTERIOR">
      <formula>NOT(ISERROR(SEARCH("ANTERIOR",S920)))</formula>
    </cfRule>
  </conditionalFormatting>
  <conditionalFormatting sqref="S925:T929">
    <cfRule type="containsText" dxfId="99" priority="138" operator="containsText" text="ANTERIOR">
      <formula>NOT(ISERROR(SEARCH("ANTERIOR",S925)))</formula>
    </cfRule>
  </conditionalFormatting>
  <conditionalFormatting sqref="S930:T936">
    <cfRule type="containsText" dxfId="98" priority="126" operator="containsText" text="ANTERIOR">
      <formula>NOT(ISERROR(SEARCH("ANTERIOR",S930)))</formula>
    </cfRule>
  </conditionalFormatting>
  <conditionalFormatting sqref="S937:T939">
    <cfRule type="containsText" dxfId="97" priority="120" operator="containsText" text="ANTERIOR">
      <formula>NOT(ISERROR(SEARCH("ANTERIOR",S937)))</formula>
    </cfRule>
  </conditionalFormatting>
  <conditionalFormatting sqref="S940:T945">
    <cfRule type="containsText" dxfId="96" priority="114" operator="containsText" text="ANTERIOR">
      <formula>NOT(ISERROR(SEARCH("ANTERIOR",S940)))</formula>
    </cfRule>
  </conditionalFormatting>
  <conditionalFormatting sqref="S975:T975">
    <cfRule type="containsText" dxfId="95" priority="4224" operator="containsText" text="BAJA">
      <formula>NOT(ISERROR(SEARCH("BAJA",S975)))</formula>
    </cfRule>
    <cfRule type="containsText" dxfId="94" priority="4223" operator="containsText" text="VISITA EN FALSO">
      <formula>NOT(ISERROR(SEARCH("VISITA EN FALSO",S975)))</formula>
    </cfRule>
  </conditionalFormatting>
  <conditionalFormatting sqref="S1058:T1058">
    <cfRule type="containsText" dxfId="93" priority="564" operator="containsText" text="BAJA">
      <formula>NOT(ISERROR(SEARCH("BAJA",S1058)))</formula>
    </cfRule>
    <cfRule type="containsText" dxfId="92" priority="562" operator="containsText" text="DES-INSTALACION">
      <formula>NOT(ISERROR(SEARCH("DES-INSTALACION",S1058)))</formula>
    </cfRule>
    <cfRule type="containsText" dxfId="91" priority="561" operator="containsText" text="RE-INSTALADO">
      <formula>NOT(ISERROR(SEARCH("RE-INSTALADO",S1058)))</formula>
    </cfRule>
    <cfRule type="containsText" dxfId="90" priority="563" operator="containsText" text="VISITA EN FALSO">
      <formula>NOT(ISERROR(SEARCH("VISITA EN FALSO",S1058)))</formula>
    </cfRule>
    <cfRule type="containsText" dxfId="89" priority="565" operator="containsText" text="DES-INSTALACION">
      <formula>NOT(ISERROR(SEARCH("DES-INSTALACION",S1058)))</formula>
    </cfRule>
  </conditionalFormatting>
  <conditionalFormatting sqref="T1:T7 T9:T10 T12:T55 T57 T59:T189 T191:T224 T226:T243 T245:T246 T255:T282 T284:T323 T325:T482 T484 T486:T586 T588:T721">
    <cfRule type="containsText" dxfId="88" priority="4214" operator="containsText" text="RE-INSTALACION">
      <formula>NOT(ISERROR(SEARCH("RE-INSTALACION",T1)))</formula>
    </cfRule>
  </conditionalFormatting>
  <conditionalFormatting sqref="T1:T7 T9:T10 T12:T55 T57 T59:T189 T191:T224 T226:T243 T245:T246 T255:T282 T284:T323 T325:T482 T484">
    <cfRule type="containsText" dxfId="87" priority="4215" operator="containsText" text="RE-INSTALADO">
      <formula>NOT(ISERROR(SEARCH("RE-INSTALADO",T1)))</formula>
    </cfRule>
  </conditionalFormatting>
  <conditionalFormatting sqref="T8">
    <cfRule type="containsText" dxfId="86" priority="2534" operator="containsText" text="BAJA NO ESTABA EN EL LISTADO">
      <formula>NOT(ISERROR(SEARCH("BAJA NO ESTABA EN EL LISTADO",T8)))</formula>
    </cfRule>
    <cfRule type="containsText" dxfId="85" priority="2535" operator="containsText" text="PETICION DE BAJA SIN RETIRO">
      <formula>NOT(ISERROR(SEARCH("PETICION DE BAJA SIN RETIRO",T8)))</formula>
    </cfRule>
    <cfRule type="containsText" dxfId="84" priority="2536" operator="containsText" text="PETICION DE BAJA SIN RETIRO ">
      <formula>NOT(ISERROR(SEARCH("PETICION DE BAJA SIN RETIRO ",T8)))</formula>
    </cfRule>
    <cfRule type="containsText" dxfId="83" priority="2533" operator="containsText" text="BAJA NO ESTABA EN ">
      <formula>NOT(ISERROR(SEARCH("BAJA NO ESTABA EN ",T8)))</formula>
    </cfRule>
  </conditionalFormatting>
  <conditionalFormatting sqref="T11">
    <cfRule type="containsText" dxfId="82" priority="4168" operator="containsText" text="BAJA">
      <formula>NOT(ISERROR(SEARCH("BAJA",T11)))</formula>
    </cfRule>
    <cfRule type="containsText" dxfId="81" priority="4165" operator="containsText" text="DES-INSTALACION">
      <formula>NOT(ISERROR(SEARCH("DES-INSTALACION",T11)))</formula>
    </cfRule>
    <cfRule type="containsText" dxfId="80" priority="4167" operator="containsText" text="VISITA EN FALSO">
      <formula>NOT(ISERROR(SEARCH("VISITA EN FALSO",T11)))</formula>
    </cfRule>
  </conditionalFormatting>
  <conditionalFormatting sqref="T56">
    <cfRule type="containsText" dxfId="79" priority="2462" operator="containsText" text="DES-INSTALACION">
      <formula>NOT(ISERROR(SEARCH("DES-INSTALACION",T56)))</formula>
    </cfRule>
    <cfRule type="containsText" dxfId="78" priority="2463" operator="containsText" text="DES-INSTALACION">
      <formula>NOT(ISERROR(SEARCH("DES-INSTALACION",T56)))</formula>
    </cfRule>
    <cfRule type="containsText" dxfId="77" priority="2464" operator="containsText" text="VISITA EN FALSO">
      <formula>NOT(ISERROR(SEARCH("VISITA EN FALSO",T56)))</formula>
    </cfRule>
    <cfRule type="containsText" dxfId="76" priority="2465" operator="containsText" text="BAJA">
      <formula>NOT(ISERROR(SEARCH("BAJA",T56)))</formula>
    </cfRule>
  </conditionalFormatting>
  <conditionalFormatting sqref="T58">
    <cfRule type="containsText" dxfId="75" priority="2439" operator="containsText" text="BAJA">
      <formula>NOT(ISERROR(SEARCH("BAJA",T58)))</formula>
    </cfRule>
    <cfRule type="containsText" dxfId="74" priority="2438" operator="containsText" text="VISITA EN FALSO">
      <formula>NOT(ISERROR(SEARCH("VISITA EN FALSO",T58)))</formula>
    </cfRule>
    <cfRule type="containsText" dxfId="73" priority="2437" operator="containsText" text="DES-INSTALACION">
      <formula>NOT(ISERROR(SEARCH("DES-INSTALACION",T58)))</formula>
    </cfRule>
    <cfRule type="containsText" dxfId="72" priority="2436" operator="containsText" text="DES-INSTALACION">
      <formula>NOT(ISERROR(SEARCH("DES-INSTALACION",T58)))</formula>
    </cfRule>
  </conditionalFormatting>
  <conditionalFormatting sqref="T100">
    <cfRule type="containsText" dxfId="71" priority="5339" operator="containsText" text="VISITA EN FALSO">
      <formula>NOT(ISERROR(SEARCH("VISITA EN FALSO",T100)))</formula>
    </cfRule>
    <cfRule type="containsText" dxfId="70" priority="5340" operator="containsText" text="BAJA">
      <formula>NOT(ISERROR(SEARCH("BAJA",T100)))</formula>
    </cfRule>
  </conditionalFormatting>
  <conditionalFormatting sqref="T132">
    <cfRule type="containsText" dxfId="69" priority="4219" operator="containsText" text="DES-INSTALACION">
      <formula>NOT(ISERROR(SEARCH("DES-INSTALACION",T132)))</formula>
    </cfRule>
  </conditionalFormatting>
  <conditionalFormatting sqref="T190">
    <cfRule type="containsText" dxfId="68" priority="2186" operator="containsText" text="DES-INSTALACION">
      <formula>NOT(ISERROR(SEARCH("DES-INSTALACION",T190)))</formula>
    </cfRule>
    <cfRule type="containsText" dxfId="67" priority="2187" operator="containsText" text="DES-INSTALACION">
      <formula>NOT(ISERROR(SEARCH("DES-INSTALACION",T190)))</formula>
    </cfRule>
    <cfRule type="containsText" dxfId="66" priority="2189" operator="containsText" text="BAJA">
      <formula>NOT(ISERROR(SEARCH("BAJA",T190)))</formula>
    </cfRule>
    <cfRule type="containsText" dxfId="65" priority="2188" operator="containsText" text="VISITA EN FALSO">
      <formula>NOT(ISERROR(SEARCH("VISITA EN FALSO",T190)))</formula>
    </cfRule>
  </conditionalFormatting>
  <conditionalFormatting sqref="T225">
    <cfRule type="containsText" dxfId="64" priority="2049" operator="containsText" text="VISITA EN FALSO">
      <formula>NOT(ISERROR(SEARCH("VISITA EN FALSO",T225)))</formula>
    </cfRule>
    <cfRule type="containsText" dxfId="63" priority="2048" operator="containsText" text="DES-INSTALACION">
      <formula>NOT(ISERROR(SEARCH("DES-INSTALACION",T225)))</formula>
    </cfRule>
    <cfRule type="containsText" dxfId="62" priority="2050" operator="containsText" text="BAJA">
      <formula>NOT(ISERROR(SEARCH("BAJA",T225)))</formula>
    </cfRule>
    <cfRule type="containsText" dxfId="61" priority="2047" operator="containsText" text="DES-INSTALACION">
      <formula>NOT(ISERROR(SEARCH("DES-INSTALACION",T225)))</formula>
    </cfRule>
  </conditionalFormatting>
  <conditionalFormatting sqref="T244">
    <cfRule type="containsText" dxfId="60" priority="4181" operator="containsText" text="DES-INSTALACION">
      <formula>NOT(ISERROR(SEARCH("DES-INSTALACION",T244)))</formula>
    </cfRule>
    <cfRule type="containsText" dxfId="59" priority="4182" operator="containsText" text="DES-INSTALACION">
      <formula>NOT(ISERROR(SEARCH("DES-INSTALACION",T244)))</formula>
    </cfRule>
    <cfRule type="containsText" dxfId="58" priority="4183" operator="containsText" text="VISITA EN FALSO">
      <formula>NOT(ISERROR(SEARCH("VISITA EN FALSO",T244)))</formula>
    </cfRule>
    <cfRule type="containsText" dxfId="57" priority="4184" operator="containsText" text="BAJA">
      <formula>NOT(ISERROR(SEARCH("BAJA",T244)))</formula>
    </cfRule>
  </conditionalFormatting>
  <conditionalFormatting sqref="T247">
    <cfRule type="containsText" dxfId="56" priority="4175" operator="containsText" text="VISITA EN FALSO">
      <formula>NOT(ISERROR(SEARCH("VISITA EN FALSO",T247)))</formula>
    </cfRule>
    <cfRule type="containsText" dxfId="55" priority="4173" operator="containsText" text="DES-INSTALACION">
      <formula>NOT(ISERROR(SEARCH("DES-INSTALACION",T247)))</formula>
    </cfRule>
    <cfRule type="containsText" dxfId="54" priority="4174" operator="containsText" text="DES-INSTALACION">
      <formula>NOT(ISERROR(SEARCH("DES-INSTALACION",T247)))</formula>
    </cfRule>
    <cfRule type="containsText" dxfId="53" priority="4176" operator="containsText" text="BAJA">
      <formula>NOT(ISERROR(SEARCH("BAJA",T247)))</formula>
    </cfRule>
  </conditionalFormatting>
  <conditionalFormatting sqref="T248:T253">
    <cfRule type="containsText" dxfId="52" priority="4154" operator="containsText" text="RE-INSTALACION">
      <formula>NOT(ISERROR(SEARCH("RE-INSTALACION",T248)))</formula>
    </cfRule>
    <cfRule type="containsText" dxfId="51" priority="4155" operator="containsText" text="RE-INSTALADO">
      <formula>NOT(ISERROR(SEARCH("RE-INSTALADO",T248)))</formula>
    </cfRule>
  </conditionalFormatting>
  <conditionalFormatting sqref="T254">
    <cfRule type="containsText" dxfId="50" priority="1981" operator="containsText" text="DES-INSTALACION">
      <formula>NOT(ISERROR(SEARCH("DES-INSTALACION",T254)))</formula>
    </cfRule>
    <cfRule type="containsText" dxfId="49" priority="1983" operator="containsText" text="BAJA">
      <formula>NOT(ISERROR(SEARCH("BAJA",T254)))</formula>
    </cfRule>
    <cfRule type="containsText" dxfId="48" priority="1980" operator="containsText" text="DES-INSTALACION">
      <formula>NOT(ISERROR(SEARCH("DES-INSTALACION",T254)))</formula>
    </cfRule>
    <cfRule type="containsText" dxfId="47" priority="1982" operator="containsText" text="VISITA EN FALSO">
      <formula>NOT(ISERROR(SEARCH("VISITA EN FALSO",T254)))</formula>
    </cfRule>
  </conditionalFormatting>
  <conditionalFormatting sqref="T283">
    <cfRule type="containsText" dxfId="46" priority="1937" operator="containsText" text="DES-INSTALACION">
      <formula>NOT(ISERROR(SEARCH("DES-INSTALACION",T283)))</formula>
    </cfRule>
    <cfRule type="containsText" dxfId="45" priority="1936" operator="containsText" text="DES-INSTALACION">
      <formula>NOT(ISERROR(SEARCH("DES-INSTALACION",T283)))</formula>
    </cfRule>
    <cfRule type="containsText" dxfId="44" priority="1938" operator="containsText" text="VISITA EN FALSO">
      <formula>NOT(ISERROR(SEARCH("VISITA EN FALSO",T283)))</formula>
    </cfRule>
    <cfRule type="containsText" dxfId="43" priority="1939" operator="containsText" text="BAJA">
      <formula>NOT(ISERROR(SEARCH("BAJA",T283)))</formula>
    </cfRule>
  </conditionalFormatting>
  <conditionalFormatting sqref="T324">
    <cfRule type="containsText" dxfId="42" priority="1443" operator="containsText" text="BAJA">
      <formula>NOT(ISERROR(SEARCH("BAJA",T324)))</formula>
    </cfRule>
    <cfRule type="containsText" dxfId="41" priority="1442" operator="containsText" text="VISITA EN FALSO">
      <formula>NOT(ISERROR(SEARCH("VISITA EN FALSO",T324)))</formula>
    </cfRule>
    <cfRule type="containsText" dxfId="40" priority="1441" operator="containsText" text="DES-INSTALACION">
      <formula>NOT(ISERROR(SEARCH("DES-INSTALACION",T324)))</formula>
    </cfRule>
    <cfRule type="containsText" dxfId="39" priority="1440" operator="containsText" text="DES-INSTALACION">
      <formula>NOT(ISERROR(SEARCH("DES-INSTALACION",T324)))</formula>
    </cfRule>
  </conditionalFormatting>
  <conditionalFormatting sqref="T483">
    <cfRule type="containsText" dxfId="38" priority="1433" operator="containsText" text="DES-INSTALACION">
      <formula>NOT(ISERROR(SEARCH("DES-INSTALACION",T483)))</formula>
    </cfRule>
    <cfRule type="containsText" dxfId="37" priority="1435" operator="containsText" text="BAJA">
      <formula>NOT(ISERROR(SEARCH("BAJA",T483)))</formula>
    </cfRule>
    <cfRule type="containsText" dxfId="36" priority="1434" operator="containsText" text="VISITA EN FALSO">
      <formula>NOT(ISERROR(SEARCH("VISITA EN FALSO",T483)))</formula>
    </cfRule>
    <cfRule type="containsText" dxfId="35" priority="1432" operator="containsText" text="DES-INSTALACION">
      <formula>NOT(ISERROR(SEARCH("DES-INSTALACION",T483)))</formula>
    </cfRule>
  </conditionalFormatting>
  <conditionalFormatting sqref="T485">
    <cfRule type="containsText" dxfId="34" priority="1452" operator="containsText" text="DES-INSTALACION">
      <formula>NOT(ISERROR(SEARCH("DES-INSTALACION",T485)))</formula>
    </cfRule>
    <cfRule type="containsText" dxfId="33" priority="1453" operator="containsText" text="DES-INSTALACION">
      <formula>NOT(ISERROR(SEARCH("DES-INSTALACION",T485)))</formula>
    </cfRule>
    <cfRule type="containsText" dxfId="32" priority="1454" operator="containsText" text="VISITA EN FALSO">
      <formula>NOT(ISERROR(SEARCH("VISITA EN FALSO",T485)))</formula>
    </cfRule>
    <cfRule type="containsText" dxfId="31" priority="1455" operator="containsText" text="BAJA">
      <formula>NOT(ISERROR(SEARCH("BAJA",T485)))</formula>
    </cfRule>
  </conditionalFormatting>
  <conditionalFormatting sqref="T587">
    <cfRule type="containsText" dxfId="30" priority="702" operator="containsText" text="PETICION DE BAJA SIN RETIRO">
      <formula>NOT(ISERROR(SEARCH("PETICION DE BAJA SIN RETIRO",T587)))</formula>
    </cfRule>
    <cfRule type="containsText" dxfId="29" priority="701" operator="containsText" text="BAJA NO ESTABA EN EL LISTADO">
      <formula>NOT(ISERROR(SEARCH("BAJA NO ESTABA EN EL LISTADO",T587)))</formula>
    </cfRule>
    <cfRule type="containsText" dxfId="28" priority="703" operator="containsText" text="PETICION DE BAJA SIN RETIRO ">
      <formula>NOT(ISERROR(SEARCH("PETICION DE BAJA SIN RETIRO ",T587)))</formula>
    </cfRule>
    <cfRule type="containsText" dxfId="27" priority="700" operator="containsText" text="BAJA NO ESTABA EN ">
      <formula>NOT(ISERROR(SEARCH("BAJA NO ESTABA EN ",T587)))</formula>
    </cfRule>
  </conditionalFormatting>
  <conditionalFormatting sqref="T722">
    <cfRule type="containsText" dxfId="26" priority="1426" operator="containsText" text="VISITA EN FALSO">
      <formula>NOT(ISERROR(SEARCH("VISITA EN FALSO",T722)))</formula>
    </cfRule>
    <cfRule type="containsText" dxfId="25" priority="1427" operator="containsText" text="BAJA">
      <formula>NOT(ISERROR(SEARCH("BAJA",T722)))</formula>
    </cfRule>
    <cfRule type="containsText" dxfId="24" priority="1424" operator="containsText" text="DES-INSTALACION">
      <formula>NOT(ISERROR(SEARCH("DES-INSTALACION",T722)))</formula>
    </cfRule>
    <cfRule type="containsText" dxfId="23" priority="1425" operator="containsText" text="DES-INSTALACION">
      <formula>NOT(ISERROR(SEARCH("DES-INSTALACION",T722)))</formula>
    </cfRule>
  </conditionalFormatting>
  <conditionalFormatting sqref="T723:T1316">
    <cfRule type="containsText" dxfId="22" priority="4195" operator="containsText" text="RE-INSTALACION">
      <formula>NOT(ISERROR(SEARCH("RE-INSTALACION",T723)))</formula>
    </cfRule>
  </conditionalFormatting>
  <conditionalFormatting sqref="T905">
    <cfRule type="containsText" dxfId="21" priority="4231" operator="containsText" text="DES-INSTALACION">
      <formula>NOT(ISERROR(SEARCH("DES-INSTALACION",T905)))</formula>
    </cfRule>
    <cfRule type="containsText" dxfId="20" priority="4233" operator="containsText" text="BAJA">
      <formula>NOT(ISERROR(SEARCH("BAJA",T905)))</formula>
    </cfRule>
    <cfRule type="containsText" dxfId="19" priority="4232" operator="containsText" text="VISITA EN FALSO">
      <formula>NOT(ISERROR(SEARCH("VISITA EN FALSO",T905)))</formula>
    </cfRule>
  </conditionalFormatting>
  <conditionalFormatting sqref="T975">
    <cfRule type="containsText" dxfId="18" priority="4222" operator="containsText" text="DES-INSTALACION">
      <formula>NOT(ISERROR(SEARCH("DES-INSTALACION",T975)))</formula>
    </cfRule>
  </conditionalFormatting>
  <conditionalFormatting sqref="T1317">
    <cfRule type="containsText" dxfId="17" priority="2459" operator="containsText" text="DES-INSTALACION">
      <formula>NOT(ISERROR(SEARCH("DES-INSTALACION",T1317)))</formula>
    </cfRule>
    <cfRule type="containsText" dxfId="16" priority="2460" operator="containsText" text="VISITA EN FALSO">
      <formula>NOT(ISERROR(SEARCH("VISITA EN FALSO",T1317)))</formula>
    </cfRule>
    <cfRule type="containsText" dxfId="15" priority="2458" operator="containsText" text="DES-INSTALACION">
      <formula>NOT(ISERROR(SEARCH("DES-INSTALACION",T1317)))</formula>
    </cfRule>
    <cfRule type="containsText" dxfId="14" priority="2461" operator="containsText" text="BAJA">
      <formula>NOT(ISERROR(SEARCH("BAJA",T1317)))</formula>
    </cfRule>
  </conditionalFormatting>
  <conditionalFormatting sqref="T1534">
    <cfRule type="containsText" dxfId="13" priority="570" operator="containsText" text="DES-INSTALACION">
      <formula>NOT(ISERROR(SEARCH("DES-INSTALACION",T1534)))</formula>
    </cfRule>
    <cfRule type="containsText" dxfId="12" priority="569" operator="containsText" text="BAJA">
      <formula>NOT(ISERROR(SEARCH("BAJA",T1534)))</formula>
    </cfRule>
    <cfRule type="containsText" dxfId="11" priority="568" operator="containsText" text="VISITA EN FALSO">
      <formula>NOT(ISERROR(SEARCH("VISITA EN FALSO",T1534)))</formula>
    </cfRule>
    <cfRule type="containsText" dxfId="10" priority="567" operator="containsText" text="DES-INSTALACION">
      <formula>NOT(ISERROR(SEARCH("DES-INSTALACION",T1534)))</formula>
    </cfRule>
  </conditionalFormatting>
  <conditionalFormatting sqref="T1536">
    <cfRule type="containsText" dxfId="9" priority="597" operator="containsText" text="VISITA EN FALSO">
      <formula>NOT(ISERROR(SEARCH("VISITA EN FALSO",T1536)))</formula>
    </cfRule>
    <cfRule type="containsText" dxfId="8" priority="599" operator="containsText" text="DES-INSTALACION">
      <formula>NOT(ISERROR(SEARCH("DES-INSTALACION",T1536)))</formula>
    </cfRule>
    <cfRule type="containsText" dxfId="7" priority="596" operator="containsText" text="DES-INSTALACION">
      <formula>NOT(ISERROR(SEARCH("DES-INSTALACION",T1536)))</formula>
    </cfRule>
    <cfRule type="containsText" dxfId="6" priority="598" operator="containsText" text="BAJA">
      <formula>NOT(ISERROR(SEARCH("BAJA",T1536)))</formula>
    </cfRule>
  </conditionalFormatting>
  <conditionalFormatting sqref="V208">
    <cfRule type="containsText" dxfId="5" priority="4180" operator="containsText" text="PETICION DE BAJA SIN RETIRO ">
      <formula>NOT(ISERROR(SEARCH("PETICION DE BAJA SIN RETIRO ",V208)))</formula>
    </cfRule>
    <cfRule type="containsText" dxfId="4" priority="4179" operator="containsText" text="PETICION DE BAJA SIN RETIRO">
      <formula>NOT(ISERROR(SEARCH("PETICION DE BAJA SIN RETIRO",V208)))</formula>
    </cfRule>
  </conditionalFormatting>
  <conditionalFormatting sqref="V586">
    <cfRule type="containsText" dxfId="3" priority="4244" operator="containsText" text="PETICION DE BAJA SIN RETIRO ">
      <formula>NOT(ISERROR(SEARCH("PETICION DE BAJA SIN RETIRO ",V586)))</formula>
    </cfRule>
    <cfRule type="containsText" dxfId="2" priority="4243" operator="containsText" text="PETICION DE BAJA SIN RETIRO">
      <formula>NOT(ISERROR(SEARCH("PETICION DE BAJA SIN RETIRO",V586)))</formula>
    </cfRule>
  </conditionalFormatting>
  <conditionalFormatting sqref="V858">
    <cfRule type="containsText" dxfId="1" priority="4241" operator="containsText" text="PETICION DE BAJA SIN RETIRO ">
      <formula>NOT(ISERROR(SEARCH("PETICION DE BAJA SIN RETIRO ",V858)))</formula>
    </cfRule>
    <cfRule type="containsText" dxfId="0" priority="4240" operator="containsText" text="PETICION DE BAJA SIN RETIRO">
      <formula>NOT(ISERROR(SEARCH("PETICION DE BAJA SIN RETIRO",V858)))</formula>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8628" operator="containsText" text="BAJA" id="{A1AB1A29-DFF4-4545-B6B7-48961D33B753}">
            <xm:f>NOT(ISERROR(SEARCH("BAJA",'C:\Users\UBITEC\Desktop\UBITEC\UBITEC\Clientes\Marmolejos\Alejandro Marmolejo\[Unidades Activas (Control interno).xlsx]Listado '!#REF!)))</xm:f>
            <x14:dxf>
              <font>
                <color rgb="FF9C0006"/>
              </font>
              <fill>
                <patternFill>
                  <bgColor rgb="FFFFC7CE"/>
                </patternFill>
              </fill>
            </x14:dxf>
          </x14:cfRule>
          <x14:cfRule type="containsText" priority="8626" operator="containsText" text="MIGRADO" id="{33CB334D-7D0A-4609-ABD8-25FBC87D9E70}">
            <xm:f>NOT(ISERROR(SEARCH("MIGRADO",'C:\Users\UBITEC\Desktop\UBITEC\UBITEC\Clientes\Marmolejos\Alejandro Marmolejo\[Unidades Activas (Control interno).xlsx]Listado '!#REF!)))</xm:f>
            <x14:dxf>
              <font>
                <color rgb="FF9C6500"/>
              </font>
              <fill>
                <patternFill>
                  <bgColor rgb="FFFFEB9C"/>
                </patternFill>
              </fill>
            </x14:dxf>
          </x14:cfRule>
          <x14:cfRule type="containsText" priority="8625" operator="containsText" text="REPOSICION SIM" id="{D51DBDE1-8360-4B2C-B73A-59113F1CEC42}">
            <xm:f>NOT(ISERROR(SEARCH("REPOSICION SIM",'C:\Users\UBITEC\Desktop\UBITEC\UBITEC\Clientes\Marmolejos\Alejandro Marmolejo\[Unidades Activas (Control interno).xlsx]Listado '!#REF!)))</xm:f>
            <x14:dxf>
              <font>
                <b/>
                <i val="0"/>
              </font>
              <fill>
                <patternFill>
                  <bgColor rgb="FFFFFF00"/>
                </patternFill>
              </fill>
            </x14:dxf>
          </x14:cfRule>
          <x14:cfRule type="containsText" priority="8627" operator="containsText" text="ACTIVA" id="{0F641078-FDF3-4205-990C-D038C03FF62F}">
            <xm:f>NOT(ISERROR(SEARCH("ACTIVA",'C:\Users\UBITEC\Desktop\UBITEC\UBITEC\Clientes\Marmolejos\Alejandro Marmolejo\[Unidades Activas (Control interno).xlsx]Listado '!#REF!)))</xm:f>
            <x14:dxf>
              <font>
                <color rgb="FF006100"/>
              </font>
              <fill>
                <patternFill>
                  <bgColor rgb="FFC6EFCE"/>
                </patternFill>
              </fill>
            </x14:dxf>
          </x14:cfRule>
          <x14:cfRule type="containsText" priority="8624" operator="containsText" text="SIN REGISTRO" id="{2D8C833E-04D5-469B-8030-A5D5C884EDA4}">
            <xm:f>NOT(ISERROR(SEARCH("SIN REGISTRO",'C:\Users\UBITEC\Desktop\UBITEC\UBITEC\Clientes\Marmolejos\Alejandro Marmolejo\[Unidades Activas (Control interno).xlsx]Listado '!#REF!)))</xm:f>
            <x14:dxf>
              <font>
                <color rgb="FF9C0006"/>
              </font>
              <fill>
                <patternFill>
                  <bgColor rgb="FFFFC7CE"/>
                </patternFill>
              </fill>
            </x14:dxf>
          </x14:cfRule>
          <xm:sqref>M661:M663</xm:sqref>
        </x14:conditionalFormatting>
        <x14:conditionalFormatting xmlns:xm="http://schemas.microsoft.com/office/excel/2006/main">
          <x14:cfRule type="containsText" priority="8611" operator="containsText" text="ACTIVA" id="{1E5E2159-56F4-4520-AA32-8DF510972F01}">
            <xm:f>NOT(ISERROR(SEARCH("ACTIVA",'C:\Users\UBITEC\Desktop\UBITEC\UBITEC\Clientes\Marmolejos\Alejandro Marmolejo\[Unidades Activas (Control interno).xlsx]Listado '!#REF!)))</xm:f>
            <x14:dxf>
              <font>
                <color rgb="FF006100"/>
              </font>
              <fill>
                <patternFill>
                  <bgColor rgb="FFC6EFCE"/>
                </patternFill>
              </fill>
            </x14:dxf>
          </x14:cfRule>
          <x14:cfRule type="containsText" priority="8610" operator="containsText" text="MIGRADO" id="{5A19E488-10A7-43CE-A83F-549C4D30007B}">
            <xm:f>NOT(ISERROR(SEARCH("MIGRADO",'C:\Users\UBITEC\Desktop\UBITEC\UBITEC\Clientes\Marmolejos\Alejandro Marmolejo\[Unidades Activas (Control interno).xlsx]Listado '!#REF!)))</xm:f>
            <x14:dxf>
              <font>
                <color rgb="FF9C6500"/>
              </font>
              <fill>
                <patternFill>
                  <bgColor rgb="FFFFEB9C"/>
                </patternFill>
              </fill>
            </x14:dxf>
          </x14:cfRule>
          <x14:cfRule type="containsText" priority="8609" operator="containsText" text="REPOSICION SIM" id="{9DA2D09C-ED67-43CE-A16E-60397008AB9D}">
            <xm:f>NOT(ISERROR(SEARCH("REPOSICION SIM",'C:\Users\UBITEC\Desktop\UBITEC\UBITEC\Clientes\Marmolejos\Alejandro Marmolejo\[Unidades Activas (Control interno).xlsx]Listado '!#REF!)))</xm:f>
            <x14:dxf>
              <font>
                <b/>
                <i val="0"/>
              </font>
              <fill>
                <patternFill>
                  <bgColor rgb="FFFFFF00"/>
                </patternFill>
              </fill>
            </x14:dxf>
          </x14:cfRule>
          <x14:cfRule type="containsText" priority="8608" operator="containsText" text="SIN REGISTRO" id="{EF150C85-77CD-4053-9FDF-8D305B5D0EBA}">
            <xm:f>NOT(ISERROR(SEARCH("SIN REGISTRO",'C:\Users\UBITEC\Desktop\UBITEC\UBITEC\Clientes\Marmolejos\Alejandro Marmolejo\[Unidades Activas (Control interno).xlsx]Listado '!#REF!)))</xm:f>
            <x14:dxf>
              <font>
                <color rgb="FF9C0006"/>
              </font>
              <fill>
                <patternFill>
                  <bgColor rgb="FFFFC7CE"/>
                </patternFill>
              </fill>
            </x14:dxf>
          </x14:cfRule>
          <x14:cfRule type="containsText" priority="8612" operator="containsText" text="BAJA" id="{46E0AD22-56EA-47C5-A7C3-0D31CE62A3E2}">
            <xm:f>NOT(ISERROR(SEARCH("BAJA",'C:\Users\UBITEC\Desktop\UBITEC\UBITEC\Clientes\Marmolejos\Alejandro Marmolejo\[Unidades Activas (Control interno).xlsx]Listado '!#REF!)))</xm:f>
            <x14:dxf>
              <font>
                <color rgb="FF9C0006"/>
              </font>
              <fill>
                <patternFill>
                  <bgColor rgb="FFFFC7CE"/>
                </patternFill>
              </fill>
            </x14:dxf>
          </x14:cfRule>
          <xm:sqref>M666:M667 M679:M680 M702</xm:sqref>
        </x14:conditionalFormatting>
        <x14:conditionalFormatting xmlns:xm="http://schemas.microsoft.com/office/excel/2006/main">
          <x14:cfRule type="containsText" priority="8454" operator="containsText" text="SIN REGISTRO" id="{E2D56137-2AE6-4FBA-B933-2551624275E1}">
            <xm:f>NOT(ISERROR(SEARCH("SIN REGISTRO",'C:\Users\UBITEC\Desktop\UBITEC\UBITEC\Clientes\Marmolejos\Alejandro Marmolejo\[Unidades Activas (Control interno).xlsx]Listado '!#REF!)))</xm:f>
            <x14:dxf>
              <font>
                <color rgb="FF9C0006"/>
              </font>
              <fill>
                <patternFill>
                  <bgColor rgb="FFFFC7CE"/>
                </patternFill>
              </fill>
            </x14:dxf>
          </x14:cfRule>
          <x14:cfRule type="containsText" priority="8458" operator="containsText" text="BAJA" id="{A4CEAFBA-B468-46E8-A835-4B20A6C4D3A2}">
            <xm:f>NOT(ISERROR(SEARCH("BAJA",'C:\Users\UBITEC\Desktop\UBITEC\UBITEC\Clientes\Marmolejos\Alejandro Marmolejo\[Unidades Activas (Control interno).xlsx]Listado '!#REF!)))</xm:f>
            <x14:dxf>
              <font>
                <color rgb="FF9C0006"/>
              </font>
              <fill>
                <patternFill>
                  <bgColor rgb="FFFFC7CE"/>
                </patternFill>
              </fill>
            </x14:dxf>
          </x14:cfRule>
          <x14:cfRule type="containsText" priority="8457" operator="containsText" text="ACTIVA" id="{1C9AB6D4-8E51-4962-ABA8-F3FA8D87D62B}">
            <xm:f>NOT(ISERROR(SEARCH("ACTIVA",'C:\Users\UBITEC\Desktop\UBITEC\UBITEC\Clientes\Marmolejos\Alejandro Marmolejo\[Unidades Activas (Control interno).xlsx]Listado '!#REF!)))</xm:f>
            <x14:dxf>
              <font>
                <color rgb="FF006100"/>
              </font>
              <fill>
                <patternFill>
                  <bgColor rgb="FFC6EFCE"/>
                </patternFill>
              </fill>
            </x14:dxf>
          </x14:cfRule>
          <x14:cfRule type="containsText" priority="8456" operator="containsText" text="MIGRADO" id="{6931EE6D-EB73-4823-9CCD-DDD4BB84751C}">
            <xm:f>NOT(ISERROR(SEARCH("MIGRADO",'C:\Users\UBITEC\Desktop\UBITEC\UBITEC\Clientes\Marmolejos\Alejandro Marmolejo\[Unidades Activas (Control interno).xlsx]Listado '!#REF!)))</xm:f>
            <x14:dxf>
              <font>
                <color rgb="FF9C6500"/>
              </font>
              <fill>
                <patternFill>
                  <bgColor rgb="FFFFEB9C"/>
                </patternFill>
              </fill>
            </x14:dxf>
          </x14:cfRule>
          <x14:cfRule type="containsText" priority="8455" operator="containsText" text="REPOSICION SIM" id="{BB94C3FF-B5B6-49D1-9143-B8F24927CA12}">
            <xm:f>NOT(ISERROR(SEARCH("REPOSICION SIM",'C:\Users\UBITEC\Desktop\UBITEC\UBITEC\Clientes\Marmolejos\Alejandro Marmolejo\[Unidades Activas (Control interno).xlsx]Listado '!#REF!)))</xm:f>
            <x14:dxf>
              <font>
                <b/>
                <i val="0"/>
              </font>
              <fill>
                <patternFill>
                  <bgColor rgb="FFFFFF00"/>
                </patternFill>
              </fill>
            </x14:dxf>
          </x14:cfRule>
          <xm:sqref>M692:M700</xm:sqref>
        </x14:conditionalFormatting>
        <x14:conditionalFormatting xmlns:xm="http://schemas.microsoft.com/office/excel/2006/main">
          <x14:cfRule type="containsText" priority="464" operator="containsText" text="MIGRADO" id="{3E77B7B3-7443-4E97-B820-E3D0623D3877}">
            <xm:f>NOT(ISERROR(SEARCH("MIGRADO",'C:\Users\UBITEC\Desktop\UBITEC\UBITEC\Clientes\Marmolejos\Alejandro Marmolejo\[Unidades Activas (Control interno).xlsx]Listado '!#REF!)))</xm:f>
            <x14:dxf>
              <font>
                <color rgb="FF9C6500"/>
              </font>
              <fill>
                <patternFill>
                  <bgColor rgb="FFFFEB9C"/>
                </patternFill>
              </fill>
            </x14:dxf>
          </x14:cfRule>
          <x14:cfRule type="containsText" priority="465" operator="containsText" text="ACTIVA" id="{05008AB5-323B-4984-8BA2-EDCDA6C8EBAF}">
            <xm:f>NOT(ISERROR(SEARCH("ACTIVA",'C:\Users\UBITEC\Desktop\UBITEC\UBITEC\Clientes\Marmolejos\Alejandro Marmolejo\[Unidades Activas (Control interno).xlsx]Listado '!#REF!)))</xm:f>
            <x14:dxf>
              <font>
                <color rgb="FF006100"/>
              </font>
              <fill>
                <patternFill>
                  <bgColor rgb="FFC6EFCE"/>
                </patternFill>
              </fill>
            </x14:dxf>
          </x14:cfRule>
          <x14:cfRule type="containsText" priority="466" operator="containsText" text="BAJA" id="{E41D3DEC-97BE-429A-AEAD-0AE6F93FDF10}">
            <xm:f>NOT(ISERROR(SEARCH("BAJA",'C:\Users\UBITEC\Desktop\UBITEC\UBITEC\Clientes\Marmolejos\Alejandro Marmolejo\[Unidades Activas (Control interno).xlsx]Listado '!#REF!)))</xm:f>
            <x14:dxf>
              <font>
                <color rgb="FF9C0006"/>
              </font>
              <fill>
                <patternFill>
                  <bgColor rgb="FFFFC7CE"/>
                </patternFill>
              </fill>
            </x14:dxf>
          </x14:cfRule>
          <x14:cfRule type="containsText" priority="462" operator="containsText" text="SIN REGISTRO" id="{93B13891-34E4-4509-AF17-E3519DCADEED}">
            <xm:f>NOT(ISERROR(SEARCH("SIN REGISTRO",'C:\Users\UBITEC\Desktop\UBITEC\UBITEC\Clientes\Marmolejos\Alejandro Marmolejo\[Unidades Activas (Control interno).xlsx]Listado '!#REF!)))</xm:f>
            <x14:dxf>
              <font>
                <color rgb="FF9C0006"/>
              </font>
              <fill>
                <patternFill>
                  <bgColor rgb="FFFFC7CE"/>
                </patternFill>
              </fill>
            </x14:dxf>
          </x14:cfRule>
          <x14:cfRule type="containsText" priority="463" operator="containsText" text="REPOSICION SIM" id="{01AFF2B4-AFE8-4CF3-8710-231CA9C5EF42}">
            <xm:f>NOT(ISERROR(SEARCH("REPOSICION SIM",'C:\Users\UBITEC\Desktop\UBITEC\UBITEC\Clientes\Marmolejos\Alejandro Marmolejo\[Unidades Activas (Control interno).xlsx]Listado '!#REF!)))</xm:f>
            <x14:dxf>
              <font>
                <b/>
                <i val="0"/>
              </font>
              <fill>
                <patternFill>
                  <bgColor rgb="FFFFFF00"/>
                </patternFill>
              </fill>
            </x14:dxf>
          </x14:cfRule>
          <xm:sqref>M1653</xm:sqref>
        </x14:conditionalFormatting>
        <x14:conditionalFormatting xmlns:xm="http://schemas.microsoft.com/office/excel/2006/main">
          <x14:cfRule type="containsText" priority="366" operator="containsText" text="MIGRADO" id="{9950E1D8-B06F-4D60-AB79-D3A21B8402ED}">
            <xm:f>NOT(ISERROR(SEARCH("MIGRADO",'C:\Users\UBITEC\Desktop\UBITEC\UBITEC\Clientes\Marmolejos\Alejandro Marmolejo\[Unidades Activas (Control interno).xlsx]Listado '!#REF!)))</xm:f>
            <x14:dxf>
              <font>
                <color rgb="FF9C6500"/>
              </font>
              <fill>
                <patternFill>
                  <bgColor rgb="FFFFEB9C"/>
                </patternFill>
              </fill>
            </x14:dxf>
          </x14:cfRule>
          <x14:cfRule type="containsText" priority="365" operator="containsText" text="REPOSICION SIM" id="{09E5DD83-55B9-42F9-B584-5449F1254A13}">
            <xm:f>NOT(ISERROR(SEARCH("REPOSICION SIM",'C:\Users\UBITEC\Desktop\UBITEC\UBITEC\Clientes\Marmolejos\Alejandro Marmolejo\[Unidades Activas (Control interno).xlsx]Listado '!#REF!)))</xm:f>
            <x14:dxf>
              <font>
                <b/>
                <i val="0"/>
              </font>
              <fill>
                <patternFill>
                  <bgColor rgb="FFFFFF00"/>
                </patternFill>
              </fill>
            </x14:dxf>
          </x14:cfRule>
          <x14:cfRule type="containsText" priority="364" operator="containsText" text="SIN REGISTRO" id="{BE93AA1D-3F1A-49DB-A0B8-44A53886C1B5}">
            <xm:f>NOT(ISERROR(SEARCH("SIN REGISTRO",'C:\Users\UBITEC\Desktop\UBITEC\UBITEC\Clientes\Marmolejos\Alejandro Marmolejo\[Unidades Activas (Control interno).xlsx]Listado '!#REF!)))</xm:f>
            <x14:dxf>
              <font>
                <color rgb="FF9C0006"/>
              </font>
              <fill>
                <patternFill>
                  <bgColor rgb="FFFFC7CE"/>
                </patternFill>
              </fill>
            </x14:dxf>
          </x14:cfRule>
          <x14:cfRule type="containsText" priority="367" operator="containsText" text="ACTIVA" id="{2884ACFF-DB42-4912-8683-B32B707A57A3}">
            <xm:f>NOT(ISERROR(SEARCH("ACTIVA",'C:\Users\UBITEC\Desktop\UBITEC\UBITEC\Clientes\Marmolejos\Alejandro Marmolejo\[Unidades Activas (Control interno).xlsx]Listado '!#REF!)))</xm:f>
            <x14:dxf>
              <font>
                <color rgb="FF006100"/>
              </font>
              <fill>
                <patternFill>
                  <bgColor rgb="FFC6EFCE"/>
                </patternFill>
              </fill>
            </x14:dxf>
          </x14:cfRule>
          <x14:cfRule type="containsText" priority="368" operator="containsText" text="BAJA" id="{83581D94-94ED-4E63-8352-C388EA31C5F2}">
            <xm:f>NOT(ISERROR(SEARCH("BAJA",'C:\Users\UBITEC\Desktop\UBITEC\UBITEC\Clientes\Marmolejos\Alejandro Marmolejo\[Unidades Activas (Control interno).xlsx]Listado '!#REF!)))</xm:f>
            <x14:dxf>
              <font>
                <color rgb="FF9C0006"/>
              </font>
              <fill>
                <patternFill>
                  <bgColor rgb="FFFFC7CE"/>
                </patternFill>
              </fill>
            </x14:dxf>
          </x14:cfRule>
          <xm:sqref>M1691</xm:sqref>
        </x14:conditionalFormatting>
        <x14:conditionalFormatting xmlns:xm="http://schemas.microsoft.com/office/excel/2006/main">
          <x14:cfRule type="containsText" priority="926" operator="containsText" text="SIN REFERENCIA" id="{BCD17D00-6A23-43D5-A996-8B1250E46E2A}">
            <xm:f>NOT(ISERROR(SEARCH("SIN REFERENCIA",'C:\Users\UBITEC\Desktop\UBITEC\UBITEC\Clientes\Marmolejos\Alejandro Marmolejo\[Unidades Activas (Control interno).xlsx]Listado '!#REF!)))</xm:f>
            <x14:dxf>
              <font>
                <color rgb="FF9C0006"/>
              </font>
              <fill>
                <patternFill>
                  <bgColor rgb="FFFFC7CE"/>
                </patternFill>
              </fill>
            </x14:dxf>
          </x14:cfRule>
          <xm:sqref>N1448</xm:sqref>
        </x14:conditionalFormatting>
        <x14:conditionalFormatting xmlns:xm="http://schemas.microsoft.com/office/excel/2006/main">
          <x14:cfRule type="containsText" priority="369" operator="containsText" text="SIN REFERENCIA" id="{F6993BEB-679E-46F7-8A1A-8848E1E4BB1A}">
            <xm:f>NOT(ISERROR(SEARCH("SIN REFERENCIA",'C:\Users\UBITEC\Desktop\UBITEC\UBITEC\Clientes\Marmolejos\Alejandro Marmolejo\[Unidades Activas (Control interno).xlsx]Listado '!#REF!)))</xm:f>
            <x14:dxf>
              <font>
                <color rgb="FF9C0006"/>
              </font>
              <fill>
                <patternFill>
                  <bgColor rgb="FFFFC7CE"/>
                </patternFill>
              </fill>
            </x14:dxf>
          </x14:cfRule>
          <xm:sqref>N1691</xm:sqref>
        </x14:conditionalFormatting>
        <x14:conditionalFormatting xmlns:xm="http://schemas.microsoft.com/office/excel/2006/main">
          <x14:cfRule type="containsText" priority="8623" operator="containsText" text="SIN REFERENCIA" id="{05D8E242-D665-4336-A48D-5CCC169A50D3}">
            <xm:f>NOT(ISERROR(SEARCH("SIN REFERENCIA",'C:\Users\UBITEC\Desktop\UBITEC\UBITEC\Clientes\Marmolejos\Alejandro Marmolejo\[Unidades Activas (Control interno).xlsx]Listado '!#REF!)))</xm:f>
            <x14:dxf>
              <font>
                <color rgb="FF9C0006"/>
              </font>
              <fill>
                <patternFill>
                  <bgColor rgb="FFFFC7CE"/>
                </patternFill>
              </fill>
            </x14:dxf>
          </x14:cfRule>
          <xm:sqref>N661:O664</xm:sqref>
        </x14:conditionalFormatting>
        <x14:conditionalFormatting xmlns:xm="http://schemas.microsoft.com/office/excel/2006/main">
          <x14:cfRule type="containsText" priority="8607" operator="containsText" text="SIN REFERENCIA" id="{EE8CEE9F-C5FB-4CAB-B243-F817AA1FA910}">
            <xm:f>NOT(ISERROR(SEARCH("SIN REFERENCIA",'C:\Users\UBITEC\Desktop\UBITEC\UBITEC\Clientes\Marmolejos\Alejandro Marmolejo\[Unidades Activas (Control interno).xlsx]Listado '!#REF!)))</xm:f>
            <x14:dxf>
              <font>
                <color rgb="FF9C0006"/>
              </font>
              <fill>
                <patternFill>
                  <bgColor rgb="FFFFC7CE"/>
                </patternFill>
              </fill>
            </x14:dxf>
          </x14:cfRule>
          <xm:sqref>N666:O667 N679:O680 N694 N695:O696 N698:O698 N699 N700:O700</xm:sqref>
        </x14:conditionalFormatting>
        <x14:conditionalFormatting xmlns:xm="http://schemas.microsoft.com/office/excel/2006/main">
          <x14:cfRule type="containsText" priority="460" operator="containsText" text="SIN REFERENCIA" id="{4B2EDC67-3857-4695-ADA6-306257B56CE7}">
            <xm:f>NOT(ISERROR(SEARCH("SIN REFERENCIA",'C:\Users\UBITEC\Desktop\UBITEC\UBITEC\Clientes\Marmolejos\Alejandro Marmolejo\[Unidades Activas (Control interno).xlsx]Listado '!#REF!)))</xm:f>
            <x14:dxf>
              <font>
                <color rgb="FF9C0006"/>
              </font>
              <fill>
                <patternFill>
                  <bgColor rgb="FFFFC7CE"/>
                </patternFill>
              </fill>
            </x14:dxf>
          </x14:cfRule>
          <xm:sqref>N692:O693 N1653:O1653</xm:sqref>
        </x14:conditionalFormatting>
        <x14:conditionalFormatting xmlns:xm="http://schemas.microsoft.com/office/excel/2006/main">
          <x14:cfRule type="containsText" priority="2706" operator="containsText" text="SIN REFERENCIA" id="{5123DC9C-A727-44BC-B7B8-17790E609C6A}">
            <xm:f>NOT(ISERROR(SEARCH("SIN REFERENCIA",'C:\Users\UBITEC\Desktop\UBITEC\UBITEC\Clientes\Marmolejos\Alejandro Marmolejo\[Unidades Activas (Control interno).xlsx]Listado '!#REF!)))</xm:f>
            <x14:dxf>
              <font>
                <color rgb="FF9C0006"/>
              </font>
              <fill>
                <patternFill>
                  <bgColor rgb="FFFFC7CE"/>
                </patternFill>
              </fill>
            </x14:dxf>
          </x14:cfRule>
          <xm:sqref>N1489:O1489</xm:sqref>
        </x14:conditionalFormatting>
        <x14:conditionalFormatting xmlns:xm="http://schemas.microsoft.com/office/excel/2006/main">
          <x14:cfRule type="containsText" priority="8416" operator="containsText" text="SIN REFERENCIA" id="{6E9B916C-DCD7-4690-9CDC-49D10526AE40}">
            <xm:f>NOT(ISERROR(SEARCH("SIN REFERENCIA",'C:\Users\UBITEC\Desktop\UBITEC\UBITEC\Clientes\Marmolejos\Alejandro Marmolejo\[Unidades Activas (Control interno).xlsx]Listado '!#REF!)))</xm:f>
            <x14:dxf>
              <font>
                <color rgb="FF9C0006"/>
              </font>
              <fill>
                <patternFill>
                  <bgColor rgb="FFFFC7CE"/>
                </patternFill>
              </fill>
            </x14:dxf>
          </x14:cfRule>
          <xm:sqref>N702:P702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0"/>
  <sheetViews>
    <sheetView tabSelected="1" workbookViewId="0">
      <selection activeCell="C7" sqref="C7"/>
    </sheetView>
  </sheetViews>
  <sheetFormatPr baseColWidth="10" defaultRowHeight="14.5" x14ac:dyDescent="0.35"/>
  <cols>
    <col min="2" max="2" width="36.453125" style="7" bestFit="1" customWidth="1"/>
    <col min="3" max="3" width="14.453125" style="7" bestFit="1" customWidth="1"/>
    <col min="4" max="4" width="10.90625" style="148"/>
  </cols>
  <sheetData>
    <row r="2" spans="2:5" ht="18.5" x14ac:dyDescent="0.35">
      <c r="B2" s="2" t="s">
        <v>919</v>
      </c>
      <c r="C2" s="3" t="s">
        <v>920</v>
      </c>
    </row>
    <row r="3" spans="2:5" ht="18.5" x14ac:dyDescent="0.35">
      <c r="B3" s="4" t="s">
        <v>921</v>
      </c>
      <c r="C3" s="5">
        <v>1999.84</v>
      </c>
      <c r="D3" s="149">
        <f t="shared" ref="D3:D9" si="0">C3/1.16</f>
        <v>1724</v>
      </c>
      <c r="E3" s="133">
        <f>C3+C9</f>
        <v>2173.84</v>
      </c>
    </row>
    <row r="4" spans="2:5" ht="18.5" x14ac:dyDescent="0.35">
      <c r="B4" s="4" t="s">
        <v>922</v>
      </c>
      <c r="C4" s="5">
        <v>754</v>
      </c>
      <c r="D4" s="149">
        <f t="shared" si="0"/>
        <v>650</v>
      </c>
    </row>
    <row r="5" spans="2:5" ht="18.5" x14ac:dyDescent="0.35">
      <c r="B5" s="4" t="s">
        <v>923</v>
      </c>
      <c r="C5" s="5">
        <v>696</v>
      </c>
      <c r="D5" s="149">
        <f t="shared" si="0"/>
        <v>600</v>
      </c>
    </row>
    <row r="6" spans="2:5" ht="18.5" x14ac:dyDescent="0.35">
      <c r="B6" s="4" t="s">
        <v>924</v>
      </c>
      <c r="C6" s="5">
        <v>522</v>
      </c>
      <c r="D6" s="149">
        <f t="shared" si="0"/>
        <v>450.00000000000006</v>
      </c>
    </row>
    <row r="7" spans="2:5" ht="37" x14ac:dyDescent="0.35">
      <c r="B7" s="6" t="s">
        <v>925</v>
      </c>
      <c r="C7" s="5">
        <v>522</v>
      </c>
      <c r="D7" s="149">
        <f t="shared" si="0"/>
        <v>450.00000000000006</v>
      </c>
    </row>
    <row r="8" spans="2:5" ht="18.5" x14ac:dyDescent="0.35">
      <c r="B8" s="6" t="s">
        <v>926</v>
      </c>
      <c r="C8" s="5">
        <v>290</v>
      </c>
      <c r="D8" s="149">
        <f t="shared" si="0"/>
        <v>250.00000000000003</v>
      </c>
    </row>
    <row r="9" spans="2:5" ht="18.5" x14ac:dyDescent="0.35">
      <c r="B9" s="6" t="s">
        <v>927</v>
      </c>
      <c r="C9" s="5">
        <v>174</v>
      </c>
      <c r="D9" s="149">
        <f t="shared" si="0"/>
        <v>150</v>
      </c>
    </row>
    <row r="10" spans="2:5" ht="37" x14ac:dyDescent="0.35">
      <c r="B10" s="6" t="s">
        <v>928</v>
      </c>
      <c r="C10" s="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B2" sqref="B2"/>
    </sheetView>
  </sheetViews>
  <sheetFormatPr baseColWidth="10"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BITACORA APFEL </vt:lpstr>
      <vt:lpstr>Costos y Servicios </vt:lpstr>
      <vt:lpstr>Conatctos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UBITEC</dc:creator>
  <cp:lastModifiedBy>LENOVO</cp:lastModifiedBy>
  <dcterms:created xsi:type="dcterms:W3CDTF">2023-05-23T22:42:12Z</dcterms:created>
  <dcterms:modified xsi:type="dcterms:W3CDTF">2026-06-16T23:00:05Z</dcterms:modified>
</cp:coreProperties>
</file>